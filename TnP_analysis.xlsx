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202300"/>
  <mc:AlternateContent xmlns:mc="http://schemas.openxmlformats.org/markup-compatibility/2006">
    <mc:Choice Requires="x15">
      <x15ac:absPath xmlns:x15ac="http://schemas.microsoft.com/office/spreadsheetml/2010/11/ac" url="/Users/sohamkarve/Desktop/Projects/TnP Analysis/"/>
    </mc:Choice>
  </mc:AlternateContent>
  <xr:revisionPtr revIDLastSave="0" documentId="8_{34EFF37B-7F18-9A46-A95A-303BE39B1B65}" xr6:coauthVersionLast="47" xr6:coauthVersionMax="47" xr10:uidLastSave="{00000000-0000-0000-0000-000000000000}"/>
  <bookViews>
    <workbookView xWindow="0" yWindow="500" windowWidth="28800" windowHeight="16240" xr2:uid="{256D9164-D065-6E41-BC39-34F59D4460C9}"/>
  </bookViews>
  <sheets>
    <sheet name="Students" sheetId="2" r:id="rId1"/>
    <sheet name="Skills" sheetId="3" r:id="rId2"/>
    <sheet name="Internships" sheetId="4" r:id="rId3"/>
    <sheet name="Placements" sheetId="1" r:id="rId4"/>
    <sheet name="Analysis" sheetId="5" r:id="rId5"/>
    <sheet name="Pivot Table" sheetId="7" r:id="rId6"/>
    <sheet name="Dashboard" sheetId="8" r:id="rId7"/>
  </sheets>
  <definedNames>
    <definedName name="ExternalData_1" localSheetId="2" hidden="1">Internships!$A$3:$D$1003</definedName>
    <definedName name="ExternalData_1" localSheetId="1" hidden="1">Skills!$A$3:$G$1003</definedName>
    <definedName name="ExternalData_1" localSheetId="0" hidden="1">Students!$A$3:$F$1003</definedName>
    <definedName name="Slicer_Branch">#N/A</definedName>
  </definedNames>
  <calcPr calcId="191029"/>
  <pivotCaches>
    <pivotCache cacheId="54" r:id="rId8"/>
    <pivotCache cacheId="5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2" i="7" l="1"/>
  <c r="I11" i="7"/>
  <c r="I9" i="7"/>
  <c r="I7" i="7"/>
  <c r="I6" i="7"/>
  <c r="I5" i="7"/>
  <c r="I4" i="7"/>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I13" i="7"/>
  <c r="I10" i="7"/>
  <c r="I8" i="7"/>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I14"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A58FEF-CA7B-AD45-9A10-2ABF9D63A43B}" keepAlive="1" name="Query - student_data" description="Connection to the 'student_data' query in the workbook." type="5" refreshedVersion="8" background="1" saveData="1">
    <dbPr connection="Provider=Microsoft.Mashup.OleDb.1;Data Source=$Workbook$;Location=student_data;Extended Properties=&quot;&quot;" command="SELECT * FROM [student_data]"/>
  </connection>
  <connection id="2" xr16:uid="{C7553547-19F8-8A4F-A7DF-B92AA2CC8AC3}" keepAlive="1" name="Query - student_internships" description="Connection to the 'student_internships' query in the workbook." type="5" refreshedVersion="8" background="1" saveData="1">
    <dbPr connection="Provider=Microsoft.Mashup.OleDb.1;Data Source=$Workbook$;Location=student_internships;Extended Properties=&quot;&quot;" command="SELECT * FROM [student_internships]"/>
  </connection>
  <connection id="3" xr16:uid="{EDBC5513-DA71-B84D-8C7C-1D6374A859F9}" keepAlive="1" name="Query - student_skills" description="Connection to the 'student_skills' query in the workbook." type="5" refreshedVersion="8" background="1" saveData="1">
    <dbPr connection="Provider=Microsoft.Mashup.OleDb.1;Data Source=$Workbook$;Location=student_skills;Extended Properties=&quot;&quot;" command="SELECT * FROM [student_skills]"/>
  </connection>
</connections>
</file>

<file path=xl/sharedStrings.xml><?xml version="1.0" encoding="utf-8"?>
<sst xmlns="http://schemas.openxmlformats.org/spreadsheetml/2006/main" count="10118" uniqueCount="1075">
  <si>
    <t>Student_ID</t>
  </si>
  <si>
    <t>Branch</t>
  </si>
  <si>
    <t>Gender</t>
  </si>
  <si>
    <t>Age</t>
  </si>
  <si>
    <t>CGPA</t>
  </si>
  <si>
    <t>Projects_Count</t>
  </si>
  <si>
    <t>STU_1000</t>
  </si>
  <si>
    <t>Civil</t>
  </si>
  <si>
    <t>Female</t>
  </si>
  <si>
    <t>STU_1001</t>
  </si>
  <si>
    <t>Information Technology</t>
  </si>
  <si>
    <t>STU_1002</t>
  </si>
  <si>
    <t>Mechanical</t>
  </si>
  <si>
    <t>STU_1003</t>
  </si>
  <si>
    <t>STU_1004</t>
  </si>
  <si>
    <t>STU_1005</t>
  </si>
  <si>
    <t>Electronics</t>
  </si>
  <si>
    <t>Male</t>
  </si>
  <si>
    <t>STU_1006</t>
  </si>
  <si>
    <t>STU_1007</t>
  </si>
  <si>
    <t>STU_1008</t>
  </si>
  <si>
    <t>STU_1009</t>
  </si>
  <si>
    <t>STU_1010</t>
  </si>
  <si>
    <t>STU_1011</t>
  </si>
  <si>
    <t>STU_1012</t>
  </si>
  <si>
    <t>STU_1013</t>
  </si>
  <si>
    <t>STU_1014</t>
  </si>
  <si>
    <t>STU_1015</t>
  </si>
  <si>
    <t>STU_1016</t>
  </si>
  <si>
    <t>STU_1017</t>
  </si>
  <si>
    <t>STU_1018</t>
  </si>
  <si>
    <t>Computer Science</t>
  </si>
  <si>
    <t>STU_1019</t>
  </si>
  <si>
    <t>STU_1020</t>
  </si>
  <si>
    <t>STU_1021</t>
  </si>
  <si>
    <t>STU_1022</t>
  </si>
  <si>
    <t>STU_1023</t>
  </si>
  <si>
    <t>STU_1024</t>
  </si>
  <si>
    <t>STU_1025</t>
  </si>
  <si>
    <t>STU_1026</t>
  </si>
  <si>
    <t>STU_1027</t>
  </si>
  <si>
    <t>STU_1028</t>
  </si>
  <si>
    <t>STU_1029</t>
  </si>
  <si>
    <t>STU_1030</t>
  </si>
  <si>
    <t>STU_1031</t>
  </si>
  <si>
    <t>STU_1032</t>
  </si>
  <si>
    <t>STU_1033</t>
  </si>
  <si>
    <t>STU_1034</t>
  </si>
  <si>
    <t>STU_1035</t>
  </si>
  <si>
    <t>STU_1036</t>
  </si>
  <si>
    <t>STU_1037</t>
  </si>
  <si>
    <t>STU_1038</t>
  </si>
  <si>
    <t>STU_1039</t>
  </si>
  <si>
    <t>STU_1040</t>
  </si>
  <si>
    <t>STU_1041</t>
  </si>
  <si>
    <t>STU_1042</t>
  </si>
  <si>
    <t>STU_1043</t>
  </si>
  <si>
    <t>STU_1044</t>
  </si>
  <si>
    <t>STU_1045</t>
  </si>
  <si>
    <t>STU_1046</t>
  </si>
  <si>
    <t>STU_1047</t>
  </si>
  <si>
    <t>STU_1048</t>
  </si>
  <si>
    <t>STU_1049</t>
  </si>
  <si>
    <t>STU_1050</t>
  </si>
  <si>
    <t>STU_1051</t>
  </si>
  <si>
    <t>STU_1052</t>
  </si>
  <si>
    <t>STU_1053</t>
  </si>
  <si>
    <t>STU_1054</t>
  </si>
  <si>
    <t>STU_1055</t>
  </si>
  <si>
    <t>STU_1056</t>
  </si>
  <si>
    <t>STU_1057</t>
  </si>
  <si>
    <t>STU_1058</t>
  </si>
  <si>
    <t>STU_1059</t>
  </si>
  <si>
    <t>STU_1060</t>
  </si>
  <si>
    <t>STU_1061</t>
  </si>
  <si>
    <t>STU_1062</t>
  </si>
  <si>
    <t>STU_1063</t>
  </si>
  <si>
    <t>STU_1064</t>
  </si>
  <si>
    <t>STU_1065</t>
  </si>
  <si>
    <t>STU_1066</t>
  </si>
  <si>
    <t>STU_1067</t>
  </si>
  <si>
    <t>STU_1068</t>
  </si>
  <si>
    <t>STU_1069</t>
  </si>
  <si>
    <t>STU_1070</t>
  </si>
  <si>
    <t>STU_1071</t>
  </si>
  <si>
    <t>STU_1072</t>
  </si>
  <si>
    <t>STU_1073</t>
  </si>
  <si>
    <t>STU_1074</t>
  </si>
  <si>
    <t>STU_1075</t>
  </si>
  <si>
    <t>STU_1076</t>
  </si>
  <si>
    <t>STU_1077</t>
  </si>
  <si>
    <t>STU_1078</t>
  </si>
  <si>
    <t>STU_1079</t>
  </si>
  <si>
    <t>STU_1080</t>
  </si>
  <si>
    <t>STU_1081</t>
  </si>
  <si>
    <t>STU_1082</t>
  </si>
  <si>
    <t>STU_1083</t>
  </si>
  <si>
    <t>STU_1084</t>
  </si>
  <si>
    <t>STU_1085</t>
  </si>
  <si>
    <t>STU_1086</t>
  </si>
  <si>
    <t>STU_1087</t>
  </si>
  <si>
    <t>STU_1088</t>
  </si>
  <si>
    <t>STU_1089</t>
  </si>
  <si>
    <t>STU_1090</t>
  </si>
  <si>
    <t>STU_1091</t>
  </si>
  <si>
    <t>STU_1092</t>
  </si>
  <si>
    <t>STU_1093</t>
  </si>
  <si>
    <t>STU_1094</t>
  </si>
  <si>
    <t>STU_1095</t>
  </si>
  <si>
    <t>STU_1096</t>
  </si>
  <si>
    <t>STU_1097</t>
  </si>
  <si>
    <t>STU_1098</t>
  </si>
  <si>
    <t>STU_1099</t>
  </si>
  <si>
    <t>STU_1100</t>
  </si>
  <si>
    <t>STU_1101</t>
  </si>
  <si>
    <t>STU_1102</t>
  </si>
  <si>
    <t>STU_1103</t>
  </si>
  <si>
    <t>STU_1104</t>
  </si>
  <si>
    <t>STU_1105</t>
  </si>
  <si>
    <t>STU_1106</t>
  </si>
  <si>
    <t>STU_1107</t>
  </si>
  <si>
    <t>STU_1108</t>
  </si>
  <si>
    <t>STU_1109</t>
  </si>
  <si>
    <t>STU_1110</t>
  </si>
  <si>
    <t>STU_1111</t>
  </si>
  <si>
    <t>STU_1112</t>
  </si>
  <si>
    <t>STU_1113</t>
  </si>
  <si>
    <t>STU_1114</t>
  </si>
  <si>
    <t>STU_1115</t>
  </si>
  <si>
    <t>STU_1116</t>
  </si>
  <si>
    <t>STU_1117</t>
  </si>
  <si>
    <t>STU_1118</t>
  </si>
  <si>
    <t>STU_1119</t>
  </si>
  <si>
    <t>STU_1120</t>
  </si>
  <si>
    <t>STU_1121</t>
  </si>
  <si>
    <t>STU_1122</t>
  </si>
  <si>
    <t>STU_1123</t>
  </si>
  <si>
    <t>STU_1124</t>
  </si>
  <si>
    <t>STU_1125</t>
  </si>
  <si>
    <t>STU_1126</t>
  </si>
  <si>
    <t>STU_1127</t>
  </si>
  <si>
    <t>STU_1128</t>
  </si>
  <si>
    <t>STU_1129</t>
  </si>
  <si>
    <t>STU_1130</t>
  </si>
  <si>
    <t>STU_1131</t>
  </si>
  <si>
    <t>STU_1132</t>
  </si>
  <si>
    <t>STU_1133</t>
  </si>
  <si>
    <t>STU_1134</t>
  </si>
  <si>
    <t>STU_1135</t>
  </si>
  <si>
    <t>STU_1136</t>
  </si>
  <si>
    <t>STU_1137</t>
  </si>
  <si>
    <t>STU_1138</t>
  </si>
  <si>
    <t>STU_1139</t>
  </si>
  <si>
    <t>STU_1140</t>
  </si>
  <si>
    <t>STU_1141</t>
  </si>
  <si>
    <t>STU_1142</t>
  </si>
  <si>
    <t>STU_1143</t>
  </si>
  <si>
    <t>STU_1144</t>
  </si>
  <si>
    <t>STU_1145</t>
  </si>
  <si>
    <t>STU_1146</t>
  </si>
  <si>
    <t>STU_1147</t>
  </si>
  <si>
    <t>STU_1148</t>
  </si>
  <si>
    <t>STU_1149</t>
  </si>
  <si>
    <t>STU_1150</t>
  </si>
  <si>
    <t>STU_1151</t>
  </si>
  <si>
    <t>STU_1152</t>
  </si>
  <si>
    <t>STU_1153</t>
  </si>
  <si>
    <t>STU_1154</t>
  </si>
  <si>
    <t>STU_1155</t>
  </si>
  <si>
    <t>STU_1156</t>
  </si>
  <si>
    <t>STU_1157</t>
  </si>
  <si>
    <t>STU_1158</t>
  </si>
  <si>
    <t>STU_1159</t>
  </si>
  <si>
    <t>STU_1160</t>
  </si>
  <si>
    <t>STU_1161</t>
  </si>
  <si>
    <t>STU_1162</t>
  </si>
  <si>
    <t>STU_1163</t>
  </si>
  <si>
    <t>STU_1164</t>
  </si>
  <si>
    <t>STU_1165</t>
  </si>
  <si>
    <t>STU_1166</t>
  </si>
  <si>
    <t>STU_1167</t>
  </si>
  <si>
    <t>STU_1168</t>
  </si>
  <si>
    <t>STU_1169</t>
  </si>
  <si>
    <t>STU_1170</t>
  </si>
  <si>
    <t>STU_1171</t>
  </si>
  <si>
    <t>STU_1172</t>
  </si>
  <si>
    <t>STU_1173</t>
  </si>
  <si>
    <t>STU_1174</t>
  </si>
  <si>
    <t>STU_1175</t>
  </si>
  <si>
    <t>STU_1176</t>
  </si>
  <si>
    <t>STU_1177</t>
  </si>
  <si>
    <t>STU_1178</t>
  </si>
  <si>
    <t>STU_1179</t>
  </si>
  <si>
    <t>STU_1180</t>
  </si>
  <si>
    <t>STU_1181</t>
  </si>
  <si>
    <t>STU_1182</t>
  </si>
  <si>
    <t>STU_1183</t>
  </si>
  <si>
    <t>STU_1184</t>
  </si>
  <si>
    <t>STU_1185</t>
  </si>
  <si>
    <t>STU_1186</t>
  </si>
  <si>
    <t>STU_1187</t>
  </si>
  <si>
    <t>STU_1188</t>
  </si>
  <si>
    <t>STU_1189</t>
  </si>
  <si>
    <t>STU_1190</t>
  </si>
  <si>
    <t>STU_1191</t>
  </si>
  <si>
    <t>STU_1192</t>
  </si>
  <si>
    <t>STU_1193</t>
  </si>
  <si>
    <t>STU_1194</t>
  </si>
  <si>
    <t>STU_1195</t>
  </si>
  <si>
    <t>STU_1196</t>
  </si>
  <si>
    <t>STU_1197</t>
  </si>
  <si>
    <t>STU_1198</t>
  </si>
  <si>
    <t>STU_1199</t>
  </si>
  <si>
    <t>STU_1200</t>
  </si>
  <si>
    <t>STU_1201</t>
  </si>
  <si>
    <t>STU_1202</t>
  </si>
  <si>
    <t>STU_1203</t>
  </si>
  <si>
    <t>STU_1204</t>
  </si>
  <si>
    <t>STU_1205</t>
  </si>
  <si>
    <t>STU_1206</t>
  </si>
  <si>
    <t>STU_1207</t>
  </si>
  <si>
    <t>STU_1208</t>
  </si>
  <si>
    <t>STU_1209</t>
  </si>
  <si>
    <t>STU_1210</t>
  </si>
  <si>
    <t>STU_1211</t>
  </si>
  <si>
    <t>STU_1212</t>
  </si>
  <si>
    <t>STU_1213</t>
  </si>
  <si>
    <t>STU_1214</t>
  </si>
  <si>
    <t>STU_1215</t>
  </si>
  <si>
    <t>STU_1216</t>
  </si>
  <si>
    <t>STU_1217</t>
  </si>
  <si>
    <t>STU_1218</t>
  </si>
  <si>
    <t>STU_1219</t>
  </si>
  <si>
    <t>STU_1220</t>
  </si>
  <si>
    <t>STU_1221</t>
  </si>
  <si>
    <t>STU_1222</t>
  </si>
  <si>
    <t>STU_1223</t>
  </si>
  <si>
    <t>STU_1224</t>
  </si>
  <si>
    <t>STU_1225</t>
  </si>
  <si>
    <t>STU_1226</t>
  </si>
  <si>
    <t>STU_1227</t>
  </si>
  <si>
    <t>STU_1228</t>
  </si>
  <si>
    <t>STU_1229</t>
  </si>
  <si>
    <t>STU_1230</t>
  </si>
  <si>
    <t>STU_1231</t>
  </si>
  <si>
    <t>STU_1232</t>
  </si>
  <si>
    <t>STU_1233</t>
  </si>
  <si>
    <t>STU_1234</t>
  </si>
  <si>
    <t>STU_1235</t>
  </si>
  <si>
    <t>STU_1236</t>
  </si>
  <si>
    <t>STU_1237</t>
  </si>
  <si>
    <t>STU_1238</t>
  </si>
  <si>
    <t>STU_1239</t>
  </si>
  <si>
    <t>STU_1240</t>
  </si>
  <si>
    <t>STU_1241</t>
  </si>
  <si>
    <t>STU_1242</t>
  </si>
  <si>
    <t>STU_1243</t>
  </si>
  <si>
    <t>STU_1244</t>
  </si>
  <si>
    <t>STU_1245</t>
  </si>
  <si>
    <t>STU_1246</t>
  </si>
  <si>
    <t>STU_1247</t>
  </si>
  <si>
    <t>STU_1248</t>
  </si>
  <si>
    <t>STU_1249</t>
  </si>
  <si>
    <t>STU_1250</t>
  </si>
  <si>
    <t>STU_1251</t>
  </si>
  <si>
    <t>STU_1252</t>
  </si>
  <si>
    <t>STU_1253</t>
  </si>
  <si>
    <t>STU_1254</t>
  </si>
  <si>
    <t>STU_1255</t>
  </si>
  <si>
    <t>STU_1256</t>
  </si>
  <si>
    <t>STU_1257</t>
  </si>
  <si>
    <t>STU_1258</t>
  </si>
  <si>
    <t>STU_1259</t>
  </si>
  <si>
    <t>STU_1260</t>
  </si>
  <si>
    <t>STU_1261</t>
  </si>
  <si>
    <t>STU_1262</t>
  </si>
  <si>
    <t>STU_1263</t>
  </si>
  <si>
    <t>STU_1264</t>
  </si>
  <si>
    <t>STU_1265</t>
  </si>
  <si>
    <t>STU_1266</t>
  </si>
  <si>
    <t>STU_1267</t>
  </si>
  <si>
    <t>STU_1268</t>
  </si>
  <si>
    <t>STU_1269</t>
  </si>
  <si>
    <t>STU_1270</t>
  </si>
  <si>
    <t>STU_1271</t>
  </si>
  <si>
    <t>STU_1272</t>
  </si>
  <si>
    <t>STU_1273</t>
  </si>
  <si>
    <t>STU_1274</t>
  </si>
  <si>
    <t>STU_1275</t>
  </si>
  <si>
    <t>STU_1276</t>
  </si>
  <si>
    <t>STU_1277</t>
  </si>
  <si>
    <t>STU_1278</t>
  </si>
  <si>
    <t>STU_1279</t>
  </si>
  <si>
    <t>STU_1280</t>
  </si>
  <si>
    <t>STU_1281</t>
  </si>
  <si>
    <t>STU_1282</t>
  </si>
  <si>
    <t>STU_1283</t>
  </si>
  <si>
    <t>STU_1284</t>
  </si>
  <si>
    <t>STU_1285</t>
  </si>
  <si>
    <t>STU_1286</t>
  </si>
  <si>
    <t>STU_1287</t>
  </si>
  <si>
    <t>STU_1288</t>
  </si>
  <si>
    <t>STU_1289</t>
  </si>
  <si>
    <t>STU_1290</t>
  </si>
  <si>
    <t>STU_1291</t>
  </si>
  <si>
    <t>STU_1292</t>
  </si>
  <si>
    <t>STU_1293</t>
  </si>
  <si>
    <t>STU_1294</t>
  </si>
  <si>
    <t>STU_1295</t>
  </si>
  <si>
    <t>STU_1296</t>
  </si>
  <si>
    <t>STU_1297</t>
  </si>
  <si>
    <t>STU_1298</t>
  </si>
  <si>
    <t>STU_1299</t>
  </si>
  <si>
    <t>STU_1300</t>
  </si>
  <si>
    <t>STU_1301</t>
  </si>
  <si>
    <t>STU_1302</t>
  </si>
  <si>
    <t>STU_1303</t>
  </si>
  <si>
    <t>STU_1304</t>
  </si>
  <si>
    <t>STU_1305</t>
  </si>
  <si>
    <t>STU_1306</t>
  </si>
  <si>
    <t>STU_1307</t>
  </si>
  <si>
    <t>STU_1308</t>
  </si>
  <si>
    <t>STU_1309</t>
  </si>
  <si>
    <t>STU_1310</t>
  </si>
  <si>
    <t>STU_1311</t>
  </si>
  <si>
    <t>STU_1312</t>
  </si>
  <si>
    <t>STU_1313</t>
  </si>
  <si>
    <t>STU_1314</t>
  </si>
  <si>
    <t>STU_1315</t>
  </si>
  <si>
    <t>STU_1316</t>
  </si>
  <si>
    <t>STU_1317</t>
  </si>
  <si>
    <t>STU_1318</t>
  </si>
  <si>
    <t>STU_1319</t>
  </si>
  <si>
    <t>STU_1320</t>
  </si>
  <si>
    <t>STU_1321</t>
  </si>
  <si>
    <t>STU_1322</t>
  </si>
  <si>
    <t>STU_1323</t>
  </si>
  <si>
    <t>STU_1324</t>
  </si>
  <si>
    <t>STU_1325</t>
  </si>
  <si>
    <t>STU_1326</t>
  </si>
  <si>
    <t>STU_1327</t>
  </si>
  <si>
    <t>STU_1328</t>
  </si>
  <si>
    <t>STU_1329</t>
  </si>
  <si>
    <t>STU_1330</t>
  </si>
  <si>
    <t>STU_1331</t>
  </si>
  <si>
    <t>STU_1332</t>
  </si>
  <si>
    <t>STU_1333</t>
  </si>
  <si>
    <t>STU_1334</t>
  </si>
  <si>
    <t>STU_1335</t>
  </si>
  <si>
    <t>STU_1336</t>
  </si>
  <si>
    <t>STU_1337</t>
  </si>
  <si>
    <t>STU_1338</t>
  </si>
  <si>
    <t>STU_1339</t>
  </si>
  <si>
    <t>STU_1340</t>
  </si>
  <si>
    <t>STU_1341</t>
  </si>
  <si>
    <t>STU_1342</t>
  </si>
  <si>
    <t>STU_1343</t>
  </si>
  <si>
    <t>STU_1344</t>
  </si>
  <si>
    <t>STU_1345</t>
  </si>
  <si>
    <t>STU_1346</t>
  </si>
  <si>
    <t>STU_1347</t>
  </si>
  <si>
    <t>STU_1348</t>
  </si>
  <si>
    <t>STU_1349</t>
  </si>
  <si>
    <t>STU_1350</t>
  </si>
  <si>
    <t>STU_1351</t>
  </si>
  <si>
    <t>STU_1352</t>
  </si>
  <si>
    <t>STU_1353</t>
  </si>
  <si>
    <t>STU_1354</t>
  </si>
  <si>
    <t>STU_1355</t>
  </si>
  <si>
    <t>STU_1356</t>
  </si>
  <si>
    <t>STU_1357</t>
  </si>
  <si>
    <t>STU_1358</t>
  </si>
  <si>
    <t>STU_1359</t>
  </si>
  <si>
    <t>STU_1360</t>
  </si>
  <si>
    <t>STU_1361</t>
  </si>
  <si>
    <t>STU_1362</t>
  </si>
  <si>
    <t>STU_1363</t>
  </si>
  <si>
    <t>STU_1364</t>
  </si>
  <si>
    <t>STU_1365</t>
  </si>
  <si>
    <t>STU_1366</t>
  </si>
  <si>
    <t>STU_1367</t>
  </si>
  <si>
    <t>STU_1368</t>
  </si>
  <si>
    <t>STU_1369</t>
  </si>
  <si>
    <t>STU_1370</t>
  </si>
  <si>
    <t>STU_1371</t>
  </si>
  <si>
    <t>STU_1372</t>
  </si>
  <si>
    <t>STU_1373</t>
  </si>
  <si>
    <t>STU_1374</t>
  </si>
  <si>
    <t>STU_1375</t>
  </si>
  <si>
    <t>STU_1376</t>
  </si>
  <si>
    <t>STU_1377</t>
  </si>
  <si>
    <t>STU_1378</t>
  </si>
  <si>
    <t>STU_1379</t>
  </si>
  <si>
    <t>STU_1380</t>
  </si>
  <si>
    <t>STU_1381</t>
  </si>
  <si>
    <t>STU_1382</t>
  </si>
  <si>
    <t>STU_1383</t>
  </si>
  <si>
    <t>STU_1384</t>
  </si>
  <si>
    <t>STU_1385</t>
  </si>
  <si>
    <t>STU_1386</t>
  </si>
  <si>
    <t>STU_1387</t>
  </si>
  <si>
    <t>STU_1388</t>
  </si>
  <si>
    <t>STU_1389</t>
  </si>
  <si>
    <t>STU_1390</t>
  </si>
  <si>
    <t>STU_1391</t>
  </si>
  <si>
    <t>STU_1392</t>
  </si>
  <si>
    <t>STU_1393</t>
  </si>
  <si>
    <t>STU_1394</t>
  </si>
  <si>
    <t>STU_1395</t>
  </si>
  <si>
    <t>STU_1396</t>
  </si>
  <si>
    <t>STU_1397</t>
  </si>
  <si>
    <t>STU_1398</t>
  </si>
  <si>
    <t>STU_1399</t>
  </si>
  <si>
    <t>STU_1400</t>
  </si>
  <si>
    <t>STU_1401</t>
  </si>
  <si>
    <t>STU_1402</t>
  </si>
  <si>
    <t>STU_1403</t>
  </si>
  <si>
    <t>STU_1404</t>
  </si>
  <si>
    <t>STU_1405</t>
  </si>
  <si>
    <t>STU_1406</t>
  </si>
  <si>
    <t>STU_1407</t>
  </si>
  <si>
    <t>STU_1408</t>
  </si>
  <si>
    <t>STU_1409</t>
  </si>
  <si>
    <t>STU_1410</t>
  </si>
  <si>
    <t>STU_1411</t>
  </si>
  <si>
    <t>STU_1412</t>
  </si>
  <si>
    <t>STU_1413</t>
  </si>
  <si>
    <t>STU_1414</t>
  </si>
  <si>
    <t>STU_1415</t>
  </si>
  <si>
    <t>STU_1416</t>
  </si>
  <si>
    <t>STU_1417</t>
  </si>
  <si>
    <t>STU_1418</t>
  </si>
  <si>
    <t>STU_1419</t>
  </si>
  <si>
    <t>STU_1420</t>
  </si>
  <si>
    <t>STU_1421</t>
  </si>
  <si>
    <t>STU_1422</t>
  </si>
  <si>
    <t>STU_1423</t>
  </si>
  <si>
    <t>STU_1424</t>
  </si>
  <si>
    <t>STU_1425</t>
  </si>
  <si>
    <t>STU_1426</t>
  </si>
  <si>
    <t>STU_1427</t>
  </si>
  <si>
    <t>STU_1428</t>
  </si>
  <si>
    <t>STU_1429</t>
  </si>
  <si>
    <t>STU_1430</t>
  </si>
  <si>
    <t>STU_1431</t>
  </si>
  <si>
    <t>STU_1432</t>
  </si>
  <si>
    <t>STU_1433</t>
  </si>
  <si>
    <t>STU_1434</t>
  </si>
  <si>
    <t>STU_1435</t>
  </si>
  <si>
    <t>STU_1436</t>
  </si>
  <si>
    <t>STU_1437</t>
  </si>
  <si>
    <t>STU_1438</t>
  </si>
  <si>
    <t>STU_1439</t>
  </si>
  <si>
    <t>STU_1440</t>
  </si>
  <si>
    <t>STU_1441</t>
  </si>
  <si>
    <t>STU_1442</t>
  </si>
  <si>
    <t>STU_1443</t>
  </si>
  <si>
    <t>STU_1444</t>
  </si>
  <si>
    <t>STU_1445</t>
  </si>
  <si>
    <t>STU_1446</t>
  </si>
  <si>
    <t>STU_1447</t>
  </si>
  <si>
    <t>STU_1448</t>
  </si>
  <si>
    <t>STU_1449</t>
  </si>
  <si>
    <t>STU_1450</t>
  </si>
  <si>
    <t>STU_1451</t>
  </si>
  <si>
    <t>STU_1452</t>
  </si>
  <si>
    <t>STU_1453</t>
  </si>
  <si>
    <t>STU_1454</t>
  </si>
  <si>
    <t>STU_1455</t>
  </si>
  <si>
    <t>STU_1456</t>
  </si>
  <si>
    <t>STU_1457</t>
  </si>
  <si>
    <t>STU_1458</t>
  </si>
  <si>
    <t>STU_1459</t>
  </si>
  <si>
    <t>STU_1460</t>
  </si>
  <si>
    <t>STU_1461</t>
  </si>
  <si>
    <t>STU_1462</t>
  </si>
  <si>
    <t>STU_1463</t>
  </si>
  <si>
    <t>STU_1464</t>
  </si>
  <si>
    <t>STU_1465</t>
  </si>
  <si>
    <t>STU_1466</t>
  </si>
  <si>
    <t>STU_1467</t>
  </si>
  <si>
    <t>STU_1468</t>
  </si>
  <si>
    <t>STU_1469</t>
  </si>
  <si>
    <t>STU_1470</t>
  </si>
  <si>
    <t>STU_1471</t>
  </si>
  <si>
    <t>STU_1472</t>
  </si>
  <si>
    <t>STU_1473</t>
  </si>
  <si>
    <t>STU_1474</t>
  </si>
  <si>
    <t>STU_1475</t>
  </si>
  <si>
    <t>STU_1476</t>
  </si>
  <si>
    <t>STU_1477</t>
  </si>
  <si>
    <t>STU_1478</t>
  </si>
  <si>
    <t>STU_1479</t>
  </si>
  <si>
    <t>STU_1480</t>
  </si>
  <si>
    <t>STU_1481</t>
  </si>
  <si>
    <t>STU_1482</t>
  </si>
  <si>
    <t>STU_1483</t>
  </si>
  <si>
    <t>STU_1484</t>
  </si>
  <si>
    <t>STU_1485</t>
  </si>
  <si>
    <t>STU_1486</t>
  </si>
  <si>
    <t>STU_1487</t>
  </si>
  <si>
    <t>STU_1488</t>
  </si>
  <si>
    <t>STU_1489</t>
  </si>
  <si>
    <t>STU_1490</t>
  </si>
  <si>
    <t>STU_1491</t>
  </si>
  <si>
    <t>STU_1492</t>
  </si>
  <si>
    <t>STU_1493</t>
  </si>
  <si>
    <t>STU_1494</t>
  </si>
  <si>
    <t>STU_1495</t>
  </si>
  <si>
    <t>STU_1496</t>
  </si>
  <si>
    <t>STU_1497</t>
  </si>
  <si>
    <t>STU_1498</t>
  </si>
  <si>
    <t>STU_1499</t>
  </si>
  <si>
    <t>STU_1500</t>
  </si>
  <si>
    <t>STU_1501</t>
  </si>
  <si>
    <t>STU_1502</t>
  </si>
  <si>
    <t>STU_1503</t>
  </si>
  <si>
    <t>STU_1504</t>
  </si>
  <si>
    <t>STU_1505</t>
  </si>
  <si>
    <t>STU_1506</t>
  </si>
  <si>
    <t>STU_1507</t>
  </si>
  <si>
    <t>STU_1508</t>
  </si>
  <si>
    <t>STU_1509</t>
  </si>
  <si>
    <t>STU_1510</t>
  </si>
  <si>
    <t>STU_1511</t>
  </si>
  <si>
    <t>STU_1512</t>
  </si>
  <si>
    <t>STU_1513</t>
  </si>
  <si>
    <t>STU_1514</t>
  </si>
  <si>
    <t>STU_1515</t>
  </si>
  <si>
    <t>STU_1516</t>
  </si>
  <si>
    <t>STU_1517</t>
  </si>
  <si>
    <t>STU_1518</t>
  </si>
  <si>
    <t>STU_1519</t>
  </si>
  <si>
    <t>STU_1520</t>
  </si>
  <si>
    <t>STU_1521</t>
  </si>
  <si>
    <t>STU_1522</t>
  </si>
  <si>
    <t>STU_1523</t>
  </si>
  <si>
    <t>STU_1524</t>
  </si>
  <si>
    <t>STU_1525</t>
  </si>
  <si>
    <t>STU_1526</t>
  </si>
  <si>
    <t>STU_1527</t>
  </si>
  <si>
    <t>STU_1528</t>
  </si>
  <si>
    <t>STU_1529</t>
  </si>
  <si>
    <t>STU_1530</t>
  </si>
  <si>
    <t>STU_1531</t>
  </si>
  <si>
    <t>STU_1532</t>
  </si>
  <si>
    <t>STU_1533</t>
  </si>
  <si>
    <t>STU_1534</t>
  </si>
  <si>
    <t>STU_1535</t>
  </si>
  <si>
    <t>STU_1536</t>
  </si>
  <si>
    <t>STU_1537</t>
  </si>
  <si>
    <t>STU_1538</t>
  </si>
  <si>
    <t>STU_1539</t>
  </si>
  <si>
    <t>STU_1540</t>
  </si>
  <si>
    <t>STU_1541</t>
  </si>
  <si>
    <t>STU_1542</t>
  </si>
  <si>
    <t>STU_1543</t>
  </si>
  <si>
    <t>STU_1544</t>
  </si>
  <si>
    <t>STU_1545</t>
  </si>
  <si>
    <t>STU_1546</t>
  </si>
  <si>
    <t>STU_1547</t>
  </si>
  <si>
    <t>STU_1548</t>
  </si>
  <si>
    <t>STU_1549</t>
  </si>
  <si>
    <t>STU_1550</t>
  </si>
  <si>
    <t>STU_1551</t>
  </si>
  <si>
    <t>STU_1552</t>
  </si>
  <si>
    <t>STU_1553</t>
  </si>
  <si>
    <t>STU_1554</t>
  </si>
  <si>
    <t>STU_1555</t>
  </si>
  <si>
    <t>STU_1556</t>
  </si>
  <si>
    <t>STU_1557</t>
  </si>
  <si>
    <t>STU_1558</t>
  </si>
  <si>
    <t>STU_1559</t>
  </si>
  <si>
    <t>STU_1560</t>
  </si>
  <si>
    <t>STU_1561</t>
  </si>
  <si>
    <t>STU_1562</t>
  </si>
  <si>
    <t>STU_1563</t>
  </si>
  <si>
    <t>STU_1564</t>
  </si>
  <si>
    <t>STU_1565</t>
  </si>
  <si>
    <t>STU_1566</t>
  </si>
  <si>
    <t>STU_1567</t>
  </si>
  <si>
    <t>STU_1568</t>
  </si>
  <si>
    <t>STU_1569</t>
  </si>
  <si>
    <t>STU_1570</t>
  </si>
  <si>
    <t>STU_1571</t>
  </si>
  <si>
    <t>STU_1572</t>
  </si>
  <si>
    <t>STU_1573</t>
  </si>
  <si>
    <t>STU_1574</t>
  </si>
  <si>
    <t>STU_1575</t>
  </si>
  <si>
    <t>STU_1576</t>
  </si>
  <si>
    <t>STU_1577</t>
  </si>
  <si>
    <t>STU_1578</t>
  </si>
  <si>
    <t>STU_1579</t>
  </si>
  <si>
    <t>STU_1580</t>
  </si>
  <si>
    <t>STU_1581</t>
  </si>
  <si>
    <t>STU_1582</t>
  </si>
  <si>
    <t>STU_1583</t>
  </si>
  <si>
    <t>STU_1584</t>
  </si>
  <si>
    <t>STU_1585</t>
  </si>
  <si>
    <t>STU_1586</t>
  </si>
  <si>
    <t>STU_1587</t>
  </si>
  <si>
    <t>STU_1588</t>
  </si>
  <si>
    <t>STU_1589</t>
  </si>
  <si>
    <t>STU_1590</t>
  </si>
  <si>
    <t>STU_1591</t>
  </si>
  <si>
    <t>STU_1592</t>
  </si>
  <si>
    <t>STU_1593</t>
  </si>
  <si>
    <t>STU_1594</t>
  </si>
  <si>
    <t>STU_1595</t>
  </si>
  <si>
    <t>STU_1596</t>
  </si>
  <si>
    <t>STU_1597</t>
  </si>
  <si>
    <t>STU_1598</t>
  </si>
  <si>
    <t>STU_1599</t>
  </si>
  <si>
    <t>STU_1600</t>
  </si>
  <si>
    <t>STU_1601</t>
  </si>
  <si>
    <t>STU_1602</t>
  </si>
  <si>
    <t>STU_1603</t>
  </si>
  <si>
    <t>STU_1604</t>
  </si>
  <si>
    <t>STU_1605</t>
  </si>
  <si>
    <t>STU_1606</t>
  </si>
  <si>
    <t>STU_1607</t>
  </si>
  <si>
    <t>STU_1608</t>
  </si>
  <si>
    <t>STU_1609</t>
  </si>
  <si>
    <t>STU_1610</t>
  </si>
  <si>
    <t>STU_1611</t>
  </si>
  <si>
    <t>STU_1612</t>
  </si>
  <si>
    <t>STU_1613</t>
  </si>
  <si>
    <t>STU_1614</t>
  </si>
  <si>
    <t>STU_1615</t>
  </si>
  <si>
    <t>STU_1616</t>
  </si>
  <si>
    <t>STU_1617</t>
  </si>
  <si>
    <t>STU_1618</t>
  </si>
  <si>
    <t>STU_1619</t>
  </si>
  <si>
    <t>STU_1620</t>
  </si>
  <si>
    <t>STU_1621</t>
  </si>
  <si>
    <t>STU_1622</t>
  </si>
  <si>
    <t>STU_1623</t>
  </si>
  <si>
    <t>STU_1624</t>
  </si>
  <si>
    <t>STU_1625</t>
  </si>
  <si>
    <t>STU_1626</t>
  </si>
  <si>
    <t>STU_1627</t>
  </si>
  <si>
    <t>STU_1628</t>
  </si>
  <si>
    <t>STU_1629</t>
  </si>
  <si>
    <t>STU_1630</t>
  </si>
  <si>
    <t>STU_1631</t>
  </si>
  <si>
    <t>STU_1632</t>
  </si>
  <si>
    <t>STU_1633</t>
  </si>
  <si>
    <t>STU_1634</t>
  </si>
  <si>
    <t>STU_1635</t>
  </si>
  <si>
    <t>STU_1636</t>
  </si>
  <si>
    <t>STU_1637</t>
  </si>
  <si>
    <t>STU_1638</t>
  </si>
  <si>
    <t>STU_1639</t>
  </si>
  <si>
    <t>STU_1640</t>
  </si>
  <si>
    <t>STU_1641</t>
  </si>
  <si>
    <t>STU_1642</t>
  </si>
  <si>
    <t>STU_1643</t>
  </si>
  <si>
    <t>STU_1644</t>
  </si>
  <si>
    <t>STU_1645</t>
  </si>
  <si>
    <t>STU_1646</t>
  </si>
  <si>
    <t>STU_1647</t>
  </si>
  <si>
    <t>STU_1648</t>
  </si>
  <si>
    <t>STU_1649</t>
  </si>
  <si>
    <t>STU_1650</t>
  </si>
  <si>
    <t>STU_1651</t>
  </si>
  <si>
    <t>STU_1652</t>
  </si>
  <si>
    <t>STU_1653</t>
  </si>
  <si>
    <t>STU_1654</t>
  </si>
  <si>
    <t>STU_1655</t>
  </si>
  <si>
    <t>STU_1656</t>
  </si>
  <si>
    <t>STU_1657</t>
  </si>
  <si>
    <t>STU_1658</t>
  </si>
  <si>
    <t>STU_1659</t>
  </si>
  <si>
    <t>STU_1660</t>
  </si>
  <si>
    <t>STU_1661</t>
  </si>
  <si>
    <t>STU_1662</t>
  </si>
  <si>
    <t>STU_1663</t>
  </si>
  <si>
    <t>STU_1664</t>
  </si>
  <si>
    <t>STU_1665</t>
  </si>
  <si>
    <t>STU_1666</t>
  </si>
  <si>
    <t>STU_1667</t>
  </si>
  <si>
    <t>STU_1668</t>
  </si>
  <si>
    <t>STU_1669</t>
  </si>
  <si>
    <t>STU_1670</t>
  </si>
  <si>
    <t>STU_1671</t>
  </si>
  <si>
    <t>STU_1672</t>
  </si>
  <si>
    <t>STU_1673</t>
  </si>
  <si>
    <t>STU_1674</t>
  </si>
  <si>
    <t>STU_1675</t>
  </si>
  <si>
    <t>STU_1676</t>
  </si>
  <si>
    <t>STU_1677</t>
  </si>
  <si>
    <t>STU_1678</t>
  </si>
  <si>
    <t>STU_1679</t>
  </si>
  <si>
    <t>STU_1680</t>
  </si>
  <si>
    <t>STU_1681</t>
  </si>
  <si>
    <t>STU_1682</t>
  </si>
  <si>
    <t>STU_1683</t>
  </si>
  <si>
    <t>STU_1684</t>
  </si>
  <si>
    <t>STU_1685</t>
  </si>
  <si>
    <t>STU_1686</t>
  </si>
  <si>
    <t>STU_1687</t>
  </si>
  <si>
    <t>STU_1688</t>
  </si>
  <si>
    <t>STU_1689</t>
  </si>
  <si>
    <t>STU_1690</t>
  </si>
  <si>
    <t>STU_1691</t>
  </si>
  <si>
    <t>STU_1692</t>
  </si>
  <si>
    <t>STU_1693</t>
  </si>
  <si>
    <t>STU_1694</t>
  </si>
  <si>
    <t>STU_1695</t>
  </si>
  <si>
    <t>STU_1696</t>
  </si>
  <si>
    <t>STU_1697</t>
  </si>
  <si>
    <t>STU_1698</t>
  </si>
  <si>
    <t>STU_1699</t>
  </si>
  <si>
    <t>STU_1700</t>
  </si>
  <si>
    <t>STU_1701</t>
  </si>
  <si>
    <t>STU_1702</t>
  </si>
  <si>
    <t>STU_1703</t>
  </si>
  <si>
    <t>STU_1704</t>
  </si>
  <si>
    <t>STU_1705</t>
  </si>
  <si>
    <t>STU_1706</t>
  </si>
  <si>
    <t>STU_1707</t>
  </si>
  <si>
    <t>STU_1708</t>
  </si>
  <si>
    <t>STU_1709</t>
  </si>
  <si>
    <t>STU_1710</t>
  </si>
  <si>
    <t>STU_1711</t>
  </si>
  <si>
    <t>STU_1712</t>
  </si>
  <si>
    <t>STU_1713</t>
  </si>
  <si>
    <t>STU_1714</t>
  </si>
  <si>
    <t>STU_1715</t>
  </si>
  <si>
    <t>STU_1716</t>
  </si>
  <si>
    <t>STU_1717</t>
  </si>
  <si>
    <t>STU_1718</t>
  </si>
  <si>
    <t>STU_1719</t>
  </si>
  <si>
    <t>STU_1720</t>
  </si>
  <si>
    <t>STU_1721</t>
  </si>
  <si>
    <t>STU_1722</t>
  </si>
  <si>
    <t>STU_1723</t>
  </si>
  <si>
    <t>STU_1724</t>
  </si>
  <si>
    <t>STU_1725</t>
  </si>
  <si>
    <t>STU_1726</t>
  </si>
  <si>
    <t>STU_1727</t>
  </si>
  <si>
    <t>STU_1728</t>
  </si>
  <si>
    <t>STU_1729</t>
  </si>
  <si>
    <t>STU_1730</t>
  </si>
  <si>
    <t>STU_1731</t>
  </si>
  <si>
    <t>STU_1732</t>
  </si>
  <si>
    <t>STU_1733</t>
  </si>
  <si>
    <t>STU_1734</t>
  </si>
  <si>
    <t>STU_1735</t>
  </si>
  <si>
    <t>STU_1736</t>
  </si>
  <si>
    <t>STU_1737</t>
  </si>
  <si>
    <t>STU_1738</t>
  </si>
  <si>
    <t>STU_1739</t>
  </si>
  <si>
    <t>STU_1740</t>
  </si>
  <si>
    <t>STU_1741</t>
  </si>
  <si>
    <t>STU_1742</t>
  </si>
  <si>
    <t>STU_1743</t>
  </si>
  <si>
    <t>STU_1744</t>
  </si>
  <si>
    <t>STU_1745</t>
  </si>
  <si>
    <t>STU_1746</t>
  </si>
  <si>
    <t>STU_1747</t>
  </si>
  <si>
    <t>STU_1748</t>
  </si>
  <si>
    <t>STU_1749</t>
  </si>
  <si>
    <t>STU_1750</t>
  </si>
  <si>
    <t>STU_1751</t>
  </si>
  <si>
    <t>STU_1752</t>
  </si>
  <si>
    <t>STU_1753</t>
  </si>
  <si>
    <t>STU_1754</t>
  </si>
  <si>
    <t>STU_1755</t>
  </si>
  <si>
    <t>STU_1756</t>
  </si>
  <si>
    <t>STU_1757</t>
  </si>
  <si>
    <t>STU_1758</t>
  </si>
  <si>
    <t>STU_1759</t>
  </si>
  <si>
    <t>STU_1760</t>
  </si>
  <si>
    <t>STU_1761</t>
  </si>
  <si>
    <t>STU_1762</t>
  </si>
  <si>
    <t>STU_1763</t>
  </si>
  <si>
    <t>STU_1764</t>
  </si>
  <si>
    <t>STU_1765</t>
  </si>
  <si>
    <t>STU_1766</t>
  </si>
  <si>
    <t>STU_1767</t>
  </si>
  <si>
    <t>STU_1768</t>
  </si>
  <si>
    <t>STU_1769</t>
  </si>
  <si>
    <t>STU_1770</t>
  </si>
  <si>
    <t>STU_1771</t>
  </si>
  <si>
    <t>STU_1772</t>
  </si>
  <si>
    <t>STU_1773</t>
  </si>
  <si>
    <t>STU_1774</t>
  </si>
  <si>
    <t>STU_1775</t>
  </si>
  <si>
    <t>STU_1776</t>
  </si>
  <si>
    <t>STU_1777</t>
  </si>
  <si>
    <t>STU_1778</t>
  </si>
  <si>
    <t>STU_1779</t>
  </si>
  <si>
    <t>STU_1780</t>
  </si>
  <si>
    <t>STU_1781</t>
  </si>
  <si>
    <t>STU_1782</t>
  </si>
  <si>
    <t>STU_1783</t>
  </si>
  <si>
    <t>STU_1784</t>
  </si>
  <si>
    <t>STU_1785</t>
  </si>
  <si>
    <t>STU_1786</t>
  </si>
  <si>
    <t>STU_1787</t>
  </si>
  <si>
    <t>STU_1788</t>
  </si>
  <si>
    <t>STU_1789</t>
  </si>
  <si>
    <t>STU_1790</t>
  </si>
  <si>
    <t>STU_1791</t>
  </si>
  <si>
    <t>STU_1792</t>
  </si>
  <si>
    <t>STU_1793</t>
  </si>
  <si>
    <t>STU_1794</t>
  </si>
  <si>
    <t>STU_1795</t>
  </si>
  <si>
    <t>STU_1796</t>
  </si>
  <si>
    <t>STU_1797</t>
  </si>
  <si>
    <t>STU_1798</t>
  </si>
  <si>
    <t>STU_1799</t>
  </si>
  <si>
    <t>STU_1800</t>
  </si>
  <si>
    <t>STU_1801</t>
  </si>
  <si>
    <t>STU_1802</t>
  </si>
  <si>
    <t>STU_1803</t>
  </si>
  <si>
    <t>STU_1804</t>
  </si>
  <si>
    <t>STU_1805</t>
  </si>
  <si>
    <t>STU_1806</t>
  </si>
  <si>
    <t>STU_1807</t>
  </si>
  <si>
    <t>STU_1808</t>
  </si>
  <si>
    <t>STU_1809</t>
  </si>
  <si>
    <t>STU_1810</t>
  </si>
  <si>
    <t>STU_1811</t>
  </si>
  <si>
    <t>STU_1812</t>
  </si>
  <si>
    <t>STU_1813</t>
  </si>
  <si>
    <t>STU_1814</t>
  </si>
  <si>
    <t>STU_1815</t>
  </si>
  <si>
    <t>STU_1816</t>
  </si>
  <si>
    <t>STU_1817</t>
  </si>
  <si>
    <t>STU_1818</t>
  </si>
  <si>
    <t>STU_1819</t>
  </si>
  <si>
    <t>STU_1820</t>
  </si>
  <si>
    <t>STU_1821</t>
  </si>
  <si>
    <t>STU_1822</t>
  </si>
  <si>
    <t>STU_1823</t>
  </si>
  <si>
    <t>STU_1824</t>
  </si>
  <si>
    <t>STU_1825</t>
  </si>
  <si>
    <t>STU_1826</t>
  </si>
  <si>
    <t>STU_1827</t>
  </si>
  <si>
    <t>STU_1828</t>
  </si>
  <si>
    <t>STU_1829</t>
  </si>
  <si>
    <t>STU_1830</t>
  </si>
  <si>
    <t>STU_1831</t>
  </si>
  <si>
    <t>STU_1832</t>
  </si>
  <si>
    <t>STU_1833</t>
  </si>
  <si>
    <t>STU_1834</t>
  </si>
  <si>
    <t>STU_1835</t>
  </si>
  <si>
    <t>STU_1836</t>
  </si>
  <si>
    <t>STU_1837</t>
  </si>
  <si>
    <t>STU_1838</t>
  </si>
  <si>
    <t>STU_1839</t>
  </si>
  <si>
    <t>STU_1840</t>
  </si>
  <si>
    <t>STU_1841</t>
  </si>
  <si>
    <t>STU_1842</t>
  </si>
  <si>
    <t>STU_1843</t>
  </si>
  <si>
    <t>STU_1844</t>
  </si>
  <si>
    <t>STU_1845</t>
  </si>
  <si>
    <t>STU_1846</t>
  </si>
  <si>
    <t>STU_1847</t>
  </si>
  <si>
    <t>STU_1848</t>
  </si>
  <si>
    <t>STU_1849</t>
  </si>
  <si>
    <t>STU_1850</t>
  </si>
  <si>
    <t>STU_1851</t>
  </si>
  <si>
    <t>STU_1852</t>
  </si>
  <si>
    <t>STU_1853</t>
  </si>
  <si>
    <t>STU_1854</t>
  </si>
  <si>
    <t>STU_1855</t>
  </si>
  <si>
    <t>STU_1856</t>
  </si>
  <si>
    <t>STU_1857</t>
  </si>
  <si>
    <t>STU_1858</t>
  </si>
  <si>
    <t>STU_1859</t>
  </si>
  <si>
    <t>STU_1860</t>
  </si>
  <si>
    <t>STU_1861</t>
  </si>
  <si>
    <t>STU_1862</t>
  </si>
  <si>
    <t>STU_1863</t>
  </si>
  <si>
    <t>STU_1864</t>
  </si>
  <si>
    <t>STU_1865</t>
  </si>
  <si>
    <t>STU_1866</t>
  </si>
  <si>
    <t>STU_1867</t>
  </si>
  <si>
    <t>STU_1868</t>
  </si>
  <si>
    <t>STU_1869</t>
  </si>
  <si>
    <t>STU_1870</t>
  </si>
  <si>
    <t>STU_1871</t>
  </si>
  <si>
    <t>STU_1872</t>
  </si>
  <si>
    <t>STU_1873</t>
  </si>
  <si>
    <t>STU_1874</t>
  </si>
  <si>
    <t>STU_1875</t>
  </si>
  <si>
    <t>STU_1876</t>
  </si>
  <si>
    <t>STU_1877</t>
  </si>
  <si>
    <t>STU_1878</t>
  </si>
  <si>
    <t>STU_1879</t>
  </si>
  <si>
    <t>STU_1880</t>
  </si>
  <si>
    <t>STU_1881</t>
  </si>
  <si>
    <t>STU_1882</t>
  </si>
  <si>
    <t>STU_1883</t>
  </si>
  <si>
    <t>STU_1884</t>
  </si>
  <si>
    <t>STU_1885</t>
  </si>
  <si>
    <t>STU_1886</t>
  </si>
  <si>
    <t>STU_1887</t>
  </si>
  <si>
    <t>STU_1888</t>
  </si>
  <si>
    <t>STU_1889</t>
  </si>
  <si>
    <t>STU_1890</t>
  </si>
  <si>
    <t>STU_1891</t>
  </si>
  <si>
    <t>STU_1892</t>
  </si>
  <si>
    <t>STU_1893</t>
  </si>
  <si>
    <t>STU_1894</t>
  </si>
  <si>
    <t>STU_1895</t>
  </si>
  <si>
    <t>STU_1896</t>
  </si>
  <si>
    <t>STU_1897</t>
  </si>
  <si>
    <t>STU_1898</t>
  </si>
  <si>
    <t>STU_1899</t>
  </si>
  <si>
    <t>STU_1900</t>
  </si>
  <si>
    <t>STU_1901</t>
  </si>
  <si>
    <t>STU_1902</t>
  </si>
  <si>
    <t>STU_1903</t>
  </si>
  <si>
    <t>STU_1904</t>
  </si>
  <si>
    <t>STU_1905</t>
  </si>
  <si>
    <t>STU_1906</t>
  </si>
  <si>
    <t>STU_1907</t>
  </si>
  <si>
    <t>STU_1908</t>
  </si>
  <si>
    <t>STU_1909</t>
  </si>
  <si>
    <t>STU_1910</t>
  </si>
  <si>
    <t>STU_1911</t>
  </si>
  <si>
    <t>STU_1912</t>
  </si>
  <si>
    <t>STU_1913</t>
  </si>
  <si>
    <t>STU_1914</t>
  </si>
  <si>
    <t>STU_1915</t>
  </si>
  <si>
    <t>STU_1916</t>
  </si>
  <si>
    <t>STU_1917</t>
  </si>
  <si>
    <t>STU_1918</t>
  </si>
  <si>
    <t>STU_1919</t>
  </si>
  <si>
    <t>STU_1920</t>
  </si>
  <si>
    <t>STU_1921</t>
  </si>
  <si>
    <t>STU_1922</t>
  </si>
  <si>
    <t>STU_1923</t>
  </si>
  <si>
    <t>STU_1924</t>
  </si>
  <si>
    <t>STU_1925</t>
  </si>
  <si>
    <t>STU_1926</t>
  </si>
  <si>
    <t>STU_1927</t>
  </si>
  <si>
    <t>STU_1928</t>
  </si>
  <si>
    <t>STU_1929</t>
  </si>
  <si>
    <t>STU_1930</t>
  </si>
  <si>
    <t>STU_1931</t>
  </si>
  <si>
    <t>STU_1932</t>
  </si>
  <si>
    <t>STU_1933</t>
  </si>
  <si>
    <t>STU_1934</t>
  </si>
  <si>
    <t>STU_1935</t>
  </si>
  <si>
    <t>STU_1936</t>
  </si>
  <si>
    <t>STU_1937</t>
  </si>
  <si>
    <t>STU_1938</t>
  </si>
  <si>
    <t>STU_1939</t>
  </si>
  <si>
    <t>STU_1940</t>
  </si>
  <si>
    <t>STU_1941</t>
  </si>
  <si>
    <t>STU_1942</t>
  </si>
  <si>
    <t>STU_1943</t>
  </si>
  <si>
    <t>STU_1944</t>
  </si>
  <si>
    <t>STU_1945</t>
  </si>
  <si>
    <t>STU_1946</t>
  </si>
  <si>
    <t>STU_1947</t>
  </si>
  <si>
    <t>STU_1948</t>
  </si>
  <si>
    <t>STU_1949</t>
  </si>
  <si>
    <t>STU_1950</t>
  </si>
  <si>
    <t>STU_1951</t>
  </si>
  <si>
    <t>STU_1952</t>
  </si>
  <si>
    <t>STU_1953</t>
  </si>
  <si>
    <t>STU_1954</t>
  </si>
  <si>
    <t>STU_1955</t>
  </si>
  <si>
    <t>STU_1956</t>
  </si>
  <si>
    <t>STU_1957</t>
  </si>
  <si>
    <t>STU_1958</t>
  </si>
  <si>
    <t>STU_1959</t>
  </si>
  <si>
    <t>STU_1960</t>
  </si>
  <si>
    <t>STU_1961</t>
  </si>
  <si>
    <t>STU_1962</t>
  </si>
  <si>
    <t>STU_1963</t>
  </si>
  <si>
    <t>STU_1964</t>
  </si>
  <si>
    <t>STU_1965</t>
  </si>
  <si>
    <t>STU_1966</t>
  </si>
  <si>
    <t>STU_1967</t>
  </si>
  <si>
    <t>STU_1968</t>
  </si>
  <si>
    <t>STU_1969</t>
  </si>
  <si>
    <t>STU_1970</t>
  </si>
  <si>
    <t>STU_1971</t>
  </si>
  <si>
    <t>STU_1972</t>
  </si>
  <si>
    <t>STU_1973</t>
  </si>
  <si>
    <t>STU_1974</t>
  </si>
  <si>
    <t>STU_1975</t>
  </si>
  <si>
    <t>STU_1976</t>
  </si>
  <si>
    <t>STU_1977</t>
  </si>
  <si>
    <t>STU_1978</t>
  </si>
  <si>
    <t>STU_1979</t>
  </si>
  <si>
    <t>STU_1980</t>
  </si>
  <si>
    <t>STU_1981</t>
  </si>
  <si>
    <t>STU_1982</t>
  </si>
  <si>
    <t>STU_1983</t>
  </si>
  <si>
    <t>STU_1984</t>
  </si>
  <si>
    <t>STU_1985</t>
  </si>
  <si>
    <t>STU_1986</t>
  </si>
  <si>
    <t>STU_1987</t>
  </si>
  <si>
    <t>STU_1988</t>
  </si>
  <si>
    <t>STU_1989</t>
  </si>
  <si>
    <t>STU_1990</t>
  </si>
  <si>
    <t>STU_1991</t>
  </si>
  <si>
    <t>STU_1992</t>
  </si>
  <si>
    <t>STU_1993</t>
  </si>
  <si>
    <t>STU_1994</t>
  </si>
  <si>
    <t>STU_1995</t>
  </si>
  <si>
    <t>STU_1996</t>
  </si>
  <si>
    <t>STU_1997</t>
  </si>
  <si>
    <t>STU_1998</t>
  </si>
  <si>
    <t>STU_1999</t>
  </si>
  <si>
    <t>Excel_Skill</t>
  </si>
  <si>
    <t>SQL_Skill</t>
  </si>
  <si>
    <t>Tableau_Skill</t>
  </si>
  <si>
    <t>Python_Skill</t>
  </si>
  <si>
    <t>Communication_Skill</t>
  </si>
  <si>
    <t>Internship_Count</t>
  </si>
  <si>
    <t>Internship_Domain</t>
  </si>
  <si>
    <t>Core Engineering</t>
  </si>
  <si>
    <t>Data Analytics</t>
  </si>
  <si>
    <t>Cybersecurity</t>
  </si>
  <si>
    <t>Web Development</t>
  </si>
  <si>
    <t>None</t>
  </si>
  <si>
    <t>Cloud Computing</t>
  </si>
  <si>
    <t>Data Science</t>
  </si>
  <si>
    <t>Software Engineering</t>
  </si>
  <si>
    <t>Placement_Status</t>
  </si>
  <si>
    <t>Company</t>
  </si>
  <si>
    <t>Package_LPA</t>
  </si>
  <si>
    <t>Placed</t>
  </si>
  <si>
    <t>TCS</t>
  </si>
  <si>
    <t>Unplaced</t>
  </si>
  <si>
    <t>N/A</t>
  </si>
  <si>
    <t>Wipro</t>
  </si>
  <si>
    <t>Accenture</t>
  </si>
  <si>
    <t>Deloitte</t>
  </si>
  <si>
    <t>Infosys</t>
  </si>
  <si>
    <t>Cognizant</t>
  </si>
  <si>
    <t>Capgemini</t>
  </si>
  <si>
    <t>Amazon</t>
  </si>
  <si>
    <t>Google</t>
  </si>
  <si>
    <t>Skills</t>
  </si>
  <si>
    <t>Internship</t>
  </si>
  <si>
    <t>Placements</t>
  </si>
  <si>
    <t>Employibility Score</t>
  </si>
  <si>
    <t>Skills Score</t>
  </si>
  <si>
    <t>Internship Category</t>
  </si>
  <si>
    <t>CGPA Category</t>
  </si>
  <si>
    <t>ANALYSIS</t>
  </si>
  <si>
    <t>Students</t>
  </si>
  <si>
    <t>Count of Student_ID</t>
  </si>
  <si>
    <t>Row Labels</t>
  </si>
  <si>
    <t>Grand Total</t>
  </si>
  <si>
    <t>Average of CGPA</t>
  </si>
  <si>
    <t>Average of Employibility Score</t>
  </si>
  <si>
    <t>Average of Skills Score</t>
  </si>
  <si>
    <t>Average of Package_LPA</t>
  </si>
  <si>
    <t>no of students</t>
  </si>
  <si>
    <t>no of branches</t>
  </si>
  <si>
    <t>avg cgpa</t>
  </si>
  <si>
    <t>avg projects</t>
  </si>
  <si>
    <t>avg skill score</t>
  </si>
  <si>
    <t>total interns</t>
  </si>
  <si>
    <t>total paced</t>
  </si>
  <si>
    <t>avg package</t>
  </si>
  <si>
    <t>highest package</t>
  </si>
  <si>
    <t>avg employbility score</t>
  </si>
  <si>
    <t>placement percentage</t>
  </si>
  <si>
    <t>Project Count</t>
  </si>
  <si>
    <t>Internship Count</t>
  </si>
  <si>
    <t>Average of Project Count</t>
  </si>
  <si>
    <t>Sum of Internship Count</t>
  </si>
  <si>
    <t>Max. of Package_LPA2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</si>
</sst>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4"/>
      <color theme="1"/>
      <name val="Aptos Narrow"/>
      <scheme val="minor"/>
    </font>
    <font>
      <b/>
      <sz val="22"/>
      <color theme="1"/>
      <name val="Aptos Narrow"/>
      <scheme val="minor"/>
    </font>
    <font>
      <sz val="12"/>
      <color rgb="FF000000"/>
      <name val="Aptos Narrow"/>
      <family val="2"/>
      <scheme val="minor"/>
    </font>
    <font>
      <b/>
      <sz val="22"/>
      <color theme="0"/>
      <name val="Aptos Narrow (Body)"/>
    </font>
    <font>
      <b/>
      <sz val="22"/>
      <color theme="0"/>
      <name val="Aptos Narrow"/>
      <scheme val="minor"/>
    </font>
    <font>
      <b/>
      <sz val="14"/>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0" fillId="0" borderId="0" xfId="0" pivotButton="1"/>
    <xf numFmtId="0" fontId="0" fillId="0" borderId="0" xfId="0" applyAlignment="1">
      <alignment horizontal="left"/>
    </xf>
    <xf numFmtId="0" fontId="6" fillId="0" borderId="0" xfId="0" applyFont="1" applyAlignment="1">
      <alignment horizontal="center" vertical="center"/>
    </xf>
    <xf numFmtId="10" fontId="0" fillId="0" borderId="0" xfId="0" applyNumberFormat="1"/>
    <xf numFmtId="2" fontId="0" fillId="0" borderId="0" xfId="0" applyNumberFormat="1"/>
    <xf numFmtId="0" fontId="0" fillId="0" borderId="0" xfId="0" applyAlignment="1">
      <alignment horizontal="center"/>
    </xf>
    <xf numFmtId="0" fontId="4"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pplyAlignment="1">
      <alignment horizontal="center" vertical="center"/>
    </xf>
  </cellXfs>
  <cellStyles count="1">
    <cellStyle name="Normal" xfId="0" builtinId="0"/>
  </cellStyles>
  <dxfs count="42">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4"/>
        <color theme="1"/>
        <name val="Aptos Narrow"/>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4"/>
        <color theme="1"/>
        <name val="Aptos Narrow"/>
        <scheme val="minor"/>
      </fon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4"/>
        <color theme="1"/>
        <name val="Aptos Narrow"/>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4"/>
        <color theme="1"/>
        <name val="Aptos Narrow"/>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4"/>
        <color theme="1"/>
        <name val="Aptos Narrow"/>
        <scheme val="minor"/>
      </font>
      <alignment horizontal="center" vertical="center" textRotation="0" wrapText="0" indent="0" justifyLastLine="0" shrinkToFit="0" readingOrder="0"/>
    </dxf>
  </dxfs>
  <tableStyles count="0" defaultTableStyle="TableStyleMedium2" defaultPivotStyle="PivotStyleLight16"/>
  <colors>
    <mruColors>
      <color rgb="FFFFE2FF"/>
      <color rgb="FFC9EBFF"/>
      <color rgb="FFF1F7F7"/>
      <color rgb="FFFFFFFF"/>
      <color rgb="FFFFECE1"/>
      <color rgb="FFCFFFD8"/>
      <color rgb="FFE2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[TnP_analysis.xlsx]Pivot Table!PivotTable19</c:name>
    <c:fmtId val="0"/>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9816272965865E-2"/>
          <c:y val="7.407407407407407E-2"/>
          <c:w val="0.8964746281714786"/>
          <c:h val="0.79118875765529306"/>
        </c:manualLayout>
      </c:layout>
      <c:lineChart>
        <c:grouping val="standard"/>
        <c:varyColors val="0"/>
        <c:ser>
          <c:idx val="0"/>
          <c:order val="0"/>
          <c:tx>
            <c:strRef>
              <c:f>'Pivot Table'!$B$49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Table'!$A$50:$A$55</c:f>
              <c:strCache>
                <c:ptCount val="5"/>
                <c:pt idx="0">
                  <c:v>Civil</c:v>
                </c:pt>
                <c:pt idx="1">
                  <c:v>Computer Science</c:v>
                </c:pt>
                <c:pt idx="2">
                  <c:v>Electronics</c:v>
                </c:pt>
                <c:pt idx="3">
                  <c:v>Information Technology</c:v>
                </c:pt>
                <c:pt idx="4">
                  <c:v>Mechanical</c:v>
                </c:pt>
              </c:strCache>
            </c:strRef>
          </c:cat>
          <c:val>
            <c:numRef>
              <c:f>'Pivot Table'!$B$50:$B$55</c:f>
              <c:numCache>
                <c:formatCode>General</c:formatCode>
                <c:ptCount val="5"/>
                <c:pt idx="0">
                  <c:v>7.8144660194174786</c:v>
                </c:pt>
                <c:pt idx="1">
                  <c:v>7.5794761904761865</c:v>
                </c:pt>
                <c:pt idx="2">
                  <c:v>7.4174210526315809</c:v>
                </c:pt>
                <c:pt idx="3">
                  <c:v>7.6554411764705863</c:v>
                </c:pt>
                <c:pt idx="4">
                  <c:v>7.4818947368421016</c:v>
                </c:pt>
              </c:numCache>
            </c:numRef>
          </c:val>
          <c:smooth val="0"/>
          <c:extLst>
            <c:ext xmlns:c16="http://schemas.microsoft.com/office/drawing/2014/chart" uri="{C3380CC4-5D6E-409C-BE32-E72D297353CC}">
              <c16:uniqueId val="{00000000-5BAC-5042-BDB4-0A69F77AA85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8612736"/>
        <c:axId val="638614448"/>
      </c:lineChart>
      <c:catAx>
        <c:axId val="6386127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8614448"/>
        <c:crosses val="autoZero"/>
        <c:auto val="1"/>
        <c:lblAlgn val="ctr"/>
        <c:lblOffset val="100"/>
        <c:noMultiLvlLbl val="0"/>
      </c:catAx>
      <c:valAx>
        <c:axId val="63861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861273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[TnP_analysis.xlsx]Pivot Table!PivotTable20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Table'!$E$49</c:f>
              <c:strCache>
                <c:ptCount val="1"/>
                <c:pt idx="0">
                  <c:v>Total</c:v>
                </c:pt>
              </c:strCache>
            </c:strRef>
          </c:tx>
          <c:spPr>
            <a:solidFill>
              <a:schemeClr val="accent1"/>
            </a:solidFill>
            <a:ln>
              <a:noFill/>
            </a:ln>
            <a:effectLst/>
          </c:spPr>
          <c:invertIfNegative val="0"/>
          <c:cat>
            <c:strRef>
              <c:f>'Pivot Table'!$D$50:$D$55</c:f>
              <c:strCache>
                <c:ptCount val="5"/>
                <c:pt idx="0">
                  <c:v>Civil</c:v>
                </c:pt>
                <c:pt idx="1">
                  <c:v>Computer Science</c:v>
                </c:pt>
                <c:pt idx="2">
                  <c:v>Electronics</c:v>
                </c:pt>
                <c:pt idx="3">
                  <c:v>Information Technology</c:v>
                </c:pt>
                <c:pt idx="4">
                  <c:v>Mechanical</c:v>
                </c:pt>
              </c:strCache>
            </c:strRef>
          </c:cat>
          <c:val>
            <c:numRef>
              <c:f>'Pivot Table'!$E$50:$E$55</c:f>
              <c:numCache>
                <c:formatCode>General</c:formatCode>
                <c:ptCount val="5"/>
                <c:pt idx="0">
                  <c:v>2.563106796116505</c:v>
                </c:pt>
                <c:pt idx="1">
                  <c:v>2.480952380952381</c:v>
                </c:pt>
                <c:pt idx="2">
                  <c:v>2.6210526315789475</c:v>
                </c:pt>
                <c:pt idx="3">
                  <c:v>2.5441176470588234</c:v>
                </c:pt>
                <c:pt idx="4">
                  <c:v>2.6631578947368419</c:v>
                </c:pt>
              </c:numCache>
            </c:numRef>
          </c:val>
          <c:extLst>
            <c:ext xmlns:c16="http://schemas.microsoft.com/office/drawing/2014/chart" uri="{C3380CC4-5D6E-409C-BE32-E72D297353CC}">
              <c16:uniqueId val="{00000000-E15F-AF42-809B-798B2486C0E7}"/>
            </c:ext>
          </c:extLst>
        </c:ser>
        <c:dLbls>
          <c:showLegendKey val="0"/>
          <c:showVal val="0"/>
          <c:showCatName val="0"/>
          <c:showSerName val="0"/>
          <c:showPercent val="0"/>
          <c:showBubbleSize val="0"/>
        </c:dLbls>
        <c:gapWidth val="267"/>
        <c:overlap val="-43"/>
        <c:axId val="823700176"/>
        <c:axId val="823693840"/>
      </c:barChart>
      <c:catAx>
        <c:axId val="8237001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23693840"/>
        <c:crosses val="autoZero"/>
        <c:auto val="1"/>
        <c:lblAlgn val="ctr"/>
        <c:lblOffset val="100"/>
        <c:noMultiLvlLbl val="0"/>
      </c:catAx>
      <c:valAx>
        <c:axId val="8236938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2370017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[TnP_analysis.xlsx]Pivot Table!PivotTable21</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Table'!$H$49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6C-4543-B114-621F86EEA79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6C-4543-B114-621F86EEA79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6C-4543-B114-621F86EEA79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26C-4543-B114-621F86EEA79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26C-4543-B114-621F86EEA7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Table'!$G$50:$G$55</c:f>
              <c:strCache>
                <c:ptCount val="5"/>
                <c:pt idx="0">
                  <c:v>Civil</c:v>
                </c:pt>
                <c:pt idx="1">
                  <c:v>Computer Science</c:v>
                </c:pt>
                <c:pt idx="2">
                  <c:v>Electronics</c:v>
                </c:pt>
                <c:pt idx="3">
                  <c:v>Information Technology</c:v>
                </c:pt>
                <c:pt idx="4">
                  <c:v>Mechanical</c:v>
                </c:pt>
              </c:strCache>
            </c:strRef>
          </c:cat>
          <c:val>
            <c:numRef>
              <c:f>'Pivot Table'!$H$50:$H$55</c:f>
              <c:numCache>
                <c:formatCode>General</c:formatCode>
                <c:ptCount val="5"/>
                <c:pt idx="0">
                  <c:v>198</c:v>
                </c:pt>
                <c:pt idx="1">
                  <c:v>240</c:v>
                </c:pt>
                <c:pt idx="2">
                  <c:v>198</c:v>
                </c:pt>
                <c:pt idx="3">
                  <c:v>243</c:v>
                </c:pt>
                <c:pt idx="4">
                  <c:v>190</c:v>
                </c:pt>
              </c:numCache>
            </c:numRef>
          </c:val>
          <c:extLst>
            <c:ext xmlns:c16="http://schemas.microsoft.com/office/drawing/2014/chart" uri="{C3380CC4-5D6E-409C-BE32-E72D297353CC}">
              <c16:uniqueId val="{00000000-B553-EB4D-96DF-534A0AF72D1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[TnP_analysis.xlsx]Pivot Table!PivotTable22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83008006352146E-2"/>
          <c:y val="7.407407407407407E-2"/>
          <c:w val="0.89560466706367592"/>
          <c:h val="0.79118839311752698"/>
        </c:manualLayout>
      </c:layout>
      <c:barChart>
        <c:barDir val="col"/>
        <c:grouping val="clustered"/>
        <c:varyColors val="0"/>
        <c:ser>
          <c:idx val="0"/>
          <c:order val="0"/>
          <c:tx>
            <c:strRef>
              <c:f>'Pivot Table'!$B$59</c:f>
              <c:strCache>
                <c:ptCount val="1"/>
                <c:pt idx="0">
                  <c:v>Total</c:v>
                </c:pt>
              </c:strCache>
            </c:strRef>
          </c:tx>
          <c:spPr>
            <a:solidFill>
              <a:schemeClr val="accent1"/>
            </a:solidFill>
            <a:ln>
              <a:noFill/>
            </a:ln>
            <a:effectLst/>
          </c:spPr>
          <c:invertIfNegative val="0"/>
          <c:cat>
            <c:strRef>
              <c:f>'Pivot Table'!$A$60:$A$65</c:f>
              <c:strCache>
                <c:ptCount val="5"/>
                <c:pt idx="0">
                  <c:v>Civil</c:v>
                </c:pt>
                <c:pt idx="1">
                  <c:v>Computer Science</c:v>
                </c:pt>
                <c:pt idx="2">
                  <c:v>Electronics</c:v>
                </c:pt>
                <c:pt idx="3">
                  <c:v>Information Technology</c:v>
                </c:pt>
                <c:pt idx="4">
                  <c:v>Mechanical</c:v>
                </c:pt>
              </c:strCache>
            </c:strRef>
          </c:cat>
          <c:val>
            <c:numRef>
              <c:f>'Pivot Table'!$B$60:$B$65</c:f>
              <c:numCache>
                <c:formatCode>General</c:formatCode>
                <c:ptCount val="5"/>
                <c:pt idx="0">
                  <c:v>4.2715533980582538</c:v>
                </c:pt>
                <c:pt idx="1">
                  <c:v>3.9413809523809546</c:v>
                </c:pt>
                <c:pt idx="2">
                  <c:v>4.7614736842105287</c:v>
                </c:pt>
                <c:pt idx="3">
                  <c:v>4.0915686274509806</c:v>
                </c:pt>
                <c:pt idx="4">
                  <c:v>4.4054210526315805</c:v>
                </c:pt>
              </c:numCache>
            </c:numRef>
          </c:val>
          <c:extLst>
            <c:ext xmlns:c16="http://schemas.microsoft.com/office/drawing/2014/chart" uri="{C3380CC4-5D6E-409C-BE32-E72D297353CC}">
              <c16:uniqueId val="{00000000-D5E3-2A48-ABCA-69C2BFAF2AB6}"/>
            </c:ext>
          </c:extLst>
        </c:ser>
        <c:dLbls>
          <c:showLegendKey val="0"/>
          <c:showVal val="0"/>
          <c:showCatName val="0"/>
          <c:showSerName val="0"/>
          <c:showPercent val="0"/>
          <c:showBubbleSize val="0"/>
        </c:dLbls>
        <c:gapWidth val="267"/>
        <c:overlap val="-43"/>
        <c:axId val="410724816"/>
        <c:axId val="410649504"/>
      </c:barChart>
      <c:catAx>
        <c:axId val="4107248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10649504"/>
        <c:crosses val="autoZero"/>
        <c:auto val="1"/>
        <c:lblAlgn val="ctr"/>
        <c:lblOffset val="100"/>
        <c:noMultiLvlLbl val="0"/>
      </c:catAx>
      <c:valAx>
        <c:axId val="4106495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1072481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[TnP_analysis.xlsx]Pivot Table!PivotTable22</c:name>
    <c:fmtId val="3"/>
  </c:pivotSource>
  <c:chart>
    <c:autoTitleDeleted val="1"/>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Table'!$B$59</c:f>
              <c:strCache>
                <c:ptCount val="1"/>
                <c:pt idx="0">
                  <c:v>Total</c:v>
                </c:pt>
              </c:strCache>
            </c:strRef>
          </c:tx>
          <c:spPr>
            <a:solidFill>
              <a:schemeClr val="accent1"/>
            </a:solidFill>
            <a:ln>
              <a:noFill/>
            </a:ln>
            <a:effectLst/>
          </c:spPr>
          <c:invertIfNegative val="0"/>
          <c:cat>
            <c:strRef>
              <c:f>'Pivot Table'!$A$60:$A$65</c:f>
              <c:strCache>
                <c:ptCount val="5"/>
                <c:pt idx="0">
                  <c:v>Civil</c:v>
                </c:pt>
                <c:pt idx="1">
                  <c:v>Computer Science</c:v>
                </c:pt>
                <c:pt idx="2">
                  <c:v>Electronics</c:v>
                </c:pt>
                <c:pt idx="3">
                  <c:v>Information Technology</c:v>
                </c:pt>
                <c:pt idx="4">
                  <c:v>Mechanical</c:v>
                </c:pt>
              </c:strCache>
            </c:strRef>
          </c:cat>
          <c:val>
            <c:numRef>
              <c:f>'Pivot Table'!$B$60:$B$65</c:f>
              <c:numCache>
                <c:formatCode>General</c:formatCode>
                <c:ptCount val="5"/>
                <c:pt idx="0">
                  <c:v>4.2715533980582538</c:v>
                </c:pt>
                <c:pt idx="1">
                  <c:v>3.9413809523809546</c:v>
                </c:pt>
                <c:pt idx="2">
                  <c:v>4.7614736842105287</c:v>
                </c:pt>
                <c:pt idx="3">
                  <c:v>4.0915686274509806</c:v>
                </c:pt>
                <c:pt idx="4">
                  <c:v>4.4054210526315805</c:v>
                </c:pt>
              </c:numCache>
            </c:numRef>
          </c:val>
          <c:extLst>
            <c:ext xmlns:c16="http://schemas.microsoft.com/office/drawing/2014/chart" uri="{C3380CC4-5D6E-409C-BE32-E72D297353CC}">
              <c16:uniqueId val="{00000000-C2BE-D74A-ADE6-3FF4E878C38D}"/>
            </c:ext>
          </c:extLst>
        </c:ser>
        <c:dLbls>
          <c:showLegendKey val="0"/>
          <c:showVal val="0"/>
          <c:showCatName val="0"/>
          <c:showSerName val="0"/>
          <c:showPercent val="0"/>
          <c:showBubbleSize val="0"/>
        </c:dLbls>
        <c:gapWidth val="267"/>
        <c:overlap val="-43"/>
        <c:axId val="410724816"/>
        <c:axId val="410649504"/>
      </c:barChart>
      <c:catAx>
        <c:axId val="4107248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10649504"/>
        <c:crosses val="autoZero"/>
        <c:auto val="1"/>
        <c:lblAlgn val="ctr"/>
        <c:lblOffset val="100"/>
        <c:noMultiLvlLbl val="0"/>
      </c:catAx>
      <c:valAx>
        <c:axId val="4106495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1072481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[TnP_analysis.xlsx]Pivot Table!PivotTable21</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Table'!$H$49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AF-E340-AD5B-9503192B1E7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AF-E340-AD5B-9503192B1E7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AF-E340-AD5B-9503192B1E7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1AF-E340-AD5B-9503192B1E7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1AF-E340-AD5B-9503192B1E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Table'!$G$50:$G$55</c:f>
              <c:strCache>
                <c:ptCount val="5"/>
                <c:pt idx="0">
                  <c:v>Civil</c:v>
                </c:pt>
                <c:pt idx="1">
                  <c:v>Computer Science</c:v>
                </c:pt>
                <c:pt idx="2">
                  <c:v>Electronics</c:v>
                </c:pt>
                <c:pt idx="3">
                  <c:v>Information Technology</c:v>
                </c:pt>
                <c:pt idx="4">
                  <c:v>Mechanical</c:v>
                </c:pt>
              </c:strCache>
            </c:strRef>
          </c:cat>
          <c:val>
            <c:numRef>
              <c:f>'Pivot Table'!$H$50:$H$55</c:f>
              <c:numCache>
                <c:formatCode>General</c:formatCode>
                <c:ptCount val="5"/>
                <c:pt idx="0">
                  <c:v>198</c:v>
                </c:pt>
                <c:pt idx="1">
                  <c:v>240</c:v>
                </c:pt>
                <c:pt idx="2">
                  <c:v>198</c:v>
                </c:pt>
                <c:pt idx="3">
                  <c:v>243</c:v>
                </c:pt>
                <c:pt idx="4">
                  <c:v>190</c:v>
                </c:pt>
              </c:numCache>
            </c:numRef>
          </c:val>
          <c:extLst>
            <c:ext xmlns:c16="http://schemas.microsoft.com/office/drawing/2014/chart" uri="{C3380CC4-5D6E-409C-BE32-E72D297353CC}">
              <c16:uniqueId val="{00000000-B553-EB4D-96DF-534A0AF72D1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[TnP_analysis.xlsx]Pivot Table!PivotTable19</c:name>
    <c:fmtId val="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92208275439679E-2"/>
          <c:y val="8.2694814010317683E-2"/>
          <c:w val="0.8964746281714786"/>
          <c:h val="0.79118875765529306"/>
        </c:manualLayout>
      </c:layout>
      <c:lineChart>
        <c:grouping val="standard"/>
        <c:varyColors val="0"/>
        <c:ser>
          <c:idx val="0"/>
          <c:order val="0"/>
          <c:tx>
            <c:strRef>
              <c:f>'Pivot Table'!$B$49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Table'!$A$50:$A$55</c:f>
              <c:strCache>
                <c:ptCount val="5"/>
                <c:pt idx="0">
                  <c:v>Civil</c:v>
                </c:pt>
                <c:pt idx="1">
                  <c:v>Computer Science</c:v>
                </c:pt>
                <c:pt idx="2">
                  <c:v>Electronics</c:v>
                </c:pt>
                <c:pt idx="3">
                  <c:v>Information Technology</c:v>
                </c:pt>
                <c:pt idx="4">
                  <c:v>Mechanical</c:v>
                </c:pt>
              </c:strCache>
            </c:strRef>
          </c:cat>
          <c:val>
            <c:numRef>
              <c:f>'Pivot Table'!$B$50:$B$55</c:f>
              <c:numCache>
                <c:formatCode>General</c:formatCode>
                <c:ptCount val="5"/>
                <c:pt idx="0">
                  <c:v>7.8144660194174786</c:v>
                </c:pt>
                <c:pt idx="1">
                  <c:v>7.5794761904761865</c:v>
                </c:pt>
                <c:pt idx="2">
                  <c:v>7.4174210526315809</c:v>
                </c:pt>
                <c:pt idx="3">
                  <c:v>7.6554411764705863</c:v>
                </c:pt>
                <c:pt idx="4">
                  <c:v>7.4818947368421016</c:v>
                </c:pt>
              </c:numCache>
            </c:numRef>
          </c:val>
          <c:smooth val="0"/>
          <c:extLst>
            <c:ext xmlns:c16="http://schemas.microsoft.com/office/drawing/2014/chart" uri="{C3380CC4-5D6E-409C-BE32-E72D297353CC}">
              <c16:uniqueId val="{00000000-C3D5-1D4A-907B-B635C942DAE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8612736"/>
        <c:axId val="638614448"/>
      </c:lineChart>
      <c:catAx>
        <c:axId val="6386127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8614448"/>
        <c:crosses val="autoZero"/>
        <c:auto val="1"/>
        <c:lblAlgn val="ctr"/>
        <c:lblOffset val="100"/>
        <c:noMultiLvlLbl val="0"/>
      </c:catAx>
      <c:valAx>
        <c:axId val="63861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861273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[TnP_analysis.xlsx]Pivot Table!PivotTable20</c:name>
    <c:fmtId val="5"/>
  </c:pivotSource>
  <c:chart>
    <c:autoTitleDeleted val="1"/>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Table'!$E$49</c:f>
              <c:strCache>
                <c:ptCount val="1"/>
                <c:pt idx="0">
                  <c:v>Total</c:v>
                </c:pt>
              </c:strCache>
            </c:strRef>
          </c:tx>
          <c:spPr>
            <a:solidFill>
              <a:schemeClr val="accent1"/>
            </a:solidFill>
            <a:ln>
              <a:noFill/>
            </a:ln>
            <a:effectLst/>
          </c:spPr>
          <c:invertIfNegative val="0"/>
          <c:cat>
            <c:strRef>
              <c:f>'Pivot Table'!$D$50:$D$55</c:f>
              <c:strCache>
                <c:ptCount val="5"/>
                <c:pt idx="0">
                  <c:v>Civil</c:v>
                </c:pt>
                <c:pt idx="1">
                  <c:v>Computer Science</c:v>
                </c:pt>
                <c:pt idx="2">
                  <c:v>Electronics</c:v>
                </c:pt>
                <c:pt idx="3">
                  <c:v>Information Technology</c:v>
                </c:pt>
                <c:pt idx="4">
                  <c:v>Mechanical</c:v>
                </c:pt>
              </c:strCache>
            </c:strRef>
          </c:cat>
          <c:val>
            <c:numRef>
              <c:f>'Pivot Table'!$E$50:$E$55</c:f>
              <c:numCache>
                <c:formatCode>General</c:formatCode>
                <c:ptCount val="5"/>
                <c:pt idx="0">
                  <c:v>2.563106796116505</c:v>
                </c:pt>
                <c:pt idx="1">
                  <c:v>2.480952380952381</c:v>
                </c:pt>
                <c:pt idx="2">
                  <c:v>2.6210526315789475</c:v>
                </c:pt>
                <c:pt idx="3">
                  <c:v>2.5441176470588234</c:v>
                </c:pt>
                <c:pt idx="4">
                  <c:v>2.6631578947368419</c:v>
                </c:pt>
              </c:numCache>
            </c:numRef>
          </c:val>
          <c:extLst>
            <c:ext xmlns:c16="http://schemas.microsoft.com/office/drawing/2014/chart" uri="{C3380CC4-5D6E-409C-BE32-E72D297353CC}">
              <c16:uniqueId val="{00000000-75B6-B64C-ABC2-421A9128F5B1}"/>
            </c:ext>
          </c:extLst>
        </c:ser>
        <c:dLbls>
          <c:showLegendKey val="0"/>
          <c:showVal val="0"/>
          <c:showCatName val="0"/>
          <c:showSerName val="0"/>
          <c:showPercent val="0"/>
          <c:showBubbleSize val="0"/>
        </c:dLbls>
        <c:gapWidth val="267"/>
        <c:overlap val="-43"/>
        <c:axId val="823700176"/>
        <c:axId val="823693840"/>
      </c:barChart>
      <c:catAx>
        <c:axId val="8237001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23693840"/>
        <c:crosses val="autoZero"/>
        <c:auto val="1"/>
        <c:lblAlgn val="ctr"/>
        <c:lblOffset val="100"/>
        <c:noMultiLvlLbl val="0"/>
      </c:catAx>
      <c:valAx>
        <c:axId val="8236938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2370017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12700</xdr:colOff>
      <xdr:row>55</xdr:row>
      <xdr:rowOff>196850</xdr:rowOff>
    </xdr:from>
    <xdr:to>
      <xdr:col>5</xdr:col>
      <xdr:colOff>1371600</xdr:colOff>
      <xdr:row>69</xdr:row>
      <xdr:rowOff>95250</xdr:rowOff>
    </xdr:to>
    <xdr:graphicFrame macro="">
      <xdr:nvGraphicFramePr>
        <xdr:cNvPr id="12" name="Chart 11">
          <a:extLst>
            <a:ext uri="{FF2B5EF4-FFF2-40B4-BE49-F238E27FC236}">
              <a16:creationId xmlns:a16="http://schemas.microsoft.com/office/drawing/2014/main" id="{565584B6-B0EA-C361-3EE4-E871BA34E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55</xdr:row>
      <xdr:rowOff>196850</xdr:rowOff>
    </xdr:from>
    <xdr:to>
      <xdr:col>9</xdr:col>
      <xdr:colOff>38100</xdr:colOff>
      <xdr:row>69</xdr:row>
      <xdr:rowOff>95250</xdr:rowOff>
    </xdr:to>
    <xdr:graphicFrame macro="">
      <xdr:nvGraphicFramePr>
        <xdr:cNvPr id="13" name="Chart 12">
          <a:extLst>
            <a:ext uri="{FF2B5EF4-FFF2-40B4-BE49-F238E27FC236}">
              <a16:creationId xmlns:a16="http://schemas.microsoft.com/office/drawing/2014/main" id="{47401325-351E-8108-7ED6-379F44203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70</xdr:row>
      <xdr:rowOff>120650</xdr:rowOff>
    </xdr:from>
    <xdr:to>
      <xdr:col>3</xdr:col>
      <xdr:colOff>38100</xdr:colOff>
      <xdr:row>84</xdr:row>
      <xdr:rowOff>19050</xdr:rowOff>
    </xdr:to>
    <xdr:graphicFrame macro="">
      <xdr:nvGraphicFramePr>
        <xdr:cNvPr id="14" name="Chart 13">
          <a:extLst>
            <a:ext uri="{FF2B5EF4-FFF2-40B4-BE49-F238E27FC236}">
              <a16:creationId xmlns:a16="http://schemas.microsoft.com/office/drawing/2014/main" id="{83341B7A-2360-4509-8822-C9C17CEDF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355600</xdr:colOff>
      <xdr:row>56</xdr:row>
      <xdr:rowOff>19050</xdr:rowOff>
    </xdr:from>
    <xdr:to>
      <xdr:col>12</xdr:col>
      <xdr:colOff>469900</xdr:colOff>
      <xdr:row>69</xdr:row>
      <xdr:rowOff>120650</xdr:rowOff>
    </xdr:to>
    <xdr:graphicFrame macro="">
      <xdr:nvGraphicFramePr>
        <xdr:cNvPr id="15" name="Chart 14">
          <a:extLst>
            <a:ext uri="{FF2B5EF4-FFF2-40B4-BE49-F238E27FC236}">
              <a16:creationId xmlns:a16="http://schemas.microsoft.com/office/drawing/2014/main" id="{89E60F17-71DC-A97C-0D53-6CB10A36A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0</xdr:rowOff>
    </xdr:from>
    <xdr:to>
      <xdr:col>1</xdr:col>
      <xdr:colOff>304800</xdr:colOff>
      <xdr:row>20</xdr:row>
      <xdr:rowOff>180972</xdr:rowOff>
    </xdr:to>
    <mc:AlternateContent xmlns:mc="http://schemas.openxmlformats.org/markup-compatibility/2006" xmlns:a14="http://schemas.microsoft.com/office/drawing/2010/main">
      <mc:Choice Requires="a14">
        <xdr:graphicFrame macro="">
          <xdr:nvGraphicFramePr>
            <xdr:cNvPr id="16" name="Branch">
              <a:extLst>
                <a:ext uri="{FF2B5EF4-FFF2-40B4-BE49-F238E27FC236}">
                  <a16:creationId xmlns:a16="http://schemas.microsoft.com/office/drawing/2014/main" id="{FC810194-5FE6-67F2-62D7-919A83780A9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0" y="1625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186268</xdr:colOff>
      <xdr:row>2</xdr:row>
      <xdr:rowOff>186267</xdr:rowOff>
    </xdr:from>
    <xdr:to>
      <xdr:col>22</xdr:col>
      <xdr:colOff>524934</xdr:colOff>
      <xdr:row>7</xdr:row>
      <xdr:rowOff>169333</xdr:rowOff>
    </xdr:to>
    <xdr:sp macro="" textlink="">
      <xdr:nvSpPr>
        <xdr:cNvPr id="2" name="Rounded Rectangle 1">
          <a:extLst>
            <a:ext uri="{FF2B5EF4-FFF2-40B4-BE49-F238E27FC236}">
              <a16:creationId xmlns:a16="http://schemas.microsoft.com/office/drawing/2014/main" id="{B9937727-206D-0A32-CA01-5720C8FD945E}"/>
            </a:ext>
          </a:extLst>
        </xdr:cNvPr>
        <xdr:cNvSpPr/>
      </xdr:nvSpPr>
      <xdr:spPr>
        <a:xfrm>
          <a:off x="5994401" y="592667"/>
          <a:ext cx="12784666" cy="999066"/>
        </a:xfrm>
        <a:prstGeom prst="roundRect">
          <a:avLst/>
        </a:prstGeom>
        <a:solidFill>
          <a:schemeClr val="tx2">
            <a:lumMod val="90000"/>
            <a:lumOff val="10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a:solidFill>
                <a:schemeClr val="bg1"/>
              </a:solidFill>
            </a:rPr>
            <a:t>College</a:t>
          </a:r>
          <a:r>
            <a:rPr lang="en-GB" sz="3600" b="1" baseline="0">
              <a:solidFill>
                <a:schemeClr val="bg1"/>
              </a:solidFill>
            </a:rPr>
            <a:t> Placement Dashboard</a:t>
          </a:r>
          <a:endParaRPr lang="en-GB" sz="3600" b="1">
            <a:solidFill>
              <a:schemeClr val="bg1"/>
            </a:solidFill>
          </a:endParaRPr>
        </a:p>
      </xdr:txBody>
    </xdr:sp>
    <xdr:clientData/>
  </xdr:twoCellAnchor>
  <xdr:twoCellAnchor>
    <xdr:from>
      <xdr:col>20</xdr:col>
      <xdr:colOff>321733</xdr:colOff>
      <xdr:row>9</xdr:row>
      <xdr:rowOff>33868</xdr:rowOff>
    </xdr:from>
    <xdr:to>
      <xdr:col>23</xdr:col>
      <xdr:colOff>558799</xdr:colOff>
      <xdr:row>17</xdr:row>
      <xdr:rowOff>135468</xdr:rowOff>
    </xdr:to>
    <xdr:sp macro="" textlink="">
      <xdr:nvSpPr>
        <xdr:cNvPr id="3" name="Rounded Rectangle 2">
          <a:extLst>
            <a:ext uri="{FF2B5EF4-FFF2-40B4-BE49-F238E27FC236}">
              <a16:creationId xmlns:a16="http://schemas.microsoft.com/office/drawing/2014/main" id="{967D65C5-2057-4879-47A9-4E1A640A04EF}"/>
            </a:ext>
          </a:extLst>
        </xdr:cNvPr>
        <xdr:cNvSpPr/>
      </xdr:nvSpPr>
      <xdr:spPr>
        <a:xfrm>
          <a:off x="16916400" y="1862668"/>
          <a:ext cx="2726266" cy="1727200"/>
        </a:xfrm>
        <a:prstGeom prst="roundRect">
          <a:avLst/>
        </a:prstGeom>
        <a:solidFill>
          <a:srgbClr val="C9EB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90000"/>
                  <a:lumOff val="10000"/>
                </a:schemeClr>
              </a:solidFill>
            </a:rPr>
            <a:t>Avg Package</a:t>
          </a:r>
        </a:p>
      </xdr:txBody>
    </xdr:sp>
    <xdr:clientData/>
  </xdr:twoCellAnchor>
  <xdr:twoCellAnchor>
    <xdr:from>
      <xdr:col>20</xdr:col>
      <xdr:colOff>491066</xdr:colOff>
      <xdr:row>20</xdr:row>
      <xdr:rowOff>135467</xdr:rowOff>
    </xdr:from>
    <xdr:to>
      <xdr:col>23</xdr:col>
      <xdr:colOff>728132</xdr:colOff>
      <xdr:row>29</xdr:row>
      <xdr:rowOff>33867</xdr:rowOff>
    </xdr:to>
    <xdr:sp macro="" textlink="">
      <xdr:nvSpPr>
        <xdr:cNvPr id="4" name="Rounded Rectangle 3">
          <a:extLst>
            <a:ext uri="{FF2B5EF4-FFF2-40B4-BE49-F238E27FC236}">
              <a16:creationId xmlns:a16="http://schemas.microsoft.com/office/drawing/2014/main" id="{43AE4606-7EE4-ABE7-4648-2D773DF01349}"/>
            </a:ext>
          </a:extLst>
        </xdr:cNvPr>
        <xdr:cNvSpPr/>
      </xdr:nvSpPr>
      <xdr:spPr>
        <a:xfrm>
          <a:off x="17085733" y="4199467"/>
          <a:ext cx="2726266" cy="1727200"/>
        </a:xfrm>
        <a:prstGeom prst="roundRect">
          <a:avLst/>
        </a:prstGeom>
        <a:solidFill>
          <a:srgbClr val="CFFFD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90000"/>
                  <a:lumOff val="10000"/>
                </a:schemeClr>
              </a:solidFill>
            </a:rPr>
            <a:t>Avg</a:t>
          </a:r>
          <a:r>
            <a:rPr lang="en-GB" sz="2400" b="1" baseline="0">
              <a:solidFill>
                <a:schemeClr val="tx2">
                  <a:lumMod val="90000"/>
                  <a:lumOff val="10000"/>
                </a:schemeClr>
              </a:solidFill>
            </a:rPr>
            <a:t>  Employbility score</a:t>
          </a:r>
          <a:endParaRPr lang="en-GB" sz="2400" b="1">
            <a:solidFill>
              <a:schemeClr val="tx2">
                <a:lumMod val="90000"/>
                <a:lumOff val="10000"/>
              </a:schemeClr>
            </a:solidFill>
          </a:endParaRPr>
        </a:p>
      </xdr:txBody>
    </xdr:sp>
    <xdr:clientData/>
  </xdr:twoCellAnchor>
  <xdr:twoCellAnchor>
    <xdr:from>
      <xdr:col>20</xdr:col>
      <xdr:colOff>508000</xdr:colOff>
      <xdr:row>30</xdr:row>
      <xdr:rowOff>203199</xdr:rowOff>
    </xdr:from>
    <xdr:to>
      <xdr:col>23</xdr:col>
      <xdr:colOff>745066</xdr:colOff>
      <xdr:row>39</xdr:row>
      <xdr:rowOff>101599</xdr:rowOff>
    </xdr:to>
    <xdr:sp macro="" textlink="">
      <xdr:nvSpPr>
        <xdr:cNvPr id="5" name="Rounded Rectangle 4">
          <a:extLst>
            <a:ext uri="{FF2B5EF4-FFF2-40B4-BE49-F238E27FC236}">
              <a16:creationId xmlns:a16="http://schemas.microsoft.com/office/drawing/2014/main" id="{0F28BA2E-EE98-FDAC-EA31-D739BC4A2BBC}"/>
            </a:ext>
          </a:extLst>
        </xdr:cNvPr>
        <xdr:cNvSpPr/>
      </xdr:nvSpPr>
      <xdr:spPr>
        <a:xfrm>
          <a:off x="17102667" y="6299199"/>
          <a:ext cx="2726266" cy="17272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90000"/>
                  <a:lumOff val="10000"/>
                </a:schemeClr>
              </a:solidFill>
            </a:rPr>
            <a:t>Avg Skill</a:t>
          </a:r>
          <a:r>
            <a:rPr lang="en-GB" sz="2400" b="1" baseline="0">
              <a:solidFill>
                <a:schemeClr val="tx2">
                  <a:lumMod val="90000"/>
                  <a:lumOff val="10000"/>
                </a:schemeClr>
              </a:solidFill>
            </a:rPr>
            <a:t> Score</a:t>
          </a:r>
          <a:endParaRPr lang="en-GB" sz="2400" b="1">
            <a:solidFill>
              <a:schemeClr val="tx2">
                <a:lumMod val="90000"/>
                <a:lumOff val="10000"/>
              </a:schemeClr>
            </a:solidFill>
          </a:endParaRPr>
        </a:p>
      </xdr:txBody>
    </xdr:sp>
    <xdr:clientData/>
  </xdr:twoCellAnchor>
  <xdr:twoCellAnchor>
    <xdr:from>
      <xdr:col>20</xdr:col>
      <xdr:colOff>474134</xdr:colOff>
      <xdr:row>41</xdr:row>
      <xdr:rowOff>118533</xdr:rowOff>
    </xdr:from>
    <xdr:to>
      <xdr:col>23</xdr:col>
      <xdr:colOff>711200</xdr:colOff>
      <xdr:row>50</xdr:row>
      <xdr:rowOff>16933</xdr:rowOff>
    </xdr:to>
    <xdr:sp macro="" textlink="">
      <xdr:nvSpPr>
        <xdr:cNvPr id="6" name="Rounded Rectangle 5">
          <a:extLst>
            <a:ext uri="{FF2B5EF4-FFF2-40B4-BE49-F238E27FC236}">
              <a16:creationId xmlns:a16="http://schemas.microsoft.com/office/drawing/2014/main" id="{F0ED4C12-A10B-F694-0E15-5275B98A9F61}"/>
            </a:ext>
          </a:extLst>
        </xdr:cNvPr>
        <xdr:cNvSpPr/>
      </xdr:nvSpPr>
      <xdr:spPr>
        <a:xfrm>
          <a:off x="17068801" y="8449733"/>
          <a:ext cx="2726266" cy="1727200"/>
        </a:xfrm>
        <a:prstGeom prst="roundRect">
          <a:avLst/>
        </a:prstGeom>
        <a:solidFill>
          <a:srgbClr val="FFE2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90000"/>
                  <a:lumOff val="10000"/>
                </a:schemeClr>
              </a:solidFill>
            </a:rPr>
            <a:t>Intern</a:t>
          </a:r>
          <a:r>
            <a:rPr lang="en-GB" sz="2400" b="1" baseline="0">
              <a:solidFill>
                <a:schemeClr val="tx2">
                  <a:lumMod val="90000"/>
                  <a:lumOff val="10000"/>
                </a:schemeClr>
              </a:solidFill>
            </a:rPr>
            <a:t> Offered</a:t>
          </a:r>
          <a:endParaRPr lang="en-GB" sz="2400" b="1">
            <a:solidFill>
              <a:schemeClr val="tx2">
                <a:lumMod val="90000"/>
                <a:lumOff val="10000"/>
              </a:schemeClr>
            </a:solidFill>
          </a:endParaRPr>
        </a:p>
      </xdr:txBody>
    </xdr:sp>
    <xdr:clientData/>
  </xdr:twoCellAnchor>
  <xdr:twoCellAnchor>
    <xdr:from>
      <xdr:col>16</xdr:col>
      <xdr:colOff>84668</xdr:colOff>
      <xdr:row>9</xdr:row>
      <xdr:rowOff>33868</xdr:rowOff>
    </xdr:from>
    <xdr:to>
      <xdr:col>19</xdr:col>
      <xdr:colOff>321734</xdr:colOff>
      <xdr:row>17</xdr:row>
      <xdr:rowOff>135468</xdr:rowOff>
    </xdr:to>
    <xdr:sp macro="" textlink="">
      <xdr:nvSpPr>
        <xdr:cNvPr id="7" name="Rounded Rectangle 6">
          <a:extLst>
            <a:ext uri="{FF2B5EF4-FFF2-40B4-BE49-F238E27FC236}">
              <a16:creationId xmlns:a16="http://schemas.microsoft.com/office/drawing/2014/main" id="{6B61C28F-FF31-1AD4-3090-752422E86EB7}"/>
            </a:ext>
          </a:extLst>
        </xdr:cNvPr>
        <xdr:cNvSpPr/>
      </xdr:nvSpPr>
      <xdr:spPr>
        <a:xfrm>
          <a:off x="13360401" y="1862668"/>
          <a:ext cx="2726266" cy="1727200"/>
        </a:xfrm>
        <a:prstGeom prst="roundRect">
          <a:avLst/>
        </a:prstGeom>
        <a:solidFill>
          <a:srgbClr val="FFEC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90000"/>
                  <a:lumOff val="10000"/>
                </a:schemeClr>
              </a:solidFill>
            </a:rPr>
            <a:t>Placement </a:t>
          </a:r>
        </a:p>
      </xdr:txBody>
    </xdr:sp>
    <xdr:clientData/>
  </xdr:twoCellAnchor>
  <xdr:twoCellAnchor>
    <xdr:from>
      <xdr:col>11</xdr:col>
      <xdr:colOff>677334</xdr:colOff>
      <xdr:row>9</xdr:row>
      <xdr:rowOff>33868</xdr:rowOff>
    </xdr:from>
    <xdr:to>
      <xdr:col>15</xdr:col>
      <xdr:colOff>84667</xdr:colOff>
      <xdr:row>17</xdr:row>
      <xdr:rowOff>135468</xdr:rowOff>
    </xdr:to>
    <xdr:sp macro="" textlink="">
      <xdr:nvSpPr>
        <xdr:cNvPr id="8" name="Rounded Rectangle 7">
          <a:extLst>
            <a:ext uri="{FF2B5EF4-FFF2-40B4-BE49-F238E27FC236}">
              <a16:creationId xmlns:a16="http://schemas.microsoft.com/office/drawing/2014/main" id="{B82C2EE7-5B48-34E6-AED8-4B3C693E61CF}"/>
            </a:ext>
          </a:extLst>
        </xdr:cNvPr>
        <xdr:cNvSpPr/>
      </xdr:nvSpPr>
      <xdr:spPr>
        <a:xfrm>
          <a:off x="9804401" y="1862668"/>
          <a:ext cx="2726266" cy="1727200"/>
        </a:xfrm>
        <a:prstGeom prst="roundRect">
          <a:avLst/>
        </a:prstGeom>
        <a:solidFill>
          <a:srgbClr val="F1F7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90000"/>
                  <a:lumOff val="10000"/>
                </a:schemeClr>
              </a:solidFill>
            </a:rPr>
            <a:t>Highest</a:t>
          </a:r>
          <a:r>
            <a:rPr lang="en-GB" sz="2400" b="1" baseline="0">
              <a:solidFill>
                <a:schemeClr val="tx2">
                  <a:lumMod val="90000"/>
                  <a:lumOff val="10000"/>
                </a:schemeClr>
              </a:solidFill>
            </a:rPr>
            <a:t> Package</a:t>
          </a:r>
          <a:endParaRPr lang="en-GB" sz="2400" b="1">
            <a:solidFill>
              <a:schemeClr val="tx2">
                <a:lumMod val="90000"/>
                <a:lumOff val="10000"/>
              </a:schemeClr>
            </a:solidFill>
          </a:endParaRPr>
        </a:p>
      </xdr:txBody>
    </xdr:sp>
    <xdr:clientData/>
  </xdr:twoCellAnchor>
  <xdr:twoCellAnchor>
    <xdr:from>
      <xdr:col>7</xdr:col>
      <xdr:colOff>372533</xdr:colOff>
      <xdr:row>9</xdr:row>
      <xdr:rowOff>33867</xdr:rowOff>
    </xdr:from>
    <xdr:to>
      <xdr:col>10</xdr:col>
      <xdr:colOff>609599</xdr:colOff>
      <xdr:row>17</xdr:row>
      <xdr:rowOff>135467</xdr:rowOff>
    </xdr:to>
    <xdr:sp macro="" textlink="">
      <xdr:nvSpPr>
        <xdr:cNvPr id="9" name="Rounded Rectangle 8">
          <a:extLst>
            <a:ext uri="{FF2B5EF4-FFF2-40B4-BE49-F238E27FC236}">
              <a16:creationId xmlns:a16="http://schemas.microsoft.com/office/drawing/2014/main" id="{1E45B226-CE92-FC7D-FEC7-F7F10FBC76A3}"/>
            </a:ext>
          </a:extLst>
        </xdr:cNvPr>
        <xdr:cNvSpPr/>
      </xdr:nvSpPr>
      <xdr:spPr>
        <a:xfrm>
          <a:off x="6180666" y="1862667"/>
          <a:ext cx="2726266" cy="1727200"/>
        </a:xfrm>
        <a:prstGeom prst="roundRect">
          <a:avLst/>
        </a:prstGeom>
        <a:solidFill>
          <a:srgbClr val="E2F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tx2">
                  <a:lumMod val="90000"/>
                  <a:lumOff val="10000"/>
                </a:schemeClr>
              </a:solidFill>
            </a:rPr>
            <a:t>Total</a:t>
          </a:r>
          <a:r>
            <a:rPr lang="en-GB" sz="2400" b="1" baseline="0">
              <a:solidFill>
                <a:schemeClr val="tx2">
                  <a:lumMod val="90000"/>
                  <a:lumOff val="10000"/>
                </a:schemeClr>
              </a:solidFill>
            </a:rPr>
            <a:t> S</a:t>
          </a:r>
          <a:r>
            <a:rPr lang="en-GB" sz="2400" b="1">
              <a:solidFill>
                <a:schemeClr val="tx2">
                  <a:lumMod val="90000"/>
                  <a:lumOff val="10000"/>
                </a:schemeClr>
              </a:solidFill>
            </a:rPr>
            <a:t>tudents</a:t>
          </a:r>
        </a:p>
      </xdr:txBody>
    </xdr:sp>
    <xdr:clientData/>
  </xdr:twoCellAnchor>
  <xdr:twoCellAnchor>
    <xdr:from>
      <xdr:col>5</xdr:col>
      <xdr:colOff>101600</xdr:colOff>
      <xdr:row>8</xdr:row>
      <xdr:rowOff>101600</xdr:rowOff>
    </xdr:from>
    <xdr:to>
      <xdr:col>7</xdr:col>
      <xdr:colOff>186267</xdr:colOff>
      <xdr:row>50</xdr:row>
      <xdr:rowOff>67732</xdr:rowOff>
    </xdr:to>
    <xdr:sp macro="" textlink="">
      <xdr:nvSpPr>
        <xdr:cNvPr id="11" name="Rounded Rectangle 10">
          <a:extLst>
            <a:ext uri="{FF2B5EF4-FFF2-40B4-BE49-F238E27FC236}">
              <a16:creationId xmlns:a16="http://schemas.microsoft.com/office/drawing/2014/main" id="{8B6BA7E9-F8E8-D15C-2C48-36C65D839E68}"/>
            </a:ext>
          </a:extLst>
        </xdr:cNvPr>
        <xdr:cNvSpPr/>
      </xdr:nvSpPr>
      <xdr:spPr>
        <a:xfrm>
          <a:off x="4250267" y="1727200"/>
          <a:ext cx="1744133" cy="850053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389467</xdr:colOff>
      <xdr:row>19</xdr:row>
      <xdr:rowOff>67733</xdr:rowOff>
    </xdr:from>
    <xdr:to>
      <xdr:col>13</xdr:col>
      <xdr:colOff>338667</xdr:colOff>
      <xdr:row>33</xdr:row>
      <xdr:rowOff>186267</xdr:rowOff>
    </xdr:to>
    <xdr:sp macro="" textlink="">
      <xdr:nvSpPr>
        <xdr:cNvPr id="12" name="Rounded Rectangle 11">
          <a:extLst>
            <a:ext uri="{FF2B5EF4-FFF2-40B4-BE49-F238E27FC236}">
              <a16:creationId xmlns:a16="http://schemas.microsoft.com/office/drawing/2014/main" id="{67BC6656-6E10-BD23-5E3F-66E80D7224CC}"/>
            </a:ext>
          </a:extLst>
        </xdr:cNvPr>
        <xdr:cNvSpPr/>
      </xdr:nvSpPr>
      <xdr:spPr>
        <a:xfrm>
          <a:off x="6197600" y="3928533"/>
          <a:ext cx="4927600" cy="29633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711200</xdr:colOff>
      <xdr:row>19</xdr:row>
      <xdr:rowOff>67733</xdr:rowOff>
    </xdr:from>
    <xdr:to>
      <xdr:col>19</xdr:col>
      <xdr:colOff>660400</xdr:colOff>
      <xdr:row>33</xdr:row>
      <xdr:rowOff>186267</xdr:rowOff>
    </xdr:to>
    <xdr:sp macro="" textlink="">
      <xdr:nvSpPr>
        <xdr:cNvPr id="13" name="Rounded Rectangle 12">
          <a:extLst>
            <a:ext uri="{FF2B5EF4-FFF2-40B4-BE49-F238E27FC236}">
              <a16:creationId xmlns:a16="http://schemas.microsoft.com/office/drawing/2014/main" id="{1B7C048F-0142-DA0F-2782-C0B7E8CC9485}"/>
            </a:ext>
          </a:extLst>
        </xdr:cNvPr>
        <xdr:cNvSpPr/>
      </xdr:nvSpPr>
      <xdr:spPr>
        <a:xfrm>
          <a:off x="11497733" y="3928533"/>
          <a:ext cx="4927600" cy="29633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812801</xdr:colOff>
      <xdr:row>35</xdr:row>
      <xdr:rowOff>118534</xdr:rowOff>
    </xdr:from>
    <xdr:to>
      <xdr:col>19</xdr:col>
      <xdr:colOff>762001</xdr:colOff>
      <xdr:row>50</xdr:row>
      <xdr:rowOff>33868</xdr:rowOff>
    </xdr:to>
    <xdr:sp macro="" textlink="">
      <xdr:nvSpPr>
        <xdr:cNvPr id="14" name="Rounded Rectangle 13">
          <a:extLst>
            <a:ext uri="{FF2B5EF4-FFF2-40B4-BE49-F238E27FC236}">
              <a16:creationId xmlns:a16="http://schemas.microsoft.com/office/drawing/2014/main" id="{2EFEF55E-6583-A2AD-5660-854EE9E18682}"/>
            </a:ext>
          </a:extLst>
        </xdr:cNvPr>
        <xdr:cNvSpPr/>
      </xdr:nvSpPr>
      <xdr:spPr>
        <a:xfrm>
          <a:off x="11599334" y="7230534"/>
          <a:ext cx="4927600" cy="29633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440267</xdr:colOff>
      <xdr:row>35</xdr:row>
      <xdr:rowOff>118534</xdr:rowOff>
    </xdr:from>
    <xdr:to>
      <xdr:col>13</xdr:col>
      <xdr:colOff>389467</xdr:colOff>
      <xdr:row>50</xdr:row>
      <xdr:rowOff>33868</xdr:rowOff>
    </xdr:to>
    <xdr:sp macro="" textlink="">
      <xdr:nvSpPr>
        <xdr:cNvPr id="15" name="Rounded Rectangle 14">
          <a:extLst>
            <a:ext uri="{FF2B5EF4-FFF2-40B4-BE49-F238E27FC236}">
              <a16:creationId xmlns:a16="http://schemas.microsoft.com/office/drawing/2014/main" id="{1BC50833-8486-9682-D478-AD648F890D67}"/>
            </a:ext>
          </a:extLst>
        </xdr:cNvPr>
        <xdr:cNvSpPr/>
      </xdr:nvSpPr>
      <xdr:spPr>
        <a:xfrm>
          <a:off x="6248400" y="7230534"/>
          <a:ext cx="4927600" cy="29633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558802</xdr:colOff>
      <xdr:row>12</xdr:row>
      <xdr:rowOff>135466</xdr:rowOff>
    </xdr:from>
    <xdr:to>
      <xdr:col>10</xdr:col>
      <xdr:colOff>406402</xdr:colOff>
      <xdr:row>16</xdr:row>
      <xdr:rowOff>152399</xdr:rowOff>
    </xdr:to>
    <xdr:sp macro="" textlink="'Pivot Table'!$I$4">
      <xdr:nvSpPr>
        <xdr:cNvPr id="21" name="Rounded Rectangle 20">
          <a:extLst>
            <a:ext uri="{FF2B5EF4-FFF2-40B4-BE49-F238E27FC236}">
              <a16:creationId xmlns:a16="http://schemas.microsoft.com/office/drawing/2014/main" id="{0B17A38D-0CF4-A01E-9BC4-A39DAE28012B}"/>
            </a:ext>
          </a:extLst>
        </xdr:cNvPr>
        <xdr:cNvSpPr/>
      </xdr:nvSpPr>
      <xdr:spPr>
        <a:xfrm>
          <a:off x="6366935" y="2573866"/>
          <a:ext cx="2336800" cy="829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B56277-18E6-6040-AE1B-EFE68444A74A}" type="TxLink">
            <a:rPr lang="en-US" sz="2800" b="1" i="0" u="none" strike="noStrike">
              <a:solidFill>
                <a:schemeClr val="tx1">
                  <a:lumMod val="95000"/>
                  <a:lumOff val="5000"/>
                </a:schemeClr>
              </a:solidFill>
              <a:latin typeface="Aptos Narrow"/>
            </a:rPr>
            <a:pPr algn="ctr"/>
            <a:t>1000</a:t>
          </a:fld>
          <a:endParaRPr lang="en-GB" sz="2400" b="1">
            <a:solidFill>
              <a:schemeClr val="tx1">
                <a:lumMod val="95000"/>
                <a:lumOff val="5000"/>
              </a:schemeClr>
            </a:solidFill>
          </a:endParaRPr>
        </a:p>
      </xdr:txBody>
    </xdr:sp>
    <xdr:clientData/>
  </xdr:twoCellAnchor>
  <xdr:twoCellAnchor>
    <xdr:from>
      <xdr:col>12</xdr:col>
      <xdr:colOff>135467</xdr:colOff>
      <xdr:row>12</xdr:row>
      <xdr:rowOff>135466</xdr:rowOff>
    </xdr:from>
    <xdr:to>
      <xdr:col>14</xdr:col>
      <xdr:colOff>677334</xdr:colOff>
      <xdr:row>16</xdr:row>
      <xdr:rowOff>84666</xdr:rowOff>
    </xdr:to>
    <xdr:sp macro="" textlink="'Pivot Table'!$I$12">
      <xdr:nvSpPr>
        <xdr:cNvPr id="22" name="Rounded Rectangle 21">
          <a:extLst>
            <a:ext uri="{FF2B5EF4-FFF2-40B4-BE49-F238E27FC236}">
              <a16:creationId xmlns:a16="http://schemas.microsoft.com/office/drawing/2014/main" id="{C6FFDFE1-4A91-86B7-4A02-DFE12BD13886}"/>
            </a:ext>
          </a:extLst>
        </xdr:cNvPr>
        <xdr:cNvSpPr/>
      </xdr:nvSpPr>
      <xdr:spPr>
        <a:xfrm>
          <a:off x="10092267" y="2573866"/>
          <a:ext cx="2201334" cy="762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4D428C-3442-E44C-8510-592615F3C054}" type="TxLink">
            <a:rPr lang="en-US" sz="2800" b="1" i="0" u="none" strike="noStrike">
              <a:solidFill>
                <a:schemeClr val="tx1">
                  <a:lumMod val="95000"/>
                  <a:lumOff val="5000"/>
                </a:schemeClr>
              </a:solidFill>
              <a:latin typeface="Aptos Narrow"/>
            </a:rPr>
            <a:pPr algn="ctr"/>
            <a:t>39.06</a:t>
          </a:fld>
          <a:endParaRPr lang="en-GB" sz="2400" b="1">
            <a:solidFill>
              <a:schemeClr val="tx1">
                <a:lumMod val="95000"/>
                <a:lumOff val="5000"/>
              </a:schemeClr>
            </a:solidFill>
          </a:endParaRPr>
        </a:p>
      </xdr:txBody>
    </xdr:sp>
    <xdr:clientData/>
  </xdr:twoCellAnchor>
  <xdr:twoCellAnchor>
    <xdr:from>
      <xdr:col>16</xdr:col>
      <xdr:colOff>287867</xdr:colOff>
      <xdr:row>12</xdr:row>
      <xdr:rowOff>118533</xdr:rowOff>
    </xdr:from>
    <xdr:to>
      <xdr:col>19</xdr:col>
      <xdr:colOff>152400</xdr:colOff>
      <xdr:row>16</xdr:row>
      <xdr:rowOff>135466</xdr:rowOff>
    </xdr:to>
    <xdr:sp macro="" textlink="'Pivot Table'!$I$14">
      <xdr:nvSpPr>
        <xdr:cNvPr id="23" name="Rounded Rectangle 22">
          <a:extLst>
            <a:ext uri="{FF2B5EF4-FFF2-40B4-BE49-F238E27FC236}">
              <a16:creationId xmlns:a16="http://schemas.microsoft.com/office/drawing/2014/main" id="{977F48CA-A065-2BD5-7A23-938E51A9AA6E}"/>
            </a:ext>
          </a:extLst>
        </xdr:cNvPr>
        <xdr:cNvSpPr/>
      </xdr:nvSpPr>
      <xdr:spPr>
        <a:xfrm>
          <a:off x="13563600" y="2556933"/>
          <a:ext cx="2353733" cy="829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E7C7A4-07C7-5E41-B43F-42E12071D533}" type="TxLink">
            <a:rPr lang="en-US" sz="2800" b="1" i="0" u="none" strike="noStrike">
              <a:solidFill>
                <a:schemeClr val="tx1">
                  <a:lumMod val="95000"/>
                  <a:lumOff val="5000"/>
                </a:schemeClr>
              </a:solidFill>
              <a:latin typeface="Aptos Narrow"/>
            </a:rPr>
            <a:pPr algn="ctr"/>
            <a:t>77.90%</a:t>
          </a:fld>
          <a:endParaRPr lang="en-GB" sz="2400" b="1">
            <a:solidFill>
              <a:schemeClr val="tx1">
                <a:lumMod val="95000"/>
                <a:lumOff val="5000"/>
              </a:schemeClr>
            </a:solidFill>
          </a:endParaRPr>
        </a:p>
      </xdr:txBody>
    </xdr:sp>
    <xdr:clientData/>
  </xdr:twoCellAnchor>
  <xdr:twoCellAnchor>
    <xdr:from>
      <xdr:col>20</xdr:col>
      <xdr:colOff>524934</xdr:colOff>
      <xdr:row>12</xdr:row>
      <xdr:rowOff>135467</xdr:rowOff>
    </xdr:from>
    <xdr:to>
      <xdr:col>23</xdr:col>
      <xdr:colOff>389467</xdr:colOff>
      <xdr:row>16</xdr:row>
      <xdr:rowOff>152400</xdr:rowOff>
    </xdr:to>
    <xdr:sp macro="" textlink="'Pivot Table'!$I$11">
      <xdr:nvSpPr>
        <xdr:cNvPr id="24" name="Rounded Rectangle 23">
          <a:extLst>
            <a:ext uri="{FF2B5EF4-FFF2-40B4-BE49-F238E27FC236}">
              <a16:creationId xmlns:a16="http://schemas.microsoft.com/office/drawing/2014/main" id="{A3AC54B2-65F9-1341-0F4B-A69C38EF2DDF}"/>
            </a:ext>
          </a:extLst>
        </xdr:cNvPr>
        <xdr:cNvSpPr/>
      </xdr:nvSpPr>
      <xdr:spPr>
        <a:xfrm>
          <a:off x="17119601" y="2573867"/>
          <a:ext cx="2353733" cy="829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6F3326-DCD3-FC45-BCCA-71E2DF8428D1}" type="TxLink">
            <a:rPr lang="en-US" sz="2800" b="1" i="0" u="none" strike="noStrike">
              <a:solidFill>
                <a:schemeClr val="tx1">
                  <a:lumMod val="95000"/>
                  <a:lumOff val="5000"/>
                </a:schemeClr>
              </a:solidFill>
              <a:latin typeface="Aptos Narrow"/>
            </a:rPr>
            <a:pPr algn="ctr"/>
            <a:t>4.29</a:t>
          </a:fld>
          <a:endParaRPr lang="en-GB" sz="2400" b="1">
            <a:solidFill>
              <a:schemeClr val="tx1">
                <a:lumMod val="95000"/>
                <a:lumOff val="5000"/>
              </a:schemeClr>
            </a:solidFill>
          </a:endParaRPr>
        </a:p>
      </xdr:txBody>
    </xdr:sp>
    <xdr:clientData/>
  </xdr:twoCellAnchor>
  <xdr:twoCellAnchor>
    <xdr:from>
      <xdr:col>20</xdr:col>
      <xdr:colOff>694266</xdr:colOff>
      <xdr:row>34</xdr:row>
      <xdr:rowOff>84667</xdr:rowOff>
    </xdr:from>
    <xdr:to>
      <xdr:col>23</xdr:col>
      <xdr:colOff>558799</xdr:colOff>
      <xdr:row>38</xdr:row>
      <xdr:rowOff>101600</xdr:rowOff>
    </xdr:to>
    <xdr:sp macro="" textlink="'Pivot Table'!$I$8">
      <xdr:nvSpPr>
        <xdr:cNvPr id="25" name="Rounded Rectangle 24">
          <a:extLst>
            <a:ext uri="{FF2B5EF4-FFF2-40B4-BE49-F238E27FC236}">
              <a16:creationId xmlns:a16="http://schemas.microsoft.com/office/drawing/2014/main" id="{C4B37027-E09C-5A68-B434-6C188964CB0E}"/>
            </a:ext>
          </a:extLst>
        </xdr:cNvPr>
        <xdr:cNvSpPr/>
      </xdr:nvSpPr>
      <xdr:spPr>
        <a:xfrm>
          <a:off x="17288933" y="6993467"/>
          <a:ext cx="2353733" cy="829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7F97F3-49B2-5249-9E7B-9B413B325985}" type="TxLink">
            <a:rPr lang="en-US" sz="2800" b="1" i="0" u="none" strike="noStrike">
              <a:solidFill>
                <a:schemeClr val="tx1">
                  <a:lumMod val="95000"/>
                  <a:lumOff val="5000"/>
                </a:schemeClr>
              </a:solidFill>
              <a:latin typeface="Aptos Narrow"/>
            </a:rPr>
            <a:pPr algn="ctr"/>
            <a:t>5.45</a:t>
          </a:fld>
          <a:endParaRPr lang="en-GB" sz="2400" b="1">
            <a:solidFill>
              <a:schemeClr val="tx1">
                <a:lumMod val="95000"/>
                <a:lumOff val="5000"/>
              </a:schemeClr>
            </a:solidFill>
          </a:endParaRPr>
        </a:p>
      </xdr:txBody>
    </xdr:sp>
    <xdr:clientData/>
  </xdr:twoCellAnchor>
  <xdr:twoCellAnchor>
    <xdr:from>
      <xdr:col>20</xdr:col>
      <xdr:colOff>694266</xdr:colOff>
      <xdr:row>24</xdr:row>
      <xdr:rowOff>135466</xdr:rowOff>
    </xdr:from>
    <xdr:to>
      <xdr:col>23</xdr:col>
      <xdr:colOff>558799</xdr:colOff>
      <xdr:row>28</xdr:row>
      <xdr:rowOff>152399</xdr:rowOff>
    </xdr:to>
    <xdr:sp macro="" textlink="'Pivot Table'!$I$13">
      <xdr:nvSpPr>
        <xdr:cNvPr id="26" name="Rounded Rectangle 25">
          <a:extLst>
            <a:ext uri="{FF2B5EF4-FFF2-40B4-BE49-F238E27FC236}">
              <a16:creationId xmlns:a16="http://schemas.microsoft.com/office/drawing/2014/main" id="{ECA5E735-F856-8180-57B6-E503FC77123C}"/>
            </a:ext>
          </a:extLst>
        </xdr:cNvPr>
        <xdr:cNvSpPr/>
      </xdr:nvSpPr>
      <xdr:spPr>
        <a:xfrm>
          <a:off x="17288933" y="5012266"/>
          <a:ext cx="2353733" cy="829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3D69E3-AF30-DC42-9771-DDCC4DFF4F1A}" type="TxLink">
            <a:rPr lang="en-US" sz="2800" b="1" i="0" u="none" strike="noStrike">
              <a:solidFill>
                <a:schemeClr val="tx1">
                  <a:lumMod val="95000"/>
                  <a:lumOff val="5000"/>
                </a:schemeClr>
              </a:solidFill>
              <a:latin typeface="Aptos Narrow"/>
            </a:rPr>
            <a:pPr algn="ctr"/>
            <a:t>61.84</a:t>
          </a:fld>
          <a:endParaRPr lang="en-GB" sz="2400" b="1">
            <a:solidFill>
              <a:schemeClr val="tx1">
                <a:lumMod val="95000"/>
                <a:lumOff val="5000"/>
              </a:schemeClr>
            </a:solidFill>
          </a:endParaRPr>
        </a:p>
      </xdr:txBody>
    </xdr:sp>
    <xdr:clientData/>
  </xdr:twoCellAnchor>
  <xdr:twoCellAnchor>
    <xdr:from>
      <xdr:col>20</xdr:col>
      <xdr:colOff>694267</xdr:colOff>
      <xdr:row>45</xdr:row>
      <xdr:rowOff>50800</xdr:rowOff>
    </xdr:from>
    <xdr:to>
      <xdr:col>23</xdr:col>
      <xdr:colOff>558800</xdr:colOff>
      <xdr:row>49</xdr:row>
      <xdr:rowOff>67733</xdr:rowOff>
    </xdr:to>
    <xdr:sp macro="" textlink="'Pivot Table'!$I$9">
      <xdr:nvSpPr>
        <xdr:cNvPr id="27" name="Rounded Rectangle 26">
          <a:extLst>
            <a:ext uri="{FF2B5EF4-FFF2-40B4-BE49-F238E27FC236}">
              <a16:creationId xmlns:a16="http://schemas.microsoft.com/office/drawing/2014/main" id="{9DA0AC97-F305-B853-1235-B8CC1EA1E634}"/>
            </a:ext>
          </a:extLst>
        </xdr:cNvPr>
        <xdr:cNvSpPr/>
      </xdr:nvSpPr>
      <xdr:spPr>
        <a:xfrm>
          <a:off x="17288934" y="9194800"/>
          <a:ext cx="2353733" cy="8297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2859B-3E0D-4448-AD55-58307B5FAB2B}" type="TxLink">
            <a:rPr lang="en-US" sz="2800" b="1" i="0" u="none" strike="noStrike">
              <a:solidFill>
                <a:schemeClr val="tx1">
                  <a:lumMod val="95000"/>
                  <a:lumOff val="5000"/>
                </a:schemeClr>
              </a:solidFill>
              <a:latin typeface="Aptos Narrow"/>
            </a:rPr>
            <a:pPr algn="ctr"/>
            <a:t>1069</a:t>
          </a:fld>
          <a:endParaRPr lang="en-GB" sz="2400" b="1">
            <a:solidFill>
              <a:schemeClr val="tx1">
                <a:lumMod val="95000"/>
                <a:lumOff val="5000"/>
              </a:schemeClr>
            </a:solidFill>
          </a:endParaRPr>
        </a:p>
      </xdr:txBody>
    </xdr:sp>
    <xdr:clientData/>
  </xdr:twoCellAnchor>
  <xdr:twoCellAnchor>
    <xdr:from>
      <xdr:col>7</xdr:col>
      <xdr:colOff>474133</xdr:colOff>
      <xdr:row>36</xdr:row>
      <xdr:rowOff>33867</xdr:rowOff>
    </xdr:from>
    <xdr:to>
      <xdr:col>13</xdr:col>
      <xdr:colOff>338666</xdr:colOff>
      <xdr:row>50</xdr:row>
      <xdr:rowOff>169333</xdr:rowOff>
    </xdr:to>
    <xdr:graphicFrame macro="">
      <xdr:nvGraphicFramePr>
        <xdr:cNvPr id="28" name="Chart 27">
          <a:extLst>
            <a:ext uri="{FF2B5EF4-FFF2-40B4-BE49-F238E27FC236}">
              <a16:creationId xmlns:a16="http://schemas.microsoft.com/office/drawing/2014/main" id="{F8BBF5C7-4DC6-2E4E-8F20-C76EE8F89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812800</xdr:colOff>
      <xdr:row>35</xdr:row>
      <xdr:rowOff>118533</xdr:rowOff>
    </xdr:from>
    <xdr:to>
      <xdr:col>19</xdr:col>
      <xdr:colOff>626533</xdr:colOff>
      <xdr:row>49</xdr:row>
      <xdr:rowOff>169332</xdr:rowOff>
    </xdr:to>
    <xdr:graphicFrame macro="">
      <xdr:nvGraphicFramePr>
        <xdr:cNvPr id="29" name="Chart 28">
          <a:extLst>
            <a:ext uri="{FF2B5EF4-FFF2-40B4-BE49-F238E27FC236}">
              <a16:creationId xmlns:a16="http://schemas.microsoft.com/office/drawing/2014/main" id="{3DB2C18B-DA73-1645-BA03-DB147032C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457199</xdr:colOff>
      <xdr:row>19</xdr:row>
      <xdr:rowOff>101600</xdr:rowOff>
    </xdr:from>
    <xdr:to>
      <xdr:col>13</xdr:col>
      <xdr:colOff>321732</xdr:colOff>
      <xdr:row>34</xdr:row>
      <xdr:rowOff>0</xdr:rowOff>
    </xdr:to>
    <xdr:graphicFrame macro="">
      <xdr:nvGraphicFramePr>
        <xdr:cNvPr id="30" name="Chart 29">
          <a:extLst>
            <a:ext uri="{FF2B5EF4-FFF2-40B4-BE49-F238E27FC236}">
              <a16:creationId xmlns:a16="http://schemas.microsoft.com/office/drawing/2014/main" id="{A140C7C5-A16F-654E-9A87-3D893227A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762000</xdr:colOff>
      <xdr:row>19</xdr:row>
      <xdr:rowOff>203199</xdr:rowOff>
    </xdr:from>
    <xdr:to>
      <xdr:col>19</xdr:col>
      <xdr:colOff>626534</xdr:colOff>
      <xdr:row>34</xdr:row>
      <xdr:rowOff>33866</xdr:rowOff>
    </xdr:to>
    <xdr:graphicFrame macro="">
      <xdr:nvGraphicFramePr>
        <xdr:cNvPr id="32" name="Chart 31">
          <a:extLst>
            <a:ext uri="{FF2B5EF4-FFF2-40B4-BE49-F238E27FC236}">
              <a16:creationId xmlns:a16="http://schemas.microsoft.com/office/drawing/2014/main" id="{53C104C4-C3EA-4D45-91B0-67B2C11AA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169332</xdr:colOff>
      <xdr:row>10</xdr:row>
      <xdr:rowOff>67733</xdr:rowOff>
    </xdr:from>
    <xdr:to>
      <xdr:col>7</xdr:col>
      <xdr:colOff>135466</xdr:colOff>
      <xdr:row>48</xdr:row>
      <xdr:rowOff>152400</xdr:rowOff>
    </xdr:to>
    <mc:AlternateContent xmlns:mc="http://schemas.openxmlformats.org/markup-compatibility/2006" xmlns:a14="http://schemas.microsoft.com/office/drawing/2010/main">
      <mc:Choice Requires="a14">
        <xdr:graphicFrame macro="">
          <xdr:nvGraphicFramePr>
            <xdr:cNvPr id="33" name="Branch 1">
              <a:extLst>
                <a:ext uri="{FF2B5EF4-FFF2-40B4-BE49-F238E27FC236}">
                  <a16:creationId xmlns:a16="http://schemas.microsoft.com/office/drawing/2014/main" id="{217C30DF-F582-6047-8A15-3F8EFECC06C7}"/>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4317999" y="2099733"/>
              <a:ext cx="1625600" cy="78062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206482</xdr:colOff>
      <xdr:row>1</xdr:row>
      <xdr:rowOff>135467</xdr:rowOff>
    </xdr:from>
    <xdr:to>
      <xdr:col>6</xdr:col>
      <xdr:colOff>812800</xdr:colOff>
      <xdr:row>8</xdr:row>
      <xdr:rowOff>104163</xdr:rowOff>
    </xdr:to>
    <xdr:pic>
      <xdr:nvPicPr>
        <xdr:cNvPr id="34" name="Picture 33">
          <a:extLst>
            <a:ext uri="{FF2B5EF4-FFF2-40B4-BE49-F238E27FC236}">
              <a16:creationId xmlns:a16="http://schemas.microsoft.com/office/drawing/2014/main" id="{BB9895D1-D83C-1353-D232-8E4EDB539E05}"/>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Lst>
        </a:blip>
        <a:stretch>
          <a:fillRect/>
        </a:stretch>
      </xdr:blipFill>
      <xdr:spPr>
        <a:xfrm>
          <a:off x="4355149" y="338667"/>
          <a:ext cx="1436051" cy="13910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Karve" refreshedDate="46187.547761458336" createdVersion="8" refreshedVersion="8" minRefreshableVersion="3" recordCount="1001" xr:uid="{72E3BC20-6476-6747-A525-068790D748CF}">
  <cacheSource type="worksheet">
    <worksheetSource name="Table5"/>
  </cacheSource>
  <cacheFields count="5">
    <cacheField name="Student_ID" numFmtId="0">
      <sharedItems containsBlank="1"/>
    </cacheField>
    <cacheField name="Branch" numFmtId="0">
      <sharedItems count="6">
        <s v="Civil"/>
        <s v="Information Technology"/>
        <s v="Mechanical"/>
        <s v="Electronics"/>
        <s v="Computer Science"/>
        <e v="#N/A"/>
      </sharedItems>
    </cacheField>
    <cacheField name="Placement_Status" numFmtId="0">
      <sharedItems containsBlank="1" count="3">
        <s v="Placed"/>
        <s v="Unplaced"/>
        <m/>
      </sharedItems>
    </cacheField>
    <cacheField name="Company" numFmtId="0">
      <sharedItems containsBlank="1"/>
    </cacheField>
    <cacheField name="Package_LPA" numFmtId="0">
      <sharedItems containsString="0" containsBlank="1" containsNumber="1" minValue="0" maxValue="39.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Karve" refreshedDate="46187.632303124999" createdVersion="8" refreshedVersion="8" minRefreshableVersion="3" recordCount="1000" xr:uid="{30001D63-A967-2B4B-8187-100D8C899DE2}">
  <cacheSource type="worksheet">
    <worksheetSource name="Table7"/>
  </cacheSource>
  <cacheFields count="10">
    <cacheField name="Student_ID" numFmtId="0">
      <sharedItems/>
    </cacheField>
    <cacheField name="Branch" numFmtId="0">
      <sharedItems count="5">
        <s v="Civil"/>
        <s v="Information Technology"/>
        <s v="Mechanical"/>
        <s v="Electronics"/>
        <s v="Computer Science"/>
      </sharedItems>
    </cacheField>
    <cacheField name="Employibility Score" numFmtId="0">
      <sharedItems containsSemiMixedTypes="0" containsString="0" containsNumber="1" minValue="29.1" maxValue="97.65"/>
    </cacheField>
    <cacheField name="Skills Score" numFmtId="0">
      <sharedItems containsSemiMixedTypes="0" containsString="0" containsNumber="1" minValue="2" maxValue="9.75"/>
    </cacheField>
    <cacheField name="Internship Category" numFmtId="0">
      <sharedItems/>
    </cacheField>
    <cacheField name="CGPA" numFmtId="0">
      <sharedItems containsSemiMixedTypes="0" containsString="0" containsNumber="1" minValue="5" maxValue="10"/>
    </cacheField>
    <cacheField name="Project Count" numFmtId="0">
      <sharedItems containsSemiMixedTypes="0" containsString="0" containsNumber="1" containsInteger="1" minValue="0" maxValue="5"/>
    </cacheField>
    <cacheField name="Internship Count" numFmtId="0">
      <sharedItems containsSemiMixedTypes="0" containsString="0" containsNumber="1" containsInteger="1" minValue="0" maxValue="3"/>
    </cacheField>
    <cacheField name="Package_LPA" numFmtId="0">
      <sharedItems containsSemiMixedTypes="0" containsString="0" containsNumber="1" minValue="0" maxValue="39.06"/>
    </cacheField>
    <cacheField name="CGPA Category" numFmtId="0">
      <sharedItems/>
    </cacheField>
  </cacheFields>
  <extLst>
    <ext xmlns:x14="http://schemas.microsoft.com/office/spreadsheetml/2009/9/main" uri="{725AE2AE-9491-48be-B2B4-4EB974FC3084}">
      <x14:pivotCacheDefinition pivotCacheId="27056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STU_1000"/>
    <x v="0"/>
    <x v="0"/>
    <s v="TCS"/>
    <n v="5.4"/>
  </r>
  <r>
    <s v="STU_1001"/>
    <x v="1"/>
    <x v="1"/>
    <s v="N/A"/>
    <n v="0"/>
  </r>
  <r>
    <s v="STU_1002"/>
    <x v="2"/>
    <x v="1"/>
    <s v="N/A"/>
    <n v="0"/>
  </r>
  <r>
    <s v="STU_1003"/>
    <x v="1"/>
    <x v="0"/>
    <s v="Wipro"/>
    <n v="6.06"/>
  </r>
  <r>
    <s v="STU_1004"/>
    <x v="1"/>
    <x v="0"/>
    <s v="Wipro"/>
    <n v="5.81"/>
  </r>
  <r>
    <s v="STU_1005"/>
    <x v="3"/>
    <x v="0"/>
    <s v="Accenture"/>
    <n v="13.94"/>
  </r>
  <r>
    <s v="STU_1006"/>
    <x v="2"/>
    <x v="0"/>
    <s v="TCS"/>
    <n v="5.21"/>
  </r>
  <r>
    <s v="STU_1007"/>
    <x v="2"/>
    <x v="1"/>
    <s v="N/A"/>
    <n v="0"/>
  </r>
  <r>
    <s v="STU_1008"/>
    <x v="2"/>
    <x v="0"/>
    <s v="TCS"/>
    <n v="6.96"/>
  </r>
  <r>
    <s v="STU_1009"/>
    <x v="1"/>
    <x v="1"/>
    <s v="N/A"/>
    <n v="0"/>
  </r>
  <r>
    <s v="STU_1010"/>
    <x v="0"/>
    <x v="0"/>
    <s v="Deloitte"/>
    <n v="8.2799999999999994"/>
  </r>
  <r>
    <s v="STU_1011"/>
    <x v="2"/>
    <x v="1"/>
    <s v="N/A"/>
    <n v="0"/>
  </r>
  <r>
    <s v="STU_1012"/>
    <x v="1"/>
    <x v="1"/>
    <s v="N/A"/>
    <n v="0"/>
  </r>
  <r>
    <s v="STU_1013"/>
    <x v="3"/>
    <x v="0"/>
    <s v="Accenture"/>
    <n v="14.48"/>
  </r>
  <r>
    <s v="STU_1014"/>
    <x v="0"/>
    <x v="0"/>
    <s v="TCS"/>
    <n v="5.49"/>
  </r>
  <r>
    <s v="STU_1015"/>
    <x v="3"/>
    <x v="0"/>
    <s v="Infosys"/>
    <n v="4.01"/>
  </r>
  <r>
    <s v="STU_1016"/>
    <x v="0"/>
    <x v="1"/>
    <s v="N/A"/>
    <n v="0"/>
  </r>
  <r>
    <s v="STU_1017"/>
    <x v="1"/>
    <x v="0"/>
    <s v="Infosys"/>
    <n v="5.18"/>
  </r>
  <r>
    <s v="STU_1018"/>
    <x v="4"/>
    <x v="0"/>
    <s v="Cognizant"/>
    <n v="4.3"/>
  </r>
  <r>
    <s v="STU_1019"/>
    <x v="0"/>
    <x v="0"/>
    <s v="Infosys"/>
    <n v="4.33"/>
  </r>
  <r>
    <s v="STU_1020"/>
    <x v="3"/>
    <x v="0"/>
    <s v="TCS"/>
    <n v="6.86"/>
  </r>
  <r>
    <s v="STU_1021"/>
    <x v="1"/>
    <x v="0"/>
    <s v="Wipro"/>
    <n v="5.08"/>
  </r>
  <r>
    <s v="STU_1022"/>
    <x v="0"/>
    <x v="0"/>
    <s v="Infosys"/>
    <n v="4.41"/>
  </r>
  <r>
    <s v="STU_1023"/>
    <x v="4"/>
    <x v="0"/>
    <s v="Infosys"/>
    <n v="4.67"/>
  </r>
  <r>
    <s v="STU_1024"/>
    <x v="4"/>
    <x v="0"/>
    <s v="Infosys"/>
    <n v="5.33"/>
  </r>
  <r>
    <s v="STU_1025"/>
    <x v="2"/>
    <x v="0"/>
    <s v="Infosys"/>
    <n v="6.99"/>
  </r>
  <r>
    <s v="STU_1026"/>
    <x v="2"/>
    <x v="0"/>
    <s v="TCS"/>
    <n v="4.1399999999999997"/>
  </r>
  <r>
    <s v="STU_1027"/>
    <x v="3"/>
    <x v="0"/>
    <s v="Accenture"/>
    <n v="9.31"/>
  </r>
  <r>
    <s v="STU_1028"/>
    <x v="0"/>
    <x v="0"/>
    <s v="Infosys"/>
    <n v="4.5"/>
  </r>
  <r>
    <s v="STU_1029"/>
    <x v="0"/>
    <x v="1"/>
    <s v="N/A"/>
    <n v="0"/>
  </r>
  <r>
    <s v="STU_1030"/>
    <x v="2"/>
    <x v="0"/>
    <s v="Infosys"/>
    <n v="4.88"/>
  </r>
  <r>
    <s v="STU_1031"/>
    <x v="0"/>
    <x v="0"/>
    <s v="Deloitte"/>
    <n v="11.39"/>
  </r>
  <r>
    <s v="STU_1032"/>
    <x v="0"/>
    <x v="0"/>
    <s v="TCS"/>
    <n v="6.17"/>
  </r>
  <r>
    <s v="STU_1033"/>
    <x v="4"/>
    <x v="0"/>
    <s v="TCS"/>
    <n v="5.13"/>
  </r>
  <r>
    <s v="STU_1034"/>
    <x v="2"/>
    <x v="0"/>
    <s v="TCS"/>
    <n v="4.37"/>
  </r>
  <r>
    <s v="STU_1035"/>
    <x v="1"/>
    <x v="0"/>
    <s v="Infosys"/>
    <n v="4.3600000000000003"/>
  </r>
  <r>
    <s v="STU_1036"/>
    <x v="2"/>
    <x v="1"/>
    <s v="N/A"/>
    <n v="0"/>
  </r>
  <r>
    <s v="STU_1037"/>
    <x v="1"/>
    <x v="0"/>
    <s v="Infosys"/>
    <n v="4.5599999999999996"/>
  </r>
  <r>
    <s v="STU_1038"/>
    <x v="4"/>
    <x v="0"/>
    <s v="Capgemini"/>
    <n v="4.5599999999999996"/>
  </r>
  <r>
    <s v="STU_1039"/>
    <x v="3"/>
    <x v="0"/>
    <s v="Wipro"/>
    <n v="3.56"/>
  </r>
  <r>
    <s v="STU_1040"/>
    <x v="0"/>
    <x v="1"/>
    <s v="N/A"/>
    <n v="0"/>
  </r>
  <r>
    <s v="STU_1041"/>
    <x v="4"/>
    <x v="0"/>
    <s v="Wipro"/>
    <n v="4.53"/>
  </r>
  <r>
    <s v="STU_1042"/>
    <x v="0"/>
    <x v="0"/>
    <s v="TCS"/>
    <n v="4.68"/>
  </r>
  <r>
    <s v="STU_1043"/>
    <x v="3"/>
    <x v="0"/>
    <s v="Amazon"/>
    <n v="36.56"/>
  </r>
  <r>
    <s v="STU_1044"/>
    <x v="3"/>
    <x v="0"/>
    <s v="Cognizant"/>
    <n v="4.1900000000000004"/>
  </r>
  <r>
    <s v="STU_1045"/>
    <x v="4"/>
    <x v="1"/>
    <s v="N/A"/>
    <n v="0"/>
  </r>
  <r>
    <s v="STU_1046"/>
    <x v="3"/>
    <x v="0"/>
    <s v="TCS"/>
    <n v="6.71"/>
  </r>
  <r>
    <s v="STU_1047"/>
    <x v="1"/>
    <x v="1"/>
    <s v="N/A"/>
    <n v="0"/>
  </r>
  <r>
    <s v="STU_1048"/>
    <x v="3"/>
    <x v="1"/>
    <s v="N/A"/>
    <n v="0"/>
  </r>
  <r>
    <s v="STU_1049"/>
    <x v="0"/>
    <x v="0"/>
    <s v="Capgemini"/>
    <n v="4.24"/>
  </r>
  <r>
    <s v="STU_1050"/>
    <x v="0"/>
    <x v="0"/>
    <s v="Wipro"/>
    <n v="4.09"/>
  </r>
  <r>
    <s v="STU_1051"/>
    <x v="0"/>
    <x v="0"/>
    <s v="TCS"/>
    <n v="3.95"/>
  </r>
  <r>
    <s v="STU_1052"/>
    <x v="0"/>
    <x v="0"/>
    <s v="TCS"/>
    <n v="4.16"/>
  </r>
  <r>
    <s v="STU_1053"/>
    <x v="1"/>
    <x v="0"/>
    <s v="Infosys"/>
    <n v="4.22"/>
  </r>
  <r>
    <s v="STU_1054"/>
    <x v="2"/>
    <x v="0"/>
    <s v="Accenture"/>
    <n v="9.2200000000000006"/>
  </r>
  <r>
    <s v="STU_1055"/>
    <x v="4"/>
    <x v="0"/>
    <s v="TCS"/>
    <n v="5.26"/>
  </r>
  <r>
    <s v="STU_1056"/>
    <x v="0"/>
    <x v="0"/>
    <s v="TCS"/>
    <n v="5.85"/>
  </r>
  <r>
    <s v="STU_1057"/>
    <x v="3"/>
    <x v="0"/>
    <s v="Accenture"/>
    <n v="10.63"/>
  </r>
  <r>
    <s v="STU_1058"/>
    <x v="0"/>
    <x v="0"/>
    <s v="TCS"/>
    <n v="6.34"/>
  </r>
  <r>
    <s v="STU_1059"/>
    <x v="3"/>
    <x v="1"/>
    <s v="N/A"/>
    <n v="0"/>
  </r>
  <r>
    <s v="STU_1060"/>
    <x v="3"/>
    <x v="0"/>
    <s v="Wipro"/>
    <n v="4.72"/>
  </r>
  <r>
    <s v="STU_1061"/>
    <x v="0"/>
    <x v="1"/>
    <s v="N/A"/>
    <n v="0"/>
  </r>
  <r>
    <s v="STU_1062"/>
    <x v="1"/>
    <x v="0"/>
    <s v="TCS"/>
    <n v="6.15"/>
  </r>
  <r>
    <s v="STU_1063"/>
    <x v="3"/>
    <x v="0"/>
    <s v="Cognizant"/>
    <n v="5.43"/>
  </r>
  <r>
    <s v="STU_1064"/>
    <x v="3"/>
    <x v="1"/>
    <s v="N/A"/>
    <n v="0"/>
  </r>
  <r>
    <s v="STU_1065"/>
    <x v="0"/>
    <x v="0"/>
    <s v="Cognizant"/>
    <n v="5.15"/>
  </r>
  <r>
    <s v="STU_1066"/>
    <x v="3"/>
    <x v="0"/>
    <s v="Wipro"/>
    <n v="6.03"/>
  </r>
  <r>
    <s v="STU_1067"/>
    <x v="3"/>
    <x v="0"/>
    <s v="Accenture"/>
    <n v="8.4700000000000006"/>
  </r>
  <r>
    <s v="STU_1068"/>
    <x v="0"/>
    <x v="0"/>
    <s v="Accenture"/>
    <n v="8.2200000000000006"/>
  </r>
  <r>
    <s v="STU_1069"/>
    <x v="0"/>
    <x v="0"/>
    <s v="Wipro"/>
    <n v="4.96"/>
  </r>
  <r>
    <s v="STU_1070"/>
    <x v="4"/>
    <x v="1"/>
    <s v="N/A"/>
    <n v="0"/>
  </r>
  <r>
    <s v="STU_1071"/>
    <x v="1"/>
    <x v="0"/>
    <s v="Cognizant"/>
    <n v="4.8600000000000003"/>
  </r>
  <r>
    <s v="STU_1072"/>
    <x v="1"/>
    <x v="1"/>
    <s v="N/A"/>
    <n v="0"/>
  </r>
  <r>
    <s v="STU_1073"/>
    <x v="3"/>
    <x v="0"/>
    <s v="TCS"/>
    <n v="4.51"/>
  </r>
  <r>
    <s v="STU_1074"/>
    <x v="1"/>
    <x v="0"/>
    <s v="TCS"/>
    <n v="5.49"/>
  </r>
  <r>
    <s v="STU_1075"/>
    <x v="3"/>
    <x v="0"/>
    <s v="Accenture"/>
    <n v="13.79"/>
  </r>
  <r>
    <s v="STU_1076"/>
    <x v="4"/>
    <x v="0"/>
    <s v="Cognizant"/>
    <n v="6.92"/>
  </r>
  <r>
    <s v="STU_1077"/>
    <x v="0"/>
    <x v="0"/>
    <s v="Capgemini"/>
    <n v="4.59"/>
  </r>
  <r>
    <s v="STU_1078"/>
    <x v="0"/>
    <x v="1"/>
    <s v="N/A"/>
    <n v="0"/>
  </r>
  <r>
    <s v="STU_1079"/>
    <x v="0"/>
    <x v="0"/>
    <s v="Deloitte"/>
    <n v="11.23"/>
  </r>
  <r>
    <s v="STU_1080"/>
    <x v="1"/>
    <x v="0"/>
    <s v="Infosys"/>
    <n v="6.16"/>
  </r>
  <r>
    <s v="STU_1081"/>
    <x v="4"/>
    <x v="0"/>
    <s v="Infosys"/>
    <n v="5.65"/>
  </r>
  <r>
    <s v="STU_1082"/>
    <x v="1"/>
    <x v="0"/>
    <s v="Wipro"/>
    <n v="4.18"/>
  </r>
  <r>
    <s v="STU_1083"/>
    <x v="1"/>
    <x v="0"/>
    <s v="TCS"/>
    <n v="4.5999999999999996"/>
  </r>
  <r>
    <s v="STU_1084"/>
    <x v="4"/>
    <x v="0"/>
    <s v="Infosys"/>
    <n v="4.22"/>
  </r>
  <r>
    <s v="STU_1085"/>
    <x v="4"/>
    <x v="1"/>
    <s v="N/A"/>
    <n v="0"/>
  </r>
  <r>
    <s v="STU_1086"/>
    <x v="4"/>
    <x v="0"/>
    <s v="Capgemini"/>
    <n v="6.32"/>
  </r>
  <r>
    <s v="STU_1087"/>
    <x v="4"/>
    <x v="0"/>
    <s v="Infosys"/>
    <n v="4.3"/>
  </r>
  <r>
    <s v="STU_1088"/>
    <x v="0"/>
    <x v="0"/>
    <s v="Infosys"/>
    <n v="4.33"/>
  </r>
  <r>
    <s v="STU_1089"/>
    <x v="2"/>
    <x v="0"/>
    <s v="TCS"/>
    <n v="5.98"/>
  </r>
  <r>
    <s v="STU_1090"/>
    <x v="2"/>
    <x v="0"/>
    <s v="Infosys"/>
    <n v="5.55"/>
  </r>
  <r>
    <s v="STU_1091"/>
    <x v="4"/>
    <x v="0"/>
    <s v="TCS"/>
    <n v="3.92"/>
  </r>
  <r>
    <s v="STU_1092"/>
    <x v="2"/>
    <x v="0"/>
    <s v="Wipro"/>
    <n v="5.1100000000000003"/>
  </r>
  <r>
    <s v="STU_1093"/>
    <x v="2"/>
    <x v="0"/>
    <s v="Accenture"/>
    <n v="12.72"/>
  </r>
  <r>
    <s v="STU_1094"/>
    <x v="4"/>
    <x v="0"/>
    <s v="Deloitte"/>
    <n v="11.59"/>
  </r>
  <r>
    <s v="STU_1095"/>
    <x v="2"/>
    <x v="0"/>
    <s v="Cognizant"/>
    <n v="4.58"/>
  </r>
  <r>
    <s v="STU_1096"/>
    <x v="1"/>
    <x v="0"/>
    <s v="Capgemini"/>
    <n v="5.27"/>
  </r>
  <r>
    <s v="STU_1097"/>
    <x v="3"/>
    <x v="0"/>
    <s v="TCS"/>
    <n v="5.32"/>
  </r>
  <r>
    <s v="STU_1098"/>
    <x v="3"/>
    <x v="0"/>
    <s v="Accenture"/>
    <n v="14.61"/>
  </r>
  <r>
    <s v="STU_1099"/>
    <x v="4"/>
    <x v="0"/>
    <s v="Infosys"/>
    <n v="6.62"/>
  </r>
  <r>
    <s v="STU_1100"/>
    <x v="0"/>
    <x v="1"/>
    <s v="N/A"/>
    <n v="0"/>
  </r>
  <r>
    <s v="STU_1101"/>
    <x v="4"/>
    <x v="0"/>
    <s v="Infosys"/>
    <n v="6.96"/>
  </r>
  <r>
    <s v="STU_1102"/>
    <x v="0"/>
    <x v="0"/>
    <s v="Wipro"/>
    <n v="5.41"/>
  </r>
  <r>
    <s v="STU_1103"/>
    <x v="3"/>
    <x v="1"/>
    <s v="N/A"/>
    <n v="0"/>
  </r>
  <r>
    <s v="STU_1104"/>
    <x v="4"/>
    <x v="0"/>
    <s v="Infosys"/>
    <n v="4.3499999999999996"/>
  </r>
  <r>
    <s v="STU_1105"/>
    <x v="1"/>
    <x v="0"/>
    <s v="Infosys"/>
    <n v="6.09"/>
  </r>
  <r>
    <s v="STU_1106"/>
    <x v="2"/>
    <x v="0"/>
    <s v="TCS"/>
    <n v="6.88"/>
  </r>
  <r>
    <s v="STU_1107"/>
    <x v="0"/>
    <x v="0"/>
    <s v="TCS"/>
    <n v="5.87"/>
  </r>
  <r>
    <s v="STU_1108"/>
    <x v="2"/>
    <x v="0"/>
    <s v="Wipro"/>
    <n v="4.54"/>
  </r>
  <r>
    <s v="STU_1109"/>
    <x v="2"/>
    <x v="0"/>
    <s v="Accenture"/>
    <n v="10.66"/>
  </r>
  <r>
    <s v="STU_1110"/>
    <x v="4"/>
    <x v="0"/>
    <s v="Wipro"/>
    <n v="6.67"/>
  </r>
  <r>
    <s v="STU_1111"/>
    <x v="2"/>
    <x v="1"/>
    <s v="N/A"/>
    <n v="0"/>
  </r>
  <r>
    <s v="STU_1112"/>
    <x v="1"/>
    <x v="0"/>
    <s v="Infosys"/>
    <n v="5.08"/>
  </r>
  <r>
    <s v="STU_1113"/>
    <x v="2"/>
    <x v="0"/>
    <s v="TCS"/>
    <n v="4.28"/>
  </r>
  <r>
    <s v="STU_1114"/>
    <x v="4"/>
    <x v="0"/>
    <s v="Capgemini"/>
    <n v="4.8899999999999997"/>
  </r>
  <r>
    <s v="STU_1115"/>
    <x v="1"/>
    <x v="0"/>
    <s v="Cognizant"/>
    <n v="6.97"/>
  </r>
  <r>
    <s v="STU_1116"/>
    <x v="3"/>
    <x v="0"/>
    <s v="TCS"/>
    <n v="3.95"/>
  </r>
  <r>
    <s v="STU_1117"/>
    <x v="2"/>
    <x v="0"/>
    <s v="Deloitte"/>
    <n v="8.3699999999999992"/>
  </r>
  <r>
    <s v="STU_1118"/>
    <x v="4"/>
    <x v="0"/>
    <s v="Wipro"/>
    <n v="4.68"/>
  </r>
  <r>
    <s v="STU_1119"/>
    <x v="3"/>
    <x v="0"/>
    <s v="Cognizant"/>
    <n v="3.61"/>
  </r>
  <r>
    <s v="STU_1120"/>
    <x v="3"/>
    <x v="0"/>
    <s v="Wipro"/>
    <n v="5.01"/>
  </r>
  <r>
    <s v="STU_1121"/>
    <x v="0"/>
    <x v="1"/>
    <s v="N/A"/>
    <n v="0"/>
  </r>
  <r>
    <s v="STU_1122"/>
    <x v="1"/>
    <x v="0"/>
    <s v="Wipro"/>
    <n v="4.6900000000000004"/>
  </r>
  <r>
    <s v="STU_1123"/>
    <x v="2"/>
    <x v="1"/>
    <s v="N/A"/>
    <n v="0"/>
  </r>
  <r>
    <s v="STU_1124"/>
    <x v="4"/>
    <x v="1"/>
    <s v="N/A"/>
    <n v="0"/>
  </r>
  <r>
    <s v="STU_1125"/>
    <x v="0"/>
    <x v="0"/>
    <s v="Cognizant"/>
    <n v="5.42"/>
  </r>
  <r>
    <s v="STU_1126"/>
    <x v="1"/>
    <x v="1"/>
    <s v="N/A"/>
    <n v="0"/>
  </r>
  <r>
    <s v="STU_1127"/>
    <x v="0"/>
    <x v="0"/>
    <s v="Google"/>
    <n v="39.06"/>
  </r>
  <r>
    <s v="STU_1128"/>
    <x v="1"/>
    <x v="0"/>
    <s v="Cognizant"/>
    <n v="3.66"/>
  </r>
  <r>
    <s v="STU_1129"/>
    <x v="1"/>
    <x v="0"/>
    <s v="TCS"/>
    <n v="3.69"/>
  </r>
  <r>
    <s v="STU_1130"/>
    <x v="2"/>
    <x v="1"/>
    <s v="N/A"/>
    <n v="0"/>
  </r>
  <r>
    <s v="STU_1131"/>
    <x v="1"/>
    <x v="0"/>
    <s v="Accenture"/>
    <n v="9.39"/>
  </r>
  <r>
    <s v="STU_1132"/>
    <x v="0"/>
    <x v="1"/>
    <s v="N/A"/>
    <n v="0"/>
  </r>
  <r>
    <s v="STU_1133"/>
    <x v="1"/>
    <x v="0"/>
    <s v="Wipro"/>
    <n v="6.68"/>
  </r>
  <r>
    <s v="STU_1134"/>
    <x v="2"/>
    <x v="1"/>
    <s v="N/A"/>
    <n v="0"/>
  </r>
  <r>
    <s v="STU_1135"/>
    <x v="2"/>
    <x v="0"/>
    <s v="Google"/>
    <n v="25.43"/>
  </r>
  <r>
    <s v="STU_1136"/>
    <x v="0"/>
    <x v="0"/>
    <s v="Cognizant"/>
    <n v="4.3899999999999997"/>
  </r>
  <r>
    <s v="STU_1137"/>
    <x v="3"/>
    <x v="0"/>
    <s v="Infosys"/>
    <n v="3.97"/>
  </r>
  <r>
    <s v="STU_1138"/>
    <x v="3"/>
    <x v="1"/>
    <s v="N/A"/>
    <n v="0"/>
  </r>
  <r>
    <s v="STU_1139"/>
    <x v="1"/>
    <x v="0"/>
    <s v="Wipro"/>
    <n v="5.81"/>
  </r>
  <r>
    <s v="STU_1140"/>
    <x v="4"/>
    <x v="1"/>
    <s v="N/A"/>
    <n v="0"/>
  </r>
  <r>
    <s v="STU_1141"/>
    <x v="1"/>
    <x v="0"/>
    <s v="Infosys"/>
    <n v="3.92"/>
  </r>
  <r>
    <s v="STU_1142"/>
    <x v="0"/>
    <x v="1"/>
    <s v="N/A"/>
    <n v="0"/>
  </r>
  <r>
    <s v="STU_1143"/>
    <x v="0"/>
    <x v="1"/>
    <s v="N/A"/>
    <n v="0"/>
  </r>
  <r>
    <s v="STU_1144"/>
    <x v="0"/>
    <x v="1"/>
    <s v="N/A"/>
    <n v="0"/>
  </r>
  <r>
    <s v="STU_1145"/>
    <x v="0"/>
    <x v="0"/>
    <s v="Accenture"/>
    <n v="9.81"/>
  </r>
  <r>
    <s v="STU_1146"/>
    <x v="0"/>
    <x v="0"/>
    <s v="TCS"/>
    <n v="6.86"/>
  </r>
  <r>
    <s v="STU_1147"/>
    <x v="2"/>
    <x v="0"/>
    <s v="Infosys"/>
    <n v="4.05"/>
  </r>
  <r>
    <s v="STU_1148"/>
    <x v="3"/>
    <x v="0"/>
    <s v="Cognizant"/>
    <n v="6.66"/>
  </r>
  <r>
    <s v="STU_1149"/>
    <x v="0"/>
    <x v="0"/>
    <s v="Capgemini"/>
    <n v="6.54"/>
  </r>
  <r>
    <s v="STU_1150"/>
    <x v="4"/>
    <x v="0"/>
    <s v="Infosys"/>
    <n v="4.42"/>
  </r>
  <r>
    <s v="STU_1151"/>
    <x v="4"/>
    <x v="1"/>
    <s v="N/A"/>
    <n v="0"/>
  </r>
  <r>
    <s v="STU_1152"/>
    <x v="4"/>
    <x v="1"/>
    <s v="N/A"/>
    <n v="0"/>
  </r>
  <r>
    <s v="STU_1153"/>
    <x v="4"/>
    <x v="0"/>
    <s v="Wipro"/>
    <n v="6.01"/>
  </r>
  <r>
    <s v="STU_1154"/>
    <x v="2"/>
    <x v="0"/>
    <s v="TCS"/>
    <n v="6.77"/>
  </r>
  <r>
    <s v="STU_1155"/>
    <x v="4"/>
    <x v="0"/>
    <s v="Cognizant"/>
    <n v="5.0599999999999996"/>
  </r>
  <r>
    <s v="STU_1156"/>
    <x v="0"/>
    <x v="0"/>
    <s v="TCS"/>
    <n v="3.65"/>
  </r>
  <r>
    <s v="STU_1157"/>
    <x v="1"/>
    <x v="0"/>
    <s v="Capgemini"/>
    <n v="4.3"/>
  </r>
  <r>
    <s v="STU_1158"/>
    <x v="4"/>
    <x v="0"/>
    <s v="Wipro"/>
    <n v="4.18"/>
  </r>
  <r>
    <s v="STU_1159"/>
    <x v="2"/>
    <x v="1"/>
    <s v="N/A"/>
    <n v="0"/>
  </r>
  <r>
    <s v="STU_1160"/>
    <x v="2"/>
    <x v="0"/>
    <s v="TCS"/>
    <n v="4.99"/>
  </r>
  <r>
    <s v="STU_1161"/>
    <x v="4"/>
    <x v="0"/>
    <s v="Cognizant"/>
    <n v="6.57"/>
  </r>
  <r>
    <s v="STU_1162"/>
    <x v="1"/>
    <x v="0"/>
    <s v="Infosys"/>
    <n v="6.34"/>
  </r>
  <r>
    <s v="STU_1163"/>
    <x v="4"/>
    <x v="0"/>
    <s v="TCS"/>
    <n v="5.32"/>
  </r>
  <r>
    <s v="STU_1164"/>
    <x v="2"/>
    <x v="0"/>
    <s v="TCS"/>
    <n v="4.72"/>
  </r>
  <r>
    <s v="STU_1165"/>
    <x v="3"/>
    <x v="0"/>
    <s v="Accenture"/>
    <n v="9.6999999999999993"/>
  </r>
  <r>
    <s v="STU_1166"/>
    <x v="0"/>
    <x v="0"/>
    <s v="Capgemini"/>
    <n v="3.91"/>
  </r>
  <r>
    <s v="STU_1167"/>
    <x v="2"/>
    <x v="0"/>
    <s v="TCS"/>
    <n v="4.71"/>
  </r>
  <r>
    <s v="STU_1168"/>
    <x v="4"/>
    <x v="0"/>
    <s v="Infosys"/>
    <n v="3.87"/>
  </r>
  <r>
    <s v="STU_1169"/>
    <x v="0"/>
    <x v="1"/>
    <s v="N/A"/>
    <n v="0"/>
  </r>
  <r>
    <s v="STU_1170"/>
    <x v="4"/>
    <x v="0"/>
    <s v="Infosys"/>
    <n v="4.9800000000000004"/>
  </r>
  <r>
    <s v="STU_1171"/>
    <x v="4"/>
    <x v="1"/>
    <s v="N/A"/>
    <n v="0"/>
  </r>
  <r>
    <s v="STU_1172"/>
    <x v="3"/>
    <x v="0"/>
    <s v="Accenture"/>
    <n v="13.68"/>
  </r>
  <r>
    <s v="STU_1173"/>
    <x v="0"/>
    <x v="0"/>
    <s v="Cognizant"/>
    <n v="5.03"/>
  </r>
  <r>
    <s v="STU_1174"/>
    <x v="0"/>
    <x v="0"/>
    <s v="Wipro"/>
    <n v="4.42"/>
  </r>
  <r>
    <s v="STU_1175"/>
    <x v="3"/>
    <x v="0"/>
    <s v="TCS"/>
    <n v="4.9000000000000004"/>
  </r>
  <r>
    <s v="STU_1176"/>
    <x v="2"/>
    <x v="0"/>
    <s v="Deloitte"/>
    <n v="12.35"/>
  </r>
  <r>
    <s v="STU_1177"/>
    <x v="4"/>
    <x v="1"/>
    <s v="N/A"/>
    <n v="0"/>
  </r>
  <r>
    <s v="STU_1178"/>
    <x v="1"/>
    <x v="0"/>
    <s v="TCS"/>
    <n v="5.65"/>
  </r>
  <r>
    <s v="STU_1179"/>
    <x v="4"/>
    <x v="0"/>
    <s v="Cognizant"/>
    <n v="4.37"/>
  </r>
  <r>
    <s v="STU_1180"/>
    <x v="4"/>
    <x v="0"/>
    <s v="Infosys"/>
    <n v="4.7300000000000004"/>
  </r>
  <r>
    <s v="STU_1181"/>
    <x v="2"/>
    <x v="0"/>
    <s v="TCS"/>
    <n v="3.77"/>
  </r>
  <r>
    <s v="STU_1182"/>
    <x v="4"/>
    <x v="0"/>
    <s v="Cognizant"/>
    <n v="4.46"/>
  </r>
  <r>
    <s v="STU_1183"/>
    <x v="3"/>
    <x v="1"/>
    <s v="N/A"/>
    <n v="0"/>
  </r>
  <r>
    <s v="STU_1184"/>
    <x v="3"/>
    <x v="0"/>
    <s v="Infosys"/>
    <n v="3.9"/>
  </r>
  <r>
    <s v="STU_1185"/>
    <x v="0"/>
    <x v="1"/>
    <s v="N/A"/>
    <n v="0"/>
  </r>
  <r>
    <s v="STU_1186"/>
    <x v="1"/>
    <x v="0"/>
    <s v="TCS"/>
    <n v="3.69"/>
  </r>
  <r>
    <s v="STU_1187"/>
    <x v="4"/>
    <x v="1"/>
    <s v="N/A"/>
    <n v="0"/>
  </r>
  <r>
    <s v="STU_1188"/>
    <x v="4"/>
    <x v="0"/>
    <s v="Capgemini"/>
    <n v="5.2"/>
  </r>
  <r>
    <s v="STU_1189"/>
    <x v="2"/>
    <x v="0"/>
    <s v="TCS"/>
    <n v="5.77"/>
  </r>
  <r>
    <s v="STU_1190"/>
    <x v="3"/>
    <x v="1"/>
    <s v="N/A"/>
    <n v="0"/>
  </r>
  <r>
    <s v="STU_1191"/>
    <x v="1"/>
    <x v="0"/>
    <s v="Wipro"/>
    <n v="4.5"/>
  </r>
  <r>
    <s v="STU_1192"/>
    <x v="0"/>
    <x v="1"/>
    <s v="N/A"/>
    <n v="0"/>
  </r>
  <r>
    <s v="STU_1193"/>
    <x v="3"/>
    <x v="0"/>
    <s v="Wipro"/>
    <n v="5.19"/>
  </r>
  <r>
    <s v="STU_1194"/>
    <x v="0"/>
    <x v="0"/>
    <s v="Infosys"/>
    <n v="4.88"/>
  </r>
  <r>
    <s v="STU_1195"/>
    <x v="2"/>
    <x v="0"/>
    <s v="TCS"/>
    <n v="4.76"/>
  </r>
  <r>
    <s v="STU_1196"/>
    <x v="2"/>
    <x v="1"/>
    <s v="N/A"/>
    <n v="0"/>
  </r>
  <r>
    <s v="STU_1197"/>
    <x v="4"/>
    <x v="1"/>
    <s v="N/A"/>
    <n v="0"/>
  </r>
  <r>
    <s v="STU_1198"/>
    <x v="1"/>
    <x v="0"/>
    <s v="Amazon"/>
    <n v="34.450000000000003"/>
  </r>
  <r>
    <s v="STU_1199"/>
    <x v="0"/>
    <x v="0"/>
    <s v="Infosys"/>
    <n v="6.34"/>
  </r>
  <r>
    <s v="STU_1200"/>
    <x v="3"/>
    <x v="0"/>
    <s v="Accenture"/>
    <n v="14.65"/>
  </r>
  <r>
    <s v="STU_1201"/>
    <x v="2"/>
    <x v="0"/>
    <s v="Infosys"/>
    <n v="3.78"/>
  </r>
  <r>
    <s v="STU_1202"/>
    <x v="4"/>
    <x v="0"/>
    <s v="TCS"/>
    <n v="5.78"/>
  </r>
  <r>
    <s v="STU_1203"/>
    <x v="4"/>
    <x v="1"/>
    <s v="N/A"/>
    <n v="0"/>
  </r>
  <r>
    <s v="STU_1204"/>
    <x v="0"/>
    <x v="1"/>
    <s v="N/A"/>
    <n v="0"/>
  </r>
  <r>
    <s v="STU_1205"/>
    <x v="2"/>
    <x v="0"/>
    <s v="Accenture"/>
    <n v="10.66"/>
  </r>
  <r>
    <s v="STU_1206"/>
    <x v="1"/>
    <x v="0"/>
    <s v="Wipro"/>
    <n v="5.76"/>
  </r>
  <r>
    <s v="STU_1207"/>
    <x v="2"/>
    <x v="0"/>
    <s v="Capgemini"/>
    <n v="5.32"/>
  </r>
  <r>
    <s v="STU_1208"/>
    <x v="0"/>
    <x v="1"/>
    <s v="N/A"/>
    <n v="0"/>
  </r>
  <r>
    <s v="STU_1209"/>
    <x v="0"/>
    <x v="0"/>
    <s v="Wipro"/>
    <n v="5.27"/>
  </r>
  <r>
    <s v="STU_1210"/>
    <x v="2"/>
    <x v="0"/>
    <s v="Infosys"/>
    <n v="6.98"/>
  </r>
  <r>
    <s v="STU_1211"/>
    <x v="0"/>
    <x v="1"/>
    <s v="N/A"/>
    <n v="0"/>
  </r>
  <r>
    <s v="STU_1212"/>
    <x v="2"/>
    <x v="0"/>
    <s v="Infosys"/>
    <n v="5.14"/>
  </r>
  <r>
    <s v="STU_1213"/>
    <x v="3"/>
    <x v="0"/>
    <s v="Capgemini"/>
    <n v="5.1100000000000003"/>
  </r>
  <r>
    <s v="STU_1214"/>
    <x v="2"/>
    <x v="0"/>
    <s v="TCS"/>
    <n v="4.3499999999999996"/>
  </r>
  <r>
    <s v="STU_1215"/>
    <x v="2"/>
    <x v="0"/>
    <s v="Infosys"/>
    <n v="4.0199999999999996"/>
  </r>
  <r>
    <s v="STU_1216"/>
    <x v="0"/>
    <x v="1"/>
    <s v="N/A"/>
    <n v="0"/>
  </r>
  <r>
    <s v="STU_1217"/>
    <x v="0"/>
    <x v="0"/>
    <s v="Deloitte"/>
    <n v="11.38"/>
  </r>
  <r>
    <s v="STU_1218"/>
    <x v="4"/>
    <x v="0"/>
    <s v="Infosys"/>
    <n v="4.2"/>
  </r>
  <r>
    <s v="STU_1219"/>
    <x v="4"/>
    <x v="0"/>
    <s v="Infosys"/>
    <n v="6.93"/>
  </r>
  <r>
    <s v="STU_1220"/>
    <x v="3"/>
    <x v="0"/>
    <s v="Wipro"/>
    <n v="6.07"/>
  </r>
  <r>
    <s v="STU_1221"/>
    <x v="4"/>
    <x v="0"/>
    <s v="Infosys"/>
    <n v="5.33"/>
  </r>
  <r>
    <s v="STU_1222"/>
    <x v="2"/>
    <x v="1"/>
    <s v="N/A"/>
    <n v="0"/>
  </r>
  <r>
    <s v="STU_1223"/>
    <x v="0"/>
    <x v="1"/>
    <s v="N/A"/>
    <n v="0"/>
  </r>
  <r>
    <s v="STU_1224"/>
    <x v="4"/>
    <x v="0"/>
    <s v="Accenture"/>
    <n v="13.25"/>
  </r>
  <r>
    <s v="STU_1225"/>
    <x v="4"/>
    <x v="0"/>
    <s v="Capgemini"/>
    <n v="6.59"/>
  </r>
  <r>
    <s v="STU_1226"/>
    <x v="3"/>
    <x v="0"/>
    <s v="TCS"/>
    <n v="4.8899999999999997"/>
  </r>
  <r>
    <s v="STU_1227"/>
    <x v="3"/>
    <x v="0"/>
    <s v="Cognizant"/>
    <n v="4.32"/>
  </r>
  <r>
    <s v="STU_1228"/>
    <x v="2"/>
    <x v="0"/>
    <s v="Wipro"/>
    <n v="3.87"/>
  </r>
  <r>
    <s v="STU_1229"/>
    <x v="0"/>
    <x v="0"/>
    <s v="Infosys"/>
    <n v="6.92"/>
  </r>
  <r>
    <s v="STU_1230"/>
    <x v="3"/>
    <x v="0"/>
    <s v="Infosys"/>
    <n v="5.94"/>
  </r>
  <r>
    <s v="STU_1231"/>
    <x v="4"/>
    <x v="0"/>
    <s v="TCS"/>
    <n v="4.71"/>
  </r>
  <r>
    <s v="STU_1232"/>
    <x v="0"/>
    <x v="0"/>
    <s v="Wipro"/>
    <n v="6.03"/>
  </r>
  <r>
    <s v="STU_1233"/>
    <x v="0"/>
    <x v="1"/>
    <s v="N/A"/>
    <n v="0"/>
  </r>
  <r>
    <s v="STU_1234"/>
    <x v="4"/>
    <x v="0"/>
    <s v="Infosys"/>
    <n v="4.17"/>
  </r>
  <r>
    <s v="STU_1235"/>
    <x v="3"/>
    <x v="1"/>
    <s v="N/A"/>
    <n v="0"/>
  </r>
  <r>
    <s v="STU_1236"/>
    <x v="4"/>
    <x v="0"/>
    <s v="Infosys"/>
    <n v="6.01"/>
  </r>
  <r>
    <s v="STU_1237"/>
    <x v="0"/>
    <x v="1"/>
    <s v="N/A"/>
    <n v="0"/>
  </r>
  <r>
    <s v="STU_1238"/>
    <x v="1"/>
    <x v="0"/>
    <s v="Infosys"/>
    <n v="3.89"/>
  </r>
  <r>
    <s v="STU_1239"/>
    <x v="1"/>
    <x v="0"/>
    <s v="TCS"/>
    <n v="5.75"/>
  </r>
  <r>
    <s v="STU_1240"/>
    <x v="2"/>
    <x v="0"/>
    <s v="Accenture"/>
    <n v="10.6"/>
  </r>
  <r>
    <s v="STU_1241"/>
    <x v="4"/>
    <x v="0"/>
    <s v="Infosys"/>
    <n v="3.99"/>
  </r>
  <r>
    <s v="STU_1242"/>
    <x v="4"/>
    <x v="0"/>
    <s v="Infosys"/>
    <n v="5.99"/>
  </r>
  <r>
    <s v="STU_1243"/>
    <x v="2"/>
    <x v="0"/>
    <s v="Accenture"/>
    <n v="12.87"/>
  </r>
  <r>
    <s v="STU_1244"/>
    <x v="2"/>
    <x v="0"/>
    <s v="TCS"/>
    <n v="5.92"/>
  </r>
  <r>
    <s v="STU_1245"/>
    <x v="2"/>
    <x v="0"/>
    <s v="Infosys"/>
    <n v="4.4000000000000004"/>
  </r>
  <r>
    <s v="STU_1246"/>
    <x v="0"/>
    <x v="1"/>
    <s v="N/A"/>
    <n v="0"/>
  </r>
  <r>
    <s v="STU_1247"/>
    <x v="4"/>
    <x v="1"/>
    <s v="N/A"/>
    <n v="0"/>
  </r>
  <r>
    <s v="STU_1248"/>
    <x v="0"/>
    <x v="0"/>
    <s v="Infosys"/>
    <n v="3.61"/>
  </r>
  <r>
    <s v="STU_1249"/>
    <x v="2"/>
    <x v="0"/>
    <s v="Infosys"/>
    <n v="5.49"/>
  </r>
  <r>
    <s v="STU_1250"/>
    <x v="4"/>
    <x v="0"/>
    <s v="Accenture"/>
    <n v="8.4700000000000006"/>
  </r>
  <r>
    <s v="STU_1251"/>
    <x v="0"/>
    <x v="0"/>
    <s v="TCS"/>
    <n v="5.04"/>
  </r>
  <r>
    <s v="STU_1252"/>
    <x v="0"/>
    <x v="1"/>
    <s v="N/A"/>
    <n v="0"/>
  </r>
  <r>
    <s v="STU_1253"/>
    <x v="2"/>
    <x v="0"/>
    <s v="Wipro"/>
    <n v="5.55"/>
  </r>
  <r>
    <s v="STU_1254"/>
    <x v="4"/>
    <x v="0"/>
    <s v="Accenture"/>
    <n v="10.15"/>
  </r>
  <r>
    <s v="STU_1255"/>
    <x v="2"/>
    <x v="0"/>
    <s v="Capgemini"/>
    <n v="5.17"/>
  </r>
  <r>
    <s v="STU_1256"/>
    <x v="4"/>
    <x v="1"/>
    <s v="N/A"/>
    <n v="0"/>
  </r>
  <r>
    <s v="STU_1257"/>
    <x v="1"/>
    <x v="0"/>
    <s v="TCS"/>
    <n v="4.2"/>
  </r>
  <r>
    <s v="STU_1258"/>
    <x v="3"/>
    <x v="0"/>
    <s v="Wipro"/>
    <n v="4.6399999999999997"/>
  </r>
  <r>
    <s v="STU_1259"/>
    <x v="3"/>
    <x v="0"/>
    <s v="Wipro"/>
    <n v="4.12"/>
  </r>
  <r>
    <s v="STU_1260"/>
    <x v="3"/>
    <x v="0"/>
    <s v="Accenture"/>
    <n v="8.69"/>
  </r>
  <r>
    <s v="STU_1261"/>
    <x v="2"/>
    <x v="0"/>
    <s v="Wipro"/>
    <n v="5.88"/>
  </r>
  <r>
    <s v="STU_1262"/>
    <x v="1"/>
    <x v="0"/>
    <s v="Infosys"/>
    <n v="5.98"/>
  </r>
  <r>
    <s v="STU_1263"/>
    <x v="4"/>
    <x v="0"/>
    <s v="Infosys"/>
    <n v="4.72"/>
  </r>
  <r>
    <s v="STU_1264"/>
    <x v="0"/>
    <x v="1"/>
    <s v="N/A"/>
    <n v="0"/>
  </r>
  <r>
    <s v="STU_1265"/>
    <x v="4"/>
    <x v="0"/>
    <s v="Infosys"/>
    <n v="6.96"/>
  </r>
  <r>
    <s v="STU_1266"/>
    <x v="0"/>
    <x v="0"/>
    <s v="Infosys"/>
    <n v="6.18"/>
  </r>
  <r>
    <s v="STU_1267"/>
    <x v="4"/>
    <x v="1"/>
    <s v="N/A"/>
    <n v="0"/>
  </r>
  <r>
    <s v="STU_1268"/>
    <x v="1"/>
    <x v="1"/>
    <s v="N/A"/>
    <n v="0"/>
  </r>
  <r>
    <s v="STU_1269"/>
    <x v="0"/>
    <x v="0"/>
    <s v="TCS"/>
    <n v="5.27"/>
  </r>
  <r>
    <s v="STU_1270"/>
    <x v="2"/>
    <x v="1"/>
    <s v="N/A"/>
    <n v="0"/>
  </r>
  <r>
    <s v="STU_1271"/>
    <x v="4"/>
    <x v="0"/>
    <s v="Accenture"/>
    <n v="14.61"/>
  </r>
  <r>
    <s v="STU_1272"/>
    <x v="4"/>
    <x v="1"/>
    <s v="N/A"/>
    <n v="0"/>
  </r>
  <r>
    <s v="STU_1273"/>
    <x v="0"/>
    <x v="0"/>
    <s v="TCS"/>
    <n v="6.86"/>
  </r>
  <r>
    <s v="STU_1274"/>
    <x v="2"/>
    <x v="0"/>
    <s v="Wipro"/>
    <n v="5.19"/>
  </r>
  <r>
    <s v="STU_1275"/>
    <x v="2"/>
    <x v="0"/>
    <s v="Cognizant"/>
    <n v="4.12"/>
  </r>
  <r>
    <s v="STU_1276"/>
    <x v="1"/>
    <x v="1"/>
    <s v="N/A"/>
    <n v="0"/>
  </r>
  <r>
    <s v="STU_1277"/>
    <x v="2"/>
    <x v="0"/>
    <s v="Capgemini"/>
    <n v="4.24"/>
  </r>
  <r>
    <s v="STU_1278"/>
    <x v="2"/>
    <x v="0"/>
    <s v="Wipro"/>
    <n v="3.56"/>
  </r>
  <r>
    <s v="STU_1279"/>
    <x v="2"/>
    <x v="0"/>
    <s v="TCS"/>
    <n v="4.3499999999999996"/>
  </r>
  <r>
    <s v="STU_1280"/>
    <x v="3"/>
    <x v="0"/>
    <s v="Accenture"/>
    <n v="14.77"/>
  </r>
  <r>
    <s v="STU_1281"/>
    <x v="1"/>
    <x v="1"/>
    <s v="N/A"/>
    <n v="0"/>
  </r>
  <r>
    <s v="STU_1282"/>
    <x v="4"/>
    <x v="0"/>
    <s v="TCS"/>
    <n v="5.65"/>
  </r>
  <r>
    <s v="STU_1283"/>
    <x v="0"/>
    <x v="0"/>
    <s v="Infosys"/>
    <n v="5.34"/>
  </r>
  <r>
    <s v="STU_1284"/>
    <x v="4"/>
    <x v="0"/>
    <s v="Capgemini"/>
    <n v="6.38"/>
  </r>
  <r>
    <s v="STU_1285"/>
    <x v="1"/>
    <x v="0"/>
    <s v="Cognizant"/>
    <n v="3.67"/>
  </r>
  <r>
    <s v="STU_1286"/>
    <x v="0"/>
    <x v="0"/>
    <s v="Accenture"/>
    <n v="9.75"/>
  </r>
  <r>
    <s v="STU_1287"/>
    <x v="1"/>
    <x v="1"/>
    <s v="N/A"/>
    <n v="0"/>
  </r>
  <r>
    <s v="STU_1288"/>
    <x v="2"/>
    <x v="0"/>
    <s v="Wipro"/>
    <n v="5.94"/>
  </r>
  <r>
    <s v="STU_1289"/>
    <x v="0"/>
    <x v="0"/>
    <s v="TCS"/>
    <n v="4.92"/>
  </r>
  <r>
    <s v="STU_1290"/>
    <x v="2"/>
    <x v="0"/>
    <s v="Wipro"/>
    <n v="5.64"/>
  </r>
  <r>
    <s v="STU_1291"/>
    <x v="4"/>
    <x v="0"/>
    <s v="Infosys"/>
    <n v="4.01"/>
  </r>
  <r>
    <s v="STU_1292"/>
    <x v="4"/>
    <x v="0"/>
    <s v="TCS"/>
    <n v="3.53"/>
  </r>
  <r>
    <s v="STU_1293"/>
    <x v="0"/>
    <x v="0"/>
    <s v="Deloitte"/>
    <n v="11.75"/>
  </r>
  <r>
    <s v="STU_1294"/>
    <x v="0"/>
    <x v="0"/>
    <s v="TCS"/>
    <n v="4.28"/>
  </r>
  <r>
    <s v="STU_1295"/>
    <x v="1"/>
    <x v="1"/>
    <s v="N/A"/>
    <n v="0"/>
  </r>
  <r>
    <s v="STU_1296"/>
    <x v="1"/>
    <x v="0"/>
    <s v="TCS"/>
    <n v="6.84"/>
  </r>
  <r>
    <s v="STU_1297"/>
    <x v="2"/>
    <x v="0"/>
    <s v="TCS"/>
    <n v="3.64"/>
  </r>
  <r>
    <s v="STU_1298"/>
    <x v="0"/>
    <x v="0"/>
    <s v="Cognizant"/>
    <n v="3.87"/>
  </r>
  <r>
    <s v="STU_1299"/>
    <x v="4"/>
    <x v="1"/>
    <s v="N/A"/>
    <n v="0"/>
  </r>
  <r>
    <s v="STU_1300"/>
    <x v="1"/>
    <x v="0"/>
    <s v="Wipro"/>
    <n v="5.77"/>
  </r>
  <r>
    <s v="STU_1301"/>
    <x v="1"/>
    <x v="0"/>
    <s v="Cognizant"/>
    <n v="3.9"/>
  </r>
  <r>
    <s v="STU_1302"/>
    <x v="4"/>
    <x v="1"/>
    <s v="N/A"/>
    <n v="0"/>
  </r>
  <r>
    <s v="STU_1303"/>
    <x v="1"/>
    <x v="0"/>
    <s v="Infosys"/>
    <n v="3.92"/>
  </r>
  <r>
    <s v="STU_1304"/>
    <x v="2"/>
    <x v="1"/>
    <s v="N/A"/>
    <n v="0"/>
  </r>
  <r>
    <s v="STU_1305"/>
    <x v="0"/>
    <x v="0"/>
    <s v="Wipro"/>
    <n v="6.07"/>
  </r>
  <r>
    <s v="STU_1306"/>
    <x v="4"/>
    <x v="0"/>
    <s v="Accenture"/>
    <n v="13.62"/>
  </r>
  <r>
    <s v="STU_1307"/>
    <x v="0"/>
    <x v="1"/>
    <s v="N/A"/>
    <n v="0"/>
  </r>
  <r>
    <s v="STU_1308"/>
    <x v="1"/>
    <x v="0"/>
    <s v="TCS"/>
    <n v="5.43"/>
  </r>
  <r>
    <s v="STU_1309"/>
    <x v="1"/>
    <x v="0"/>
    <s v="TCS"/>
    <n v="5.03"/>
  </r>
  <r>
    <s v="STU_1310"/>
    <x v="4"/>
    <x v="1"/>
    <s v="N/A"/>
    <n v="0"/>
  </r>
  <r>
    <s v="STU_1311"/>
    <x v="2"/>
    <x v="0"/>
    <s v="Deloitte"/>
    <n v="8.85"/>
  </r>
  <r>
    <s v="STU_1312"/>
    <x v="3"/>
    <x v="0"/>
    <s v="Accenture"/>
    <n v="10.66"/>
  </r>
  <r>
    <s v="STU_1313"/>
    <x v="4"/>
    <x v="0"/>
    <s v="TCS"/>
    <n v="6.85"/>
  </r>
  <r>
    <s v="STU_1314"/>
    <x v="3"/>
    <x v="0"/>
    <s v="Accenture"/>
    <n v="10.42"/>
  </r>
  <r>
    <s v="STU_1315"/>
    <x v="3"/>
    <x v="1"/>
    <s v="N/A"/>
    <n v="0"/>
  </r>
  <r>
    <s v="STU_1316"/>
    <x v="2"/>
    <x v="0"/>
    <s v="Infosys"/>
    <n v="5.67"/>
  </r>
  <r>
    <s v="STU_1317"/>
    <x v="3"/>
    <x v="1"/>
    <s v="N/A"/>
    <n v="0"/>
  </r>
  <r>
    <s v="STU_1318"/>
    <x v="3"/>
    <x v="0"/>
    <s v="Cognizant"/>
    <n v="3.59"/>
  </r>
  <r>
    <s v="STU_1319"/>
    <x v="2"/>
    <x v="0"/>
    <s v="Capgemini"/>
    <n v="6.56"/>
  </r>
  <r>
    <s v="STU_1320"/>
    <x v="3"/>
    <x v="1"/>
    <s v="N/A"/>
    <n v="0"/>
  </r>
  <r>
    <s v="STU_1321"/>
    <x v="3"/>
    <x v="0"/>
    <s v="TCS"/>
    <n v="5.18"/>
  </r>
  <r>
    <s v="STU_1322"/>
    <x v="3"/>
    <x v="0"/>
    <s v="Cognizant"/>
    <n v="6.96"/>
  </r>
  <r>
    <s v="STU_1323"/>
    <x v="4"/>
    <x v="0"/>
    <s v="Infosys"/>
    <n v="6.94"/>
  </r>
  <r>
    <s v="STU_1324"/>
    <x v="4"/>
    <x v="0"/>
    <s v="Capgemini"/>
    <n v="3.83"/>
  </r>
  <r>
    <s v="STU_1325"/>
    <x v="4"/>
    <x v="0"/>
    <s v="Infosys"/>
    <n v="3.52"/>
  </r>
  <r>
    <s v="STU_1326"/>
    <x v="2"/>
    <x v="0"/>
    <s v="Wipro"/>
    <n v="3.51"/>
  </r>
  <r>
    <s v="STU_1327"/>
    <x v="1"/>
    <x v="1"/>
    <s v="N/A"/>
    <n v="0"/>
  </r>
  <r>
    <s v="STU_1328"/>
    <x v="3"/>
    <x v="0"/>
    <s v="Infosys"/>
    <n v="6.72"/>
  </r>
  <r>
    <s v="STU_1329"/>
    <x v="3"/>
    <x v="1"/>
    <s v="N/A"/>
    <n v="0"/>
  </r>
  <r>
    <s v="STU_1330"/>
    <x v="2"/>
    <x v="1"/>
    <s v="N/A"/>
    <n v="0"/>
  </r>
  <r>
    <s v="STU_1331"/>
    <x v="3"/>
    <x v="0"/>
    <s v="Wipro"/>
    <n v="5.43"/>
  </r>
  <r>
    <s v="STU_1332"/>
    <x v="4"/>
    <x v="0"/>
    <s v="Infosys"/>
    <n v="4.03"/>
  </r>
  <r>
    <s v="STU_1333"/>
    <x v="1"/>
    <x v="0"/>
    <s v="TCS"/>
    <n v="6.24"/>
  </r>
  <r>
    <s v="STU_1334"/>
    <x v="0"/>
    <x v="0"/>
    <s v="Wipro"/>
    <n v="4.1900000000000004"/>
  </r>
  <r>
    <s v="STU_1335"/>
    <x v="3"/>
    <x v="0"/>
    <s v="Cognizant"/>
    <n v="4.1900000000000004"/>
  </r>
  <r>
    <s v="STU_1336"/>
    <x v="4"/>
    <x v="1"/>
    <s v="N/A"/>
    <n v="0"/>
  </r>
  <r>
    <s v="STU_1337"/>
    <x v="0"/>
    <x v="0"/>
    <s v="Infosys"/>
    <n v="4.24"/>
  </r>
  <r>
    <s v="STU_1338"/>
    <x v="1"/>
    <x v="0"/>
    <s v="Wipro"/>
    <n v="5.77"/>
  </r>
  <r>
    <s v="STU_1339"/>
    <x v="0"/>
    <x v="0"/>
    <s v="Infosys"/>
    <n v="6.91"/>
  </r>
  <r>
    <s v="STU_1340"/>
    <x v="4"/>
    <x v="1"/>
    <s v="N/A"/>
    <n v="0"/>
  </r>
  <r>
    <s v="STU_1341"/>
    <x v="0"/>
    <x v="0"/>
    <s v="Infosys"/>
    <n v="4.8600000000000003"/>
  </r>
  <r>
    <s v="STU_1342"/>
    <x v="2"/>
    <x v="0"/>
    <s v="Infosys"/>
    <n v="5.78"/>
  </r>
  <r>
    <s v="STU_1343"/>
    <x v="0"/>
    <x v="1"/>
    <s v="N/A"/>
    <n v="0"/>
  </r>
  <r>
    <s v="STU_1344"/>
    <x v="3"/>
    <x v="0"/>
    <s v="Capgemini"/>
    <n v="6.95"/>
  </r>
  <r>
    <s v="STU_1345"/>
    <x v="3"/>
    <x v="1"/>
    <s v="N/A"/>
    <n v="0"/>
  </r>
  <r>
    <s v="STU_1346"/>
    <x v="2"/>
    <x v="0"/>
    <s v="Infosys"/>
    <n v="5.25"/>
  </r>
  <r>
    <s v="STU_1347"/>
    <x v="4"/>
    <x v="0"/>
    <s v="TCS"/>
    <n v="6.59"/>
  </r>
  <r>
    <s v="STU_1348"/>
    <x v="3"/>
    <x v="0"/>
    <s v="Infosys"/>
    <n v="5.03"/>
  </r>
  <r>
    <s v="STU_1349"/>
    <x v="1"/>
    <x v="1"/>
    <s v="N/A"/>
    <n v="0"/>
  </r>
  <r>
    <s v="STU_1350"/>
    <x v="3"/>
    <x v="0"/>
    <s v="Accenture"/>
    <n v="8.4"/>
  </r>
  <r>
    <s v="STU_1351"/>
    <x v="3"/>
    <x v="0"/>
    <s v="Wipro"/>
    <n v="6.51"/>
  </r>
  <r>
    <s v="STU_1352"/>
    <x v="4"/>
    <x v="0"/>
    <s v="TCS"/>
    <n v="6.86"/>
  </r>
  <r>
    <s v="STU_1353"/>
    <x v="0"/>
    <x v="0"/>
    <s v="Wipro"/>
    <n v="5.92"/>
  </r>
  <r>
    <s v="STU_1354"/>
    <x v="3"/>
    <x v="1"/>
    <s v="N/A"/>
    <n v="0"/>
  </r>
  <r>
    <s v="STU_1355"/>
    <x v="2"/>
    <x v="0"/>
    <s v="Wipro"/>
    <n v="3.95"/>
  </r>
  <r>
    <s v="STU_1356"/>
    <x v="0"/>
    <x v="0"/>
    <s v="Cognizant"/>
    <n v="4.3"/>
  </r>
  <r>
    <s v="STU_1357"/>
    <x v="1"/>
    <x v="0"/>
    <s v="Infosys"/>
    <n v="6.01"/>
  </r>
  <r>
    <s v="STU_1358"/>
    <x v="4"/>
    <x v="0"/>
    <s v="Infosys"/>
    <n v="5.64"/>
  </r>
  <r>
    <s v="STU_1359"/>
    <x v="1"/>
    <x v="1"/>
    <s v="N/A"/>
    <n v="0"/>
  </r>
  <r>
    <s v="STU_1360"/>
    <x v="0"/>
    <x v="1"/>
    <s v="N/A"/>
    <n v="0"/>
  </r>
  <r>
    <s v="STU_1361"/>
    <x v="0"/>
    <x v="0"/>
    <s v="TCS"/>
    <n v="5.65"/>
  </r>
  <r>
    <s v="STU_1362"/>
    <x v="0"/>
    <x v="0"/>
    <s v="Capgemini"/>
    <n v="4.3"/>
  </r>
  <r>
    <s v="STU_1363"/>
    <x v="1"/>
    <x v="0"/>
    <s v="Infosys"/>
    <n v="3.87"/>
  </r>
  <r>
    <s v="STU_1364"/>
    <x v="0"/>
    <x v="0"/>
    <s v="Wipro"/>
    <n v="6.66"/>
  </r>
  <r>
    <s v="STU_1365"/>
    <x v="1"/>
    <x v="0"/>
    <s v="TCS"/>
    <n v="6.85"/>
  </r>
  <r>
    <s v="STU_1366"/>
    <x v="0"/>
    <x v="0"/>
    <s v="TCS"/>
    <n v="5.37"/>
  </r>
  <r>
    <s v="STU_1367"/>
    <x v="2"/>
    <x v="0"/>
    <s v="Infosys"/>
    <n v="4.6900000000000004"/>
  </r>
  <r>
    <s v="STU_1368"/>
    <x v="0"/>
    <x v="1"/>
    <s v="N/A"/>
    <n v="0"/>
  </r>
  <r>
    <s v="STU_1369"/>
    <x v="1"/>
    <x v="0"/>
    <s v="TCS"/>
    <n v="5.32"/>
  </r>
  <r>
    <s v="STU_1370"/>
    <x v="3"/>
    <x v="1"/>
    <s v="N/A"/>
    <n v="0"/>
  </r>
  <r>
    <s v="STU_1371"/>
    <x v="0"/>
    <x v="1"/>
    <s v="N/A"/>
    <n v="0"/>
  </r>
  <r>
    <s v="STU_1372"/>
    <x v="3"/>
    <x v="0"/>
    <s v="Infosys"/>
    <n v="3.71"/>
  </r>
  <r>
    <s v="STU_1373"/>
    <x v="2"/>
    <x v="0"/>
    <s v="Infosys"/>
    <n v="3.87"/>
  </r>
  <r>
    <s v="STU_1374"/>
    <x v="4"/>
    <x v="0"/>
    <s v="TCS"/>
    <n v="5.74"/>
  </r>
  <r>
    <s v="STU_1375"/>
    <x v="2"/>
    <x v="1"/>
    <s v="N/A"/>
    <n v="0"/>
  </r>
  <r>
    <s v="STU_1376"/>
    <x v="0"/>
    <x v="1"/>
    <s v="N/A"/>
    <n v="0"/>
  </r>
  <r>
    <s v="STU_1377"/>
    <x v="3"/>
    <x v="0"/>
    <s v="TCS"/>
    <n v="6.17"/>
  </r>
  <r>
    <s v="STU_1378"/>
    <x v="3"/>
    <x v="0"/>
    <s v="TCS"/>
    <n v="5.85"/>
  </r>
  <r>
    <s v="STU_1379"/>
    <x v="1"/>
    <x v="1"/>
    <s v="N/A"/>
    <n v="0"/>
  </r>
  <r>
    <s v="STU_1380"/>
    <x v="3"/>
    <x v="0"/>
    <s v="TCS"/>
    <n v="3.99"/>
  </r>
  <r>
    <s v="STU_1381"/>
    <x v="1"/>
    <x v="1"/>
    <s v="N/A"/>
    <n v="0"/>
  </r>
  <r>
    <s v="STU_1382"/>
    <x v="4"/>
    <x v="0"/>
    <s v="Capgemini"/>
    <n v="4.1900000000000004"/>
  </r>
  <r>
    <s v="STU_1383"/>
    <x v="0"/>
    <x v="0"/>
    <s v="Wipro"/>
    <n v="6.83"/>
  </r>
  <r>
    <s v="STU_1384"/>
    <x v="1"/>
    <x v="1"/>
    <s v="N/A"/>
    <n v="0"/>
  </r>
  <r>
    <s v="STU_1385"/>
    <x v="4"/>
    <x v="0"/>
    <s v="TCS"/>
    <n v="3.69"/>
  </r>
  <r>
    <s v="STU_1386"/>
    <x v="3"/>
    <x v="0"/>
    <s v="Wipro"/>
    <n v="4.34"/>
  </r>
  <r>
    <s v="STU_1387"/>
    <x v="3"/>
    <x v="0"/>
    <s v="Infosys"/>
    <n v="4.7"/>
  </r>
  <r>
    <s v="STU_1388"/>
    <x v="4"/>
    <x v="0"/>
    <s v="TCS"/>
    <n v="3.58"/>
  </r>
  <r>
    <s v="STU_1389"/>
    <x v="3"/>
    <x v="0"/>
    <s v="Cognizant"/>
    <n v="4.53"/>
  </r>
  <r>
    <s v="STU_1390"/>
    <x v="4"/>
    <x v="1"/>
    <s v="N/A"/>
    <n v="0"/>
  </r>
  <r>
    <s v="STU_1391"/>
    <x v="1"/>
    <x v="0"/>
    <s v="Cognizant"/>
    <n v="3.75"/>
  </r>
  <r>
    <s v="STU_1392"/>
    <x v="1"/>
    <x v="1"/>
    <s v="N/A"/>
    <n v="0"/>
  </r>
  <r>
    <s v="STU_1393"/>
    <x v="4"/>
    <x v="1"/>
    <s v="N/A"/>
    <n v="0"/>
  </r>
  <r>
    <s v="STU_1394"/>
    <x v="1"/>
    <x v="0"/>
    <s v="Deloitte"/>
    <n v="14.65"/>
  </r>
  <r>
    <s v="STU_1395"/>
    <x v="1"/>
    <x v="1"/>
    <s v="N/A"/>
    <n v="0"/>
  </r>
  <r>
    <s v="STU_1396"/>
    <x v="1"/>
    <x v="0"/>
    <s v="Accenture"/>
    <n v="13.6"/>
  </r>
  <r>
    <s v="STU_1397"/>
    <x v="2"/>
    <x v="0"/>
    <s v="Infosys"/>
    <n v="3.64"/>
  </r>
  <r>
    <s v="STU_1398"/>
    <x v="0"/>
    <x v="0"/>
    <s v="TCS"/>
    <n v="4.92"/>
  </r>
  <r>
    <s v="STU_1399"/>
    <x v="3"/>
    <x v="0"/>
    <s v="Infosys"/>
    <n v="5.35"/>
  </r>
  <r>
    <s v="STU_1400"/>
    <x v="2"/>
    <x v="0"/>
    <s v="Deloitte"/>
    <n v="11.39"/>
  </r>
  <r>
    <s v="STU_1401"/>
    <x v="1"/>
    <x v="0"/>
    <s v="Infosys"/>
    <n v="4.42"/>
  </r>
  <r>
    <s v="STU_1402"/>
    <x v="4"/>
    <x v="0"/>
    <s v="Infosys"/>
    <n v="4.8600000000000003"/>
  </r>
  <r>
    <s v="STU_1403"/>
    <x v="1"/>
    <x v="0"/>
    <s v="Accenture"/>
    <n v="11.59"/>
  </r>
  <r>
    <s v="STU_1404"/>
    <x v="0"/>
    <x v="0"/>
    <s v="Cognizant"/>
    <n v="5.16"/>
  </r>
  <r>
    <s v="STU_1405"/>
    <x v="1"/>
    <x v="1"/>
    <s v="N/A"/>
    <n v="0"/>
  </r>
  <r>
    <s v="STU_1406"/>
    <x v="4"/>
    <x v="1"/>
    <s v="N/A"/>
    <n v="0"/>
  </r>
  <r>
    <s v="STU_1407"/>
    <x v="0"/>
    <x v="0"/>
    <s v="Wipro"/>
    <n v="6.96"/>
  </r>
  <r>
    <s v="STU_1408"/>
    <x v="1"/>
    <x v="0"/>
    <s v="TCS"/>
    <n v="3.67"/>
  </r>
  <r>
    <s v="STU_1409"/>
    <x v="0"/>
    <x v="0"/>
    <s v="TCS"/>
    <n v="5.01"/>
  </r>
  <r>
    <s v="STU_1410"/>
    <x v="3"/>
    <x v="0"/>
    <s v="Accenture"/>
    <n v="12.78"/>
  </r>
  <r>
    <s v="STU_1411"/>
    <x v="3"/>
    <x v="0"/>
    <s v="TCS"/>
    <n v="6.88"/>
  </r>
  <r>
    <s v="STU_1412"/>
    <x v="1"/>
    <x v="0"/>
    <s v="TCS"/>
    <n v="5.12"/>
  </r>
  <r>
    <s v="STU_1413"/>
    <x v="0"/>
    <x v="0"/>
    <s v="Accenture"/>
    <n v="14.36"/>
  </r>
  <r>
    <s v="STU_1414"/>
    <x v="4"/>
    <x v="0"/>
    <s v="Cognizant"/>
    <n v="3.89"/>
  </r>
  <r>
    <s v="STU_1415"/>
    <x v="1"/>
    <x v="0"/>
    <s v="Wipro"/>
    <n v="4.5"/>
  </r>
  <r>
    <s v="STU_1416"/>
    <x v="3"/>
    <x v="0"/>
    <s v="Cognizant"/>
    <n v="3.52"/>
  </r>
  <r>
    <s v="STU_1417"/>
    <x v="3"/>
    <x v="0"/>
    <s v="Infosys"/>
    <n v="4.68"/>
  </r>
  <r>
    <s v="STU_1418"/>
    <x v="1"/>
    <x v="1"/>
    <s v="N/A"/>
    <n v="0"/>
  </r>
  <r>
    <s v="STU_1419"/>
    <x v="0"/>
    <x v="0"/>
    <s v="Infosys"/>
    <n v="6.88"/>
  </r>
  <r>
    <s v="STU_1420"/>
    <x v="3"/>
    <x v="0"/>
    <s v="TCS"/>
    <n v="5.19"/>
  </r>
  <r>
    <s v="STU_1421"/>
    <x v="0"/>
    <x v="0"/>
    <s v="Capgemini"/>
    <n v="6.88"/>
  </r>
  <r>
    <s v="STU_1422"/>
    <x v="3"/>
    <x v="1"/>
    <s v="N/A"/>
    <n v="0"/>
  </r>
  <r>
    <s v="STU_1423"/>
    <x v="3"/>
    <x v="0"/>
    <s v="Infosys"/>
    <n v="3.87"/>
  </r>
  <r>
    <s v="STU_1424"/>
    <x v="2"/>
    <x v="0"/>
    <s v="TCS"/>
    <n v="4.1900000000000004"/>
  </r>
  <r>
    <s v="STU_1425"/>
    <x v="3"/>
    <x v="0"/>
    <s v="Capgemini"/>
    <n v="3.86"/>
  </r>
  <r>
    <s v="STU_1426"/>
    <x v="4"/>
    <x v="0"/>
    <s v="Infosys"/>
    <n v="5.68"/>
  </r>
  <r>
    <s v="STU_1427"/>
    <x v="1"/>
    <x v="0"/>
    <s v="Capgemini"/>
    <n v="4.1900000000000004"/>
  </r>
  <r>
    <s v="STU_1428"/>
    <x v="1"/>
    <x v="1"/>
    <s v="N/A"/>
    <n v="0"/>
  </r>
  <r>
    <s v="STU_1429"/>
    <x v="0"/>
    <x v="0"/>
    <s v="Wipro"/>
    <n v="4.5"/>
  </r>
  <r>
    <s v="STU_1430"/>
    <x v="3"/>
    <x v="0"/>
    <s v="TCS"/>
    <n v="6.34"/>
  </r>
  <r>
    <s v="STU_1431"/>
    <x v="4"/>
    <x v="0"/>
    <s v="Wipro"/>
    <n v="3.85"/>
  </r>
  <r>
    <s v="STU_1432"/>
    <x v="0"/>
    <x v="0"/>
    <s v="Accenture"/>
    <n v="12.56"/>
  </r>
  <r>
    <s v="STU_1433"/>
    <x v="2"/>
    <x v="0"/>
    <s v="TCS"/>
    <n v="5.65"/>
  </r>
  <r>
    <s v="STU_1434"/>
    <x v="0"/>
    <x v="0"/>
    <s v="Cognizant"/>
    <n v="4.1900000000000004"/>
  </r>
  <r>
    <s v="STU_1435"/>
    <x v="0"/>
    <x v="0"/>
    <s v="Deloitte"/>
    <n v="11.75"/>
  </r>
  <r>
    <s v="STU_1436"/>
    <x v="3"/>
    <x v="0"/>
    <s v="Accenture"/>
    <n v="14.5"/>
  </r>
  <r>
    <s v="STU_1437"/>
    <x v="2"/>
    <x v="0"/>
    <s v="Accenture"/>
    <n v="9.33"/>
  </r>
  <r>
    <s v="STU_1438"/>
    <x v="0"/>
    <x v="0"/>
    <s v="Cognizant"/>
    <n v="4.41"/>
  </r>
  <r>
    <s v="STU_1439"/>
    <x v="4"/>
    <x v="0"/>
    <s v="Infosys"/>
    <n v="4.3499999999999996"/>
  </r>
  <r>
    <s v="STU_1440"/>
    <x v="4"/>
    <x v="0"/>
    <s v="Infosys"/>
    <n v="4.8600000000000003"/>
  </r>
  <r>
    <s v="STU_1441"/>
    <x v="1"/>
    <x v="1"/>
    <s v="N/A"/>
    <n v="0"/>
  </r>
  <r>
    <s v="STU_1442"/>
    <x v="2"/>
    <x v="0"/>
    <s v="TCS"/>
    <n v="4.2"/>
  </r>
  <r>
    <s v="STU_1443"/>
    <x v="2"/>
    <x v="0"/>
    <s v="TCS"/>
    <n v="4.32"/>
  </r>
  <r>
    <s v="STU_1444"/>
    <x v="1"/>
    <x v="0"/>
    <s v="Infosys"/>
    <n v="5.43"/>
  </r>
  <r>
    <s v="STU_1445"/>
    <x v="0"/>
    <x v="0"/>
    <s v="Cognizant"/>
    <n v="6.92"/>
  </r>
  <r>
    <s v="STU_1446"/>
    <x v="2"/>
    <x v="0"/>
    <s v="Infosys"/>
    <n v="4.8600000000000003"/>
  </r>
  <r>
    <s v="STU_1447"/>
    <x v="4"/>
    <x v="1"/>
    <s v="N/A"/>
    <n v="0"/>
  </r>
  <r>
    <s v="STU_1448"/>
    <x v="4"/>
    <x v="1"/>
    <s v="N/A"/>
    <n v="0"/>
  </r>
  <r>
    <s v="STU_1449"/>
    <x v="3"/>
    <x v="0"/>
    <s v="TCS"/>
    <n v="6.83"/>
  </r>
  <r>
    <s v="STU_1450"/>
    <x v="2"/>
    <x v="0"/>
    <s v="Infosys"/>
    <n v="4.22"/>
  </r>
  <r>
    <s v="STU_1451"/>
    <x v="0"/>
    <x v="0"/>
    <s v="Infosys"/>
    <n v="4.3499999999999996"/>
  </r>
  <r>
    <s v="STU_1452"/>
    <x v="1"/>
    <x v="0"/>
    <s v="Wipro"/>
    <n v="5.15"/>
  </r>
  <r>
    <s v="STU_1453"/>
    <x v="1"/>
    <x v="0"/>
    <s v="Infosys"/>
    <n v="3.66"/>
  </r>
  <r>
    <s v="STU_1454"/>
    <x v="0"/>
    <x v="0"/>
    <s v="TCS"/>
    <n v="4.5"/>
  </r>
  <r>
    <s v="STU_1455"/>
    <x v="3"/>
    <x v="0"/>
    <s v="TCS"/>
    <n v="5.65"/>
  </r>
  <r>
    <s v="STU_1456"/>
    <x v="1"/>
    <x v="1"/>
    <s v="N/A"/>
    <n v="0"/>
  </r>
  <r>
    <s v="STU_1457"/>
    <x v="2"/>
    <x v="0"/>
    <s v="TCS"/>
    <n v="5.19"/>
  </r>
  <r>
    <s v="STU_1458"/>
    <x v="3"/>
    <x v="0"/>
    <s v="Accenture"/>
    <n v="9.39"/>
  </r>
  <r>
    <s v="STU_1459"/>
    <x v="2"/>
    <x v="0"/>
    <s v="Wipro"/>
    <n v="5.33"/>
  </r>
  <r>
    <s v="STU_1460"/>
    <x v="4"/>
    <x v="0"/>
    <s v="TCS"/>
    <n v="5.6"/>
  </r>
  <r>
    <s v="STU_1461"/>
    <x v="3"/>
    <x v="0"/>
    <s v="Wipro"/>
    <n v="5.77"/>
  </r>
  <r>
    <s v="STU_1462"/>
    <x v="1"/>
    <x v="0"/>
    <s v="Infosys"/>
    <n v="4.5"/>
  </r>
  <r>
    <s v="STU_1463"/>
    <x v="3"/>
    <x v="0"/>
    <s v="TCS"/>
    <n v="4.8899999999999997"/>
  </r>
  <r>
    <s v="STU_1464"/>
    <x v="3"/>
    <x v="0"/>
    <s v="TCS"/>
    <n v="6.33"/>
  </r>
  <r>
    <s v="STU_1465"/>
    <x v="3"/>
    <x v="1"/>
    <s v="N/A"/>
    <n v="0"/>
  </r>
  <r>
    <s v="STU_1466"/>
    <x v="3"/>
    <x v="0"/>
    <s v="Capgemini"/>
    <n v="5.2"/>
  </r>
  <r>
    <s v="STU_1467"/>
    <x v="2"/>
    <x v="0"/>
    <s v="Infosys"/>
    <n v="3.61"/>
  </r>
  <r>
    <s v="STU_1468"/>
    <x v="4"/>
    <x v="0"/>
    <s v="TCS"/>
    <n v="6.96"/>
  </r>
  <r>
    <s v="STU_1469"/>
    <x v="0"/>
    <x v="0"/>
    <s v="TCS"/>
    <n v="5.43"/>
  </r>
  <r>
    <s v="STU_1470"/>
    <x v="3"/>
    <x v="1"/>
    <s v="N/A"/>
    <n v="0"/>
  </r>
  <r>
    <s v="STU_1471"/>
    <x v="1"/>
    <x v="0"/>
    <s v="Infosys"/>
    <n v="4.1100000000000003"/>
  </r>
  <r>
    <s v="STU_1472"/>
    <x v="3"/>
    <x v="0"/>
    <s v="TCS"/>
    <n v="6.11"/>
  </r>
  <r>
    <s v="STU_1473"/>
    <x v="1"/>
    <x v="0"/>
    <s v="Wipro"/>
    <n v="5.33"/>
  </r>
  <r>
    <s v="STU_1474"/>
    <x v="2"/>
    <x v="0"/>
    <s v="Infosys"/>
    <n v="4.34"/>
  </r>
  <r>
    <s v="STU_1475"/>
    <x v="1"/>
    <x v="0"/>
    <s v="TCS"/>
    <n v="4.3499999999999996"/>
  </r>
  <r>
    <s v="STU_1476"/>
    <x v="0"/>
    <x v="0"/>
    <s v="Deloitte"/>
    <n v="11.75"/>
  </r>
  <r>
    <s v="STU_1477"/>
    <x v="4"/>
    <x v="0"/>
    <s v="TCS"/>
    <n v="6.85"/>
  </r>
  <r>
    <s v="STU_1478"/>
    <x v="1"/>
    <x v="0"/>
    <s v="Accenture"/>
    <n v="13.6"/>
  </r>
  <r>
    <s v="STU_1479"/>
    <x v="1"/>
    <x v="0"/>
    <s v="Capgemini"/>
    <n v="4.1100000000000003"/>
  </r>
  <r>
    <s v="STU_1480"/>
    <x v="4"/>
    <x v="1"/>
    <s v="N/A"/>
    <n v="0"/>
  </r>
  <r>
    <s v="STU_1481"/>
    <x v="0"/>
    <x v="0"/>
    <s v="Infosys"/>
    <n v="4.37"/>
  </r>
  <r>
    <s v="STU_1482"/>
    <x v="3"/>
    <x v="0"/>
    <s v="Accenture"/>
    <n v="9.25"/>
  </r>
  <r>
    <s v="STU_1483"/>
    <x v="1"/>
    <x v="0"/>
    <s v="TCS"/>
    <n v="3.56"/>
  </r>
  <r>
    <s v="STU_1484"/>
    <x v="4"/>
    <x v="0"/>
    <s v="TCS"/>
    <n v="5.72"/>
  </r>
  <r>
    <s v="STU_1485"/>
    <x v="2"/>
    <x v="0"/>
    <s v="Infosys"/>
    <n v="3.87"/>
  </r>
  <r>
    <s v="STU_1486"/>
    <x v="4"/>
    <x v="0"/>
    <s v="Infosys"/>
    <n v="6.86"/>
  </r>
  <r>
    <s v="STU_1487"/>
    <x v="2"/>
    <x v="0"/>
    <s v="Infosys"/>
    <n v="4.1900000000000004"/>
  </r>
  <r>
    <s v="STU_1488"/>
    <x v="0"/>
    <x v="0"/>
    <s v="Infosys"/>
    <n v="4.42"/>
  </r>
  <r>
    <s v="STU_1489"/>
    <x v="3"/>
    <x v="1"/>
    <s v="N/A"/>
    <n v="0"/>
  </r>
  <r>
    <s v="STU_1490"/>
    <x v="4"/>
    <x v="0"/>
    <s v="TCS"/>
    <n v="5.4"/>
  </r>
  <r>
    <s v="STU_1491"/>
    <x v="1"/>
    <x v="0"/>
    <s v="Cognizant"/>
    <n v="4.1100000000000003"/>
  </r>
  <r>
    <s v="STU_1492"/>
    <x v="0"/>
    <x v="0"/>
    <s v="Infosys"/>
    <n v="4.67"/>
  </r>
  <r>
    <s v="STU_1493"/>
    <x v="4"/>
    <x v="0"/>
    <s v="Infosys"/>
    <n v="3.89"/>
  </r>
  <r>
    <s v="STU_1494"/>
    <x v="1"/>
    <x v="0"/>
    <s v="Infosys"/>
    <n v="5.33"/>
  </r>
  <r>
    <s v="STU_1495"/>
    <x v="4"/>
    <x v="0"/>
    <s v="Infosys"/>
    <n v="4.68"/>
  </r>
  <r>
    <s v="STU_1496"/>
    <x v="2"/>
    <x v="0"/>
    <s v="Cognizant"/>
    <n v="5.49"/>
  </r>
  <r>
    <s v="STU_1497"/>
    <x v="4"/>
    <x v="0"/>
    <s v="Infosys"/>
    <n v="4.4000000000000004"/>
  </r>
  <r>
    <s v="STU_1498"/>
    <x v="4"/>
    <x v="0"/>
    <s v="Wipro"/>
    <n v="4.12"/>
  </r>
  <r>
    <s v="STU_1499"/>
    <x v="4"/>
    <x v="0"/>
    <s v="TCS"/>
    <n v="5.19"/>
  </r>
  <r>
    <s v="STU_1500"/>
    <x v="0"/>
    <x v="0"/>
    <s v="Infosys"/>
    <n v="4.32"/>
  </r>
  <r>
    <s v="STU_1501"/>
    <x v="4"/>
    <x v="0"/>
    <s v="Wipro"/>
    <n v="6.03"/>
  </r>
  <r>
    <s v="STU_1502"/>
    <x v="1"/>
    <x v="0"/>
    <s v="Capgemini"/>
    <n v="4.8899999999999997"/>
  </r>
  <r>
    <s v="STU_1503"/>
    <x v="2"/>
    <x v="0"/>
    <s v="Infosys"/>
    <n v="3.92"/>
  </r>
  <r>
    <s v="STU_1504"/>
    <x v="2"/>
    <x v="0"/>
    <s v="Wipro"/>
    <n v="4.3600000000000003"/>
  </r>
  <r>
    <s v="STU_1505"/>
    <x v="4"/>
    <x v="0"/>
    <s v="TCS"/>
    <n v="6.33"/>
  </r>
  <r>
    <s v="STU_1506"/>
    <x v="0"/>
    <x v="0"/>
    <s v="Wipro"/>
    <n v="4.1900000000000004"/>
  </r>
  <r>
    <s v="STU_1507"/>
    <x v="0"/>
    <x v="1"/>
    <s v="N/A"/>
    <n v="0"/>
  </r>
  <r>
    <s v="STU_1508"/>
    <x v="1"/>
    <x v="0"/>
    <s v="Capgemini"/>
    <n v="4.1100000000000003"/>
  </r>
  <r>
    <s v="STU_1509"/>
    <x v="4"/>
    <x v="0"/>
    <s v="Wipro"/>
    <n v="6.84"/>
  </r>
  <r>
    <s v="STU_1510"/>
    <x v="2"/>
    <x v="1"/>
    <s v="N/A"/>
    <n v="0"/>
  </r>
  <r>
    <s v="STU_1511"/>
    <x v="0"/>
    <x v="1"/>
    <s v="N/A"/>
    <n v="0"/>
  </r>
  <r>
    <s v="STU_1512"/>
    <x v="4"/>
    <x v="0"/>
    <s v="Capgemini"/>
    <n v="6.59"/>
  </r>
  <r>
    <s v="STU_1513"/>
    <x v="0"/>
    <x v="0"/>
    <s v="Infosys"/>
    <n v="4.34"/>
  </r>
  <r>
    <s v="STU_1514"/>
    <x v="0"/>
    <x v="0"/>
    <s v="Wipro"/>
    <n v="4.5"/>
  </r>
  <r>
    <s v="STU_1515"/>
    <x v="2"/>
    <x v="0"/>
    <s v="Infosys"/>
    <n v="6.06"/>
  </r>
  <r>
    <s v="STU_1516"/>
    <x v="3"/>
    <x v="0"/>
    <s v="Wipro"/>
    <n v="4.12"/>
  </r>
  <r>
    <s v="STU_1517"/>
    <x v="1"/>
    <x v="0"/>
    <s v="Infosys"/>
    <n v="4.5599999999999996"/>
  </r>
  <r>
    <s v="STU_1518"/>
    <x v="1"/>
    <x v="1"/>
    <s v="N/A"/>
    <n v="0"/>
  </r>
  <r>
    <s v="STU_1519"/>
    <x v="2"/>
    <x v="1"/>
    <s v="N/A"/>
    <n v="0"/>
  </r>
  <r>
    <s v="STU_1520"/>
    <x v="0"/>
    <x v="0"/>
    <s v="Accenture"/>
    <n v="13.75"/>
  </r>
  <r>
    <s v="STU_1521"/>
    <x v="4"/>
    <x v="0"/>
    <s v="Wipro"/>
    <n v="4.1100000000000003"/>
  </r>
  <r>
    <s v="STU_1522"/>
    <x v="0"/>
    <x v="0"/>
    <s v="Wipro"/>
    <n v="5.13"/>
  </r>
  <r>
    <s v="STU_1523"/>
    <x v="2"/>
    <x v="0"/>
    <s v="TCS"/>
    <n v="3.98"/>
  </r>
  <r>
    <s v="STU_1524"/>
    <x v="1"/>
    <x v="0"/>
    <s v="Wipro"/>
    <n v="4.41"/>
  </r>
  <r>
    <s v="STU_1525"/>
    <x v="0"/>
    <x v="0"/>
    <s v="Infosys"/>
    <n v="3.56"/>
  </r>
  <r>
    <s v="STU_1526"/>
    <x v="1"/>
    <x v="0"/>
    <s v="Infosys"/>
    <n v="5.13"/>
  </r>
  <r>
    <s v="STU_1527"/>
    <x v="4"/>
    <x v="0"/>
    <s v="Wipro"/>
    <n v="5.03"/>
  </r>
  <r>
    <s v="STU_1528"/>
    <x v="1"/>
    <x v="0"/>
    <s v="TCS"/>
    <n v="5.12"/>
  </r>
  <r>
    <s v="STU_1529"/>
    <x v="1"/>
    <x v="0"/>
    <s v="TCS"/>
    <n v="4.4000000000000004"/>
  </r>
  <r>
    <s v="STU_1530"/>
    <x v="3"/>
    <x v="1"/>
    <s v="N/A"/>
    <n v="0"/>
  </r>
  <r>
    <s v="STU_1531"/>
    <x v="3"/>
    <x v="1"/>
    <s v="N/A"/>
    <n v="0"/>
  </r>
  <r>
    <s v="STU_1532"/>
    <x v="3"/>
    <x v="0"/>
    <s v="Infosys"/>
    <n v="3.95"/>
  </r>
  <r>
    <s v="STU_1533"/>
    <x v="1"/>
    <x v="0"/>
    <s v="Infosys"/>
    <n v="5.65"/>
  </r>
  <r>
    <s v="STU_1534"/>
    <x v="2"/>
    <x v="0"/>
    <s v="Capgemini"/>
    <n v="4.4000000000000004"/>
  </r>
  <r>
    <s v="STU_1535"/>
    <x v="1"/>
    <x v="1"/>
    <s v="N/A"/>
    <n v="0"/>
  </r>
  <r>
    <s v="STU_1536"/>
    <x v="2"/>
    <x v="1"/>
    <s v="N/A"/>
    <n v="0"/>
  </r>
  <r>
    <s v="STU_1537"/>
    <x v="2"/>
    <x v="0"/>
    <s v="Infosys"/>
    <n v="4.5599999999999996"/>
  </r>
  <r>
    <s v="STU_1538"/>
    <x v="3"/>
    <x v="1"/>
    <s v="N/A"/>
    <n v="0"/>
  </r>
  <r>
    <s v="STU_1539"/>
    <x v="0"/>
    <x v="0"/>
    <s v="Infosys"/>
    <n v="4.33"/>
  </r>
  <r>
    <s v="STU_1540"/>
    <x v="4"/>
    <x v="0"/>
    <s v="Wipro"/>
    <n v="4.67"/>
  </r>
  <r>
    <s v="STU_1541"/>
    <x v="3"/>
    <x v="0"/>
    <s v="Infosys"/>
    <n v="4.3499999999999996"/>
  </r>
  <r>
    <s v="STU_1542"/>
    <x v="3"/>
    <x v="0"/>
    <s v="Accenture"/>
    <n v="9.34"/>
  </r>
  <r>
    <s v="STU_1543"/>
    <x v="0"/>
    <x v="0"/>
    <s v="Infosys"/>
    <n v="4.5999999999999996"/>
  </r>
  <r>
    <s v="STU_1544"/>
    <x v="4"/>
    <x v="0"/>
    <s v="Cognizant"/>
    <n v="4.12"/>
  </r>
  <r>
    <s v="STU_1545"/>
    <x v="1"/>
    <x v="0"/>
    <s v="TCS"/>
    <n v="5.13"/>
  </r>
  <r>
    <s v="STU_1546"/>
    <x v="1"/>
    <x v="0"/>
    <s v="Accenture"/>
    <n v="9.25"/>
  </r>
  <r>
    <s v="STU_1547"/>
    <x v="3"/>
    <x v="1"/>
    <s v="N/A"/>
    <n v="0"/>
  </r>
  <r>
    <s v="STU_1548"/>
    <x v="4"/>
    <x v="0"/>
    <s v="Infosys"/>
    <n v="3.87"/>
  </r>
  <r>
    <s v="STU_1549"/>
    <x v="3"/>
    <x v="0"/>
    <s v="Infosys"/>
    <n v="4.2"/>
  </r>
  <r>
    <s v="STU_1550"/>
    <x v="2"/>
    <x v="0"/>
    <s v="TCS"/>
    <n v="4.68"/>
  </r>
  <r>
    <s v="STU_1551"/>
    <x v="3"/>
    <x v="1"/>
    <s v="N/A"/>
    <n v="0"/>
  </r>
  <r>
    <s v="STU_1552"/>
    <x v="3"/>
    <x v="0"/>
    <s v="Infosys"/>
    <n v="5.14"/>
  </r>
  <r>
    <s v="STU_1553"/>
    <x v="1"/>
    <x v="1"/>
    <s v="N/A"/>
    <n v="0"/>
  </r>
  <r>
    <s v="STU_1554"/>
    <x v="1"/>
    <x v="1"/>
    <s v="N/A"/>
    <n v="0"/>
  </r>
  <r>
    <s v="STU_1555"/>
    <x v="1"/>
    <x v="0"/>
    <s v="Cognizant"/>
    <n v="4.1900000000000004"/>
  </r>
  <r>
    <s v="STU_1556"/>
    <x v="2"/>
    <x v="0"/>
    <s v="Infosys"/>
    <n v="3.99"/>
  </r>
  <r>
    <s v="STU_1557"/>
    <x v="1"/>
    <x v="0"/>
    <s v="TCS"/>
    <n v="5.15"/>
  </r>
  <r>
    <s v="STU_1558"/>
    <x v="4"/>
    <x v="0"/>
    <s v="TCS"/>
    <n v="3.92"/>
  </r>
  <r>
    <s v="STU_1559"/>
    <x v="0"/>
    <x v="0"/>
    <s v="TCS"/>
    <n v="4.24"/>
  </r>
  <r>
    <s v="STU_1560"/>
    <x v="4"/>
    <x v="0"/>
    <s v="Wipro"/>
    <n v="5.19"/>
  </r>
  <r>
    <s v="STU_1561"/>
    <x v="4"/>
    <x v="1"/>
    <s v="N/A"/>
    <n v="0"/>
  </r>
  <r>
    <s v="STU_1562"/>
    <x v="1"/>
    <x v="0"/>
    <s v="Wipro"/>
    <n v="4.5599999999999996"/>
  </r>
  <r>
    <s v="STU_1563"/>
    <x v="0"/>
    <x v="0"/>
    <s v="Accenture"/>
    <n v="8.4"/>
  </r>
  <r>
    <s v="STU_1564"/>
    <x v="0"/>
    <x v="1"/>
    <s v="N/A"/>
    <n v="0"/>
  </r>
  <r>
    <s v="STU_1565"/>
    <x v="0"/>
    <x v="0"/>
    <s v="Infosys"/>
    <n v="4.8600000000000003"/>
  </r>
  <r>
    <s v="STU_1566"/>
    <x v="2"/>
    <x v="0"/>
    <s v="TCS"/>
    <n v="6.84"/>
  </r>
  <r>
    <s v="STU_1567"/>
    <x v="1"/>
    <x v="0"/>
    <s v="Infosys"/>
    <n v="5.78"/>
  </r>
  <r>
    <s v="STU_1568"/>
    <x v="0"/>
    <x v="0"/>
    <s v="Infosys"/>
    <n v="5.03"/>
  </r>
  <r>
    <s v="STU_1569"/>
    <x v="2"/>
    <x v="0"/>
    <s v="Capgemini"/>
    <n v="4.1900000000000004"/>
  </r>
  <r>
    <s v="STU_1570"/>
    <x v="3"/>
    <x v="0"/>
    <s v="Infosys"/>
    <n v="4.5599999999999996"/>
  </r>
  <r>
    <s v="STU_1571"/>
    <x v="3"/>
    <x v="0"/>
    <s v="Cognizant"/>
    <n v="3.89"/>
  </r>
  <r>
    <s v="STU_1572"/>
    <x v="2"/>
    <x v="1"/>
    <s v="N/A"/>
    <n v="0"/>
  </r>
  <r>
    <s v="STU_1573"/>
    <x v="2"/>
    <x v="1"/>
    <s v="N/A"/>
    <n v="0"/>
  </r>
  <r>
    <s v="STU_1574"/>
    <x v="1"/>
    <x v="0"/>
    <s v="Wipro"/>
    <n v="4.2"/>
  </r>
  <r>
    <s v="STU_1575"/>
    <x v="1"/>
    <x v="0"/>
    <s v="Infosys"/>
    <n v="5.49"/>
  </r>
  <r>
    <s v="STU_1576"/>
    <x v="3"/>
    <x v="0"/>
    <s v="Infosys"/>
    <n v="4.4000000000000004"/>
  </r>
  <r>
    <s v="STU_1577"/>
    <x v="0"/>
    <x v="1"/>
    <s v="N/A"/>
    <n v="0"/>
  </r>
  <r>
    <s v="STU_1578"/>
    <x v="3"/>
    <x v="1"/>
    <s v="N/A"/>
    <n v="0"/>
  </r>
  <r>
    <s v="STU_1579"/>
    <x v="0"/>
    <x v="0"/>
    <s v="Infosys"/>
    <n v="4.8600000000000003"/>
  </r>
  <r>
    <s v="STU_1580"/>
    <x v="0"/>
    <x v="0"/>
    <s v="TCS"/>
    <n v="6.86"/>
  </r>
  <r>
    <s v="STU_1581"/>
    <x v="1"/>
    <x v="0"/>
    <s v="Wipro"/>
    <n v="5.13"/>
  </r>
  <r>
    <s v="STU_1582"/>
    <x v="4"/>
    <x v="0"/>
    <s v="Infosys"/>
    <n v="4.3499999999999996"/>
  </r>
  <r>
    <s v="STU_1583"/>
    <x v="4"/>
    <x v="0"/>
    <s v="Infosys"/>
    <n v="4.8600000000000003"/>
  </r>
  <r>
    <s v="STU_1584"/>
    <x v="2"/>
    <x v="0"/>
    <s v="Wipro"/>
    <n v="6.01"/>
  </r>
  <r>
    <s v="STU_1585"/>
    <x v="1"/>
    <x v="0"/>
    <s v="Wipro"/>
    <n v="4.5"/>
  </r>
  <r>
    <s v="STU_1586"/>
    <x v="0"/>
    <x v="0"/>
    <s v="Cognizant"/>
    <n v="4.5999999999999996"/>
  </r>
  <r>
    <s v="STU_1587"/>
    <x v="4"/>
    <x v="0"/>
    <s v="TCS"/>
    <n v="4.1100000000000003"/>
  </r>
  <r>
    <s v="STU_1588"/>
    <x v="0"/>
    <x v="0"/>
    <s v="TCS"/>
    <n v="4.3"/>
  </r>
  <r>
    <s v="STU_1589"/>
    <x v="4"/>
    <x v="1"/>
    <s v="N/A"/>
    <n v="0"/>
  </r>
  <r>
    <s v="STU_1590"/>
    <x v="4"/>
    <x v="0"/>
    <s v="Cognizant"/>
    <n v="5.15"/>
  </r>
  <r>
    <s v="STU_1591"/>
    <x v="4"/>
    <x v="1"/>
    <s v="N/A"/>
    <n v="0"/>
  </r>
  <r>
    <s v="STU_1592"/>
    <x v="1"/>
    <x v="0"/>
    <s v="Infosys"/>
    <n v="4.32"/>
  </r>
  <r>
    <s v="STU_1593"/>
    <x v="3"/>
    <x v="0"/>
    <s v="Infosys"/>
    <n v="3.95"/>
  </r>
  <r>
    <s v="STU_1594"/>
    <x v="0"/>
    <x v="0"/>
    <s v="Infosys"/>
    <n v="5.33"/>
  </r>
  <r>
    <s v="STU_1595"/>
    <x v="1"/>
    <x v="0"/>
    <s v="Infosys"/>
    <n v="4.12"/>
  </r>
  <r>
    <s v="STU_1596"/>
    <x v="1"/>
    <x v="0"/>
    <s v="Accenture"/>
    <n v="13.25"/>
  </r>
  <r>
    <s v="STU_1597"/>
    <x v="1"/>
    <x v="0"/>
    <s v="Infosys"/>
    <n v="6.84"/>
  </r>
  <r>
    <s v="STU_1598"/>
    <x v="1"/>
    <x v="0"/>
    <s v="TCS"/>
    <n v="3.95"/>
  </r>
  <r>
    <s v="STU_1599"/>
    <x v="1"/>
    <x v="1"/>
    <s v="N/A"/>
    <n v="0"/>
  </r>
  <r>
    <s v="STU_1600"/>
    <x v="2"/>
    <x v="0"/>
    <s v="Accenture"/>
    <n v="13.62"/>
  </r>
  <r>
    <s v="STU_1601"/>
    <x v="0"/>
    <x v="0"/>
    <s v="TCS"/>
    <n v="4.5599999999999996"/>
  </r>
  <r>
    <s v="STU_1602"/>
    <x v="1"/>
    <x v="1"/>
    <s v="N/A"/>
    <n v="0"/>
  </r>
  <r>
    <s v="STU_1603"/>
    <x v="0"/>
    <x v="0"/>
    <s v="Wipro"/>
    <n v="5.13"/>
  </r>
  <r>
    <s v="STU_1604"/>
    <x v="2"/>
    <x v="1"/>
    <s v="N/A"/>
    <n v="0"/>
  </r>
  <r>
    <s v="STU_1605"/>
    <x v="2"/>
    <x v="0"/>
    <s v="Cognizant"/>
    <n v="5.03"/>
  </r>
  <r>
    <s v="STU_1606"/>
    <x v="0"/>
    <x v="0"/>
    <s v="Cognizant"/>
    <n v="4.3"/>
  </r>
  <r>
    <s v="STU_1607"/>
    <x v="4"/>
    <x v="1"/>
    <s v="N/A"/>
    <n v="0"/>
  </r>
  <r>
    <s v="STU_1608"/>
    <x v="3"/>
    <x v="0"/>
    <s v="TCS"/>
    <n v="5.65"/>
  </r>
  <r>
    <s v="STU_1609"/>
    <x v="4"/>
    <x v="0"/>
    <s v="Infosys"/>
    <n v="5.43"/>
  </r>
  <r>
    <s v="STU_1610"/>
    <x v="4"/>
    <x v="0"/>
    <s v="Cognizant"/>
    <n v="4.5599999999999996"/>
  </r>
  <r>
    <s v="STU_1611"/>
    <x v="4"/>
    <x v="0"/>
    <s v="Infosys"/>
    <n v="4.3499999999999996"/>
  </r>
  <r>
    <s v="STU_1612"/>
    <x v="1"/>
    <x v="0"/>
    <s v="Wipro"/>
    <n v="4.59"/>
  </r>
  <r>
    <s v="STU_1613"/>
    <x v="2"/>
    <x v="0"/>
    <s v="Cognizant"/>
    <n v="4.1900000000000004"/>
  </r>
  <r>
    <s v="STU_1614"/>
    <x v="4"/>
    <x v="1"/>
    <s v="N/A"/>
    <n v="0"/>
  </r>
  <r>
    <s v="STU_1615"/>
    <x v="2"/>
    <x v="0"/>
    <s v="Capgemini"/>
    <n v="5.2"/>
  </r>
  <r>
    <s v="STU_1616"/>
    <x v="0"/>
    <x v="1"/>
    <s v="N/A"/>
    <n v="0"/>
  </r>
  <r>
    <s v="STU_1617"/>
    <x v="3"/>
    <x v="0"/>
    <s v="Infosys"/>
    <n v="3.92"/>
  </r>
  <r>
    <s v="STU_1618"/>
    <x v="0"/>
    <x v="1"/>
    <s v="N/A"/>
    <n v="0"/>
  </r>
  <r>
    <s v="STU_1619"/>
    <x v="0"/>
    <x v="0"/>
    <s v="Infosys"/>
    <n v="6.88"/>
  </r>
  <r>
    <s v="STU_1620"/>
    <x v="1"/>
    <x v="0"/>
    <s v="Infosys"/>
    <n v="3.92"/>
  </r>
  <r>
    <s v="STU_1621"/>
    <x v="3"/>
    <x v="0"/>
    <s v="Cognizant"/>
    <n v="4.5"/>
  </r>
  <r>
    <s v="STU_1622"/>
    <x v="0"/>
    <x v="1"/>
    <s v="N/A"/>
    <n v="0"/>
  </r>
  <r>
    <s v="STU_1623"/>
    <x v="0"/>
    <x v="1"/>
    <s v="N/A"/>
    <n v="0"/>
  </r>
  <r>
    <s v="STU_1624"/>
    <x v="3"/>
    <x v="0"/>
    <s v="TCS"/>
    <n v="4.5"/>
  </r>
  <r>
    <s v="STU_1625"/>
    <x v="3"/>
    <x v="1"/>
    <s v="N/A"/>
    <n v="0"/>
  </r>
  <r>
    <s v="STU_1626"/>
    <x v="0"/>
    <x v="0"/>
    <s v="TCS"/>
    <n v="5.33"/>
  </r>
  <r>
    <s v="STU_1627"/>
    <x v="3"/>
    <x v="0"/>
    <s v="TCS"/>
    <n v="5.65"/>
  </r>
  <r>
    <s v="STU_1628"/>
    <x v="0"/>
    <x v="0"/>
    <s v="Infosys"/>
    <n v="5.03"/>
  </r>
  <r>
    <s v="STU_1629"/>
    <x v="0"/>
    <x v="1"/>
    <s v="N/A"/>
    <n v="0"/>
  </r>
  <r>
    <s v="STU_1630"/>
    <x v="1"/>
    <x v="0"/>
    <s v="Infosys"/>
    <n v="4.3499999999999996"/>
  </r>
  <r>
    <s v="STU_1631"/>
    <x v="4"/>
    <x v="0"/>
    <s v="Wipro"/>
    <n v="4.1900000000000004"/>
  </r>
  <r>
    <s v="STU_1632"/>
    <x v="0"/>
    <x v="0"/>
    <s v="Infosys"/>
    <n v="4.5599999999999996"/>
  </r>
  <r>
    <s v="STU_1633"/>
    <x v="2"/>
    <x v="0"/>
    <s v="TCS"/>
    <n v="5.13"/>
  </r>
  <r>
    <s v="STU_1634"/>
    <x v="4"/>
    <x v="0"/>
    <s v="Infosys"/>
    <n v="3.61"/>
  </r>
  <r>
    <s v="STU_1635"/>
    <x v="4"/>
    <x v="0"/>
    <s v="Capgemini"/>
    <n v="4.1900000000000004"/>
  </r>
  <r>
    <s v="STU_1636"/>
    <x v="4"/>
    <x v="0"/>
    <s v="Wipro"/>
    <n v="5.19"/>
  </r>
  <r>
    <s v="STU_1637"/>
    <x v="1"/>
    <x v="1"/>
    <s v="N/A"/>
    <n v="0"/>
  </r>
  <r>
    <s v="STU_1638"/>
    <x v="0"/>
    <x v="0"/>
    <s v="Wipro"/>
    <n v="4.5"/>
  </r>
  <r>
    <s v="STU_1639"/>
    <x v="1"/>
    <x v="0"/>
    <s v="Infosys"/>
    <n v="5.03"/>
  </r>
  <r>
    <s v="STU_1640"/>
    <x v="0"/>
    <x v="0"/>
    <s v="TCS"/>
    <n v="4.5599999999999996"/>
  </r>
  <r>
    <s v="STU_1641"/>
    <x v="1"/>
    <x v="0"/>
    <s v="Cognizant"/>
    <n v="4.3"/>
  </r>
  <r>
    <s v="STU_1642"/>
    <x v="1"/>
    <x v="1"/>
    <s v="N/A"/>
    <n v="0"/>
  </r>
  <r>
    <s v="STU_1643"/>
    <x v="2"/>
    <x v="0"/>
    <s v="Infosys"/>
    <n v="4.1100000000000003"/>
  </r>
  <r>
    <s v="STU_1644"/>
    <x v="1"/>
    <x v="1"/>
    <s v="N/A"/>
    <n v="0"/>
  </r>
  <r>
    <s v="STU_1645"/>
    <x v="3"/>
    <x v="0"/>
    <s v="TCS"/>
    <n v="5.88"/>
  </r>
  <r>
    <s v="STU_1646"/>
    <x v="2"/>
    <x v="1"/>
    <s v="N/A"/>
    <n v="0"/>
  </r>
  <r>
    <s v="STU_1647"/>
    <x v="1"/>
    <x v="0"/>
    <s v="Infosys"/>
    <n v="4.33"/>
  </r>
  <r>
    <s v="STU_1648"/>
    <x v="4"/>
    <x v="0"/>
    <s v="TCS"/>
    <n v="5.03"/>
  </r>
  <r>
    <s v="STU_1649"/>
    <x v="3"/>
    <x v="0"/>
    <s v="Infosys"/>
    <n v="4.1900000000000004"/>
  </r>
  <r>
    <s v="STU_1650"/>
    <x v="3"/>
    <x v="1"/>
    <s v="N/A"/>
    <n v="0"/>
  </r>
  <r>
    <s v="STU_1651"/>
    <x v="3"/>
    <x v="0"/>
    <s v="Infosys"/>
    <n v="5.43"/>
  </r>
  <r>
    <s v="STU_1652"/>
    <x v="2"/>
    <x v="0"/>
    <s v="Wipro"/>
    <n v="4.32"/>
  </r>
  <r>
    <s v="STU_1653"/>
    <x v="1"/>
    <x v="0"/>
    <s v="Infosys"/>
    <n v="4.1900000000000004"/>
  </r>
  <r>
    <s v="STU_1654"/>
    <x v="1"/>
    <x v="0"/>
    <s v="Cognizant"/>
    <n v="4.3"/>
  </r>
  <r>
    <s v="STU_1655"/>
    <x v="4"/>
    <x v="1"/>
    <s v="N/A"/>
    <n v="0"/>
  </r>
  <r>
    <s v="STU_1656"/>
    <x v="4"/>
    <x v="0"/>
    <s v="Wipro"/>
    <n v="5.19"/>
  </r>
  <r>
    <s v="STU_1657"/>
    <x v="3"/>
    <x v="1"/>
    <s v="N/A"/>
    <n v="0"/>
  </r>
  <r>
    <s v="STU_1658"/>
    <x v="4"/>
    <x v="0"/>
    <s v="Cognizant"/>
    <n v="5.13"/>
  </r>
  <r>
    <s v="STU_1659"/>
    <x v="2"/>
    <x v="1"/>
    <s v="N/A"/>
    <n v="0"/>
  </r>
  <r>
    <s v="STU_1660"/>
    <x v="1"/>
    <x v="0"/>
    <s v="Infosys"/>
    <n v="4.5"/>
  </r>
  <r>
    <s v="STU_1661"/>
    <x v="3"/>
    <x v="0"/>
    <s v="Infosys"/>
    <n v="4.32"/>
  </r>
  <r>
    <s v="STU_1662"/>
    <x v="4"/>
    <x v="1"/>
    <s v="N/A"/>
    <n v="0"/>
  </r>
  <r>
    <s v="STU_1663"/>
    <x v="2"/>
    <x v="0"/>
    <s v="Cognizant"/>
    <n v="4.5599999999999996"/>
  </r>
  <r>
    <s v="STU_1664"/>
    <x v="2"/>
    <x v="1"/>
    <s v="N/A"/>
    <n v="0"/>
  </r>
  <r>
    <s v="STU_1665"/>
    <x v="4"/>
    <x v="0"/>
    <s v="TCS"/>
    <n v="5.13"/>
  </r>
  <r>
    <s v="STU_1666"/>
    <x v="1"/>
    <x v="0"/>
    <s v="Wipro"/>
    <n v="4.5"/>
  </r>
  <r>
    <s v="STU_1667"/>
    <x v="4"/>
    <x v="1"/>
    <s v="N/A"/>
    <n v="0"/>
  </r>
  <r>
    <s v="STU_1668"/>
    <x v="3"/>
    <x v="1"/>
    <s v="N/A"/>
    <n v="0"/>
  </r>
  <r>
    <s v="STU_1669"/>
    <x v="4"/>
    <x v="0"/>
    <s v="TCS"/>
    <n v="5.43"/>
  </r>
  <r>
    <s v="STU_1670"/>
    <x v="2"/>
    <x v="0"/>
    <s v="Accenture"/>
    <n v="9.33"/>
  </r>
  <r>
    <s v="STU_1671"/>
    <x v="4"/>
    <x v="1"/>
    <s v="N/A"/>
    <n v="0"/>
  </r>
  <r>
    <s v="STU_1672"/>
    <x v="1"/>
    <x v="0"/>
    <s v="TCS"/>
    <n v="5.49"/>
  </r>
  <r>
    <s v="STU_1673"/>
    <x v="0"/>
    <x v="0"/>
    <s v="Capgemini"/>
    <n v="4.5"/>
  </r>
  <r>
    <s v="STU_1674"/>
    <x v="4"/>
    <x v="0"/>
    <s v="TCS"/>
    <n v="5.03"/>
  </r>
  <r>
    <s v="STU_1675"/>
    <x v="1"/>
    <x v="0"/>
    <s v="TCS"/>
    <n v="5.43"/>
  </r>
  <r>
    <s v="STU_1676"/>
    <x v="1"/>
    <x v="1"/>
    <s v="N/A"/>
    <n v="0"/>
  </r>
  <r>
    <s v="STU_1677"/>
    <x v="2"/>
    <x v="1"/>
    <s v="N/A"/>
    <n v="0"/>
  </r>
  <r>
    <s v="STU_1678"/>
    <x v="1"/>
    <x v="1"/>
    <s v="N/A"/>
    <n v="0"/>
  </r>
  <r>
    <s v="STU_1679"/>
    <x v="1"/>
    <x v="0"/>
    <s v="Infosys"/>
    <n v="4.32"/>
  </r>
  <r>
    <s v="STU_1680"/>
    <x v="1"/>
    <x v="0"/>
    <s v="Wipro"/>
    <n v="5.15"/>
  </r>
  <r>
    <s v="STU_1681"/>
    <x v="1"/>
    <x v="0"/>
    <s v="Cognizant"/>
    <n v="4.5"/>
  </r>
  <r>
    <s v="STU_1682"/>
    <x v="3"/>
    <x v="0"/>
    <s v="TCS"/>
    <n v="5.4"/>
  </r>
  <r>
    <s v="STU_1683"/>
    <x v="3"/>
    <x v="0"/>
    <s v="Wipro"/>
    <n v="4.5599999999999996"/>
  </r>
  <r>
    <s v="STU_1684"/>
    <x v="2"/>
    <x v="0"/>
    <s v="TCS"/>
    <n v="5.03"/>
  </r>
  <r>
    <s v="STU_1685"/>
    <x v="4"/>
    <x v="0"/>
    <s v="Infosys"/>
    <n v="3.61"/>
  </r>
  <r>
    <s v="STU_1686"/>
    <x v="1"/>
    <x v="0"/>
    <s v="Infosys"/>
    <n v="4.33"/>
  </r>
  <r>
    <s v="STU_1687"/>
    <x v="4"/>
    <x v="0"/>
    <s v="Infosys"/>
    <n v="3.95"/>
  </r>
  <r>
    <s v="STU_1688"/>
    <x v="4"/>
    <x v="0"/>
    <s v="TCS"/>
    <n v="4.32"/>
  </r>
  <r>
    <s v="STU_1689"/>
    <x v="2"/>
    <x v="0"/>
    <s v="Cognizant"/>
    <n v="4.1900000000000004"/>
  </r>
  <r>
    <s v="STU_1690"/>
    <x v="1"/>
    <x v="1"/>
    <s v="N/A"/>
    <n v="0"/>
  </r>
  <r>
    <s v="STU_1691"/>
    <x v="1"/>
    <x v="0"/>
    <s v="Accenture"/>
    <n v="13.62"/>
  </r>
  <r>
    <s v="STU_1692"/>
    <x v="0"/>
    <x v="1"/>
    <s v="N/A"/>
    <n v="0"/>
  </r>
  <r>
    <s v="STU_1693"/>
    <x v="4"/>
    <x v="1"/>
    <s v="N/A"/>
    <n v="0"/>
  </r>
  <r>
    <s v="STU_1694"/>
    <x v="4"/>
    <x v="0"/>
    <s v="Wipro"/>
    <n v="4.1100000000000003"/>
  </r>
  <r>
    <s v="STU_1695"/>
    <x v="3"/>
    <x v="1"/>
    <s v="N/A"/>
    <n v="0"/>
  </r>
  <r>
    <s v="STU_1696"/>
    <x v="0"/>
    <x v="0"/>
    <s v="Wipro"/>
    <n v="4.53"/>
  </r>
  <r>
    <s v="STU_1697"/>
    <x v="3"/>
    <x v="0"/>
    <s v="TCS"/>
    <n v="4.5"/>
  </r>
  <r>
    <s v="STU_1698"/>
    <x v="3"/>
    <x v="0"/>
    <s v="Infosys"/>
    <n v="5.43"/>
  </r>
  <r>
    <s v="STU_1699"/>
    <x v="3"/>
    <x v="0"/>
    <s v="Infosys"/>
    <n v="4.1900000000000004"/>
  </r>
  <r>
    <s v="STU_1700"/>
    <x v="2"/>
    <x v="0"/>
    <s v="Infosys"/>
    <n v="5.65"/>
  </r>
  <r>
    <s v="STU_1701"/>
    <x v="2"/>
    <x v="0"/>
    <s v="Infosys"/>
    <n v="4.3"/>
  </r>
  <r>
    <s v="STU_1702"/>
    <x v="3"/>
    <x v="0"/>
    <s v="Infosys"/>
    <n v="3.92"/>
  </r>
  <r>
    <s v="STU_1703"/>
    <x v="0"/>
    <x v="0"/>
    <s v="TCS"/>
    <n v="4.12"/>
  </r>
  <r>
    <s v="STU_1704"/>
    <x v="4"/>
    <x v="0"/>
    <s v="Wipro"/>
    <n v="5.41"/>
  </r>
  <r>
    <s v="STU_1705"/>
    <x v="0"/>
    <x v="0"/>
    <s v="Infosys"/>
    <n v="4.5599999999999996"/>
  </r>
  <r>
    <s v="STU_1706"/>
    <x v="1"/>
    <x v="0"/>
    <s v="TCS"/>
    <n v="5.19"/>
  </r>
  <r>
    <s v="STU_1707"/>
    <x v="2"/>
    <x v="0"/>
    <s v="TCS"/>
    <n v="4.1100000000000003"/>
  </r>
  <r>
    <s v="STU_1708"/>
    <x v="4"/>
    <x v="0"/>
    <s v="TCS"/>
    <n v="5.03"/>
  </r>
  <r>
    <s v="STU_1709"/>
    <x v="4"/>
    <x v="1"/>
    <s v="N/A"/>
    <n v="0"/>
  </r>
  <r>
    <s v="STU_1710"/>
    <x v="1"/>
    <x v="0"/>
    <s v="Accenture"/>
    <n v="9.39"/>
  </r>
  <r>
    <s v="STU_1711"/>
    <x v="1"/>
    <x v="0"/>
    <s v="Cognizant"/>
    <n v="4.5"/>
  </r>
  <r>
    <s v="STU_1712"/>
    <x v="3"/>
    <x v="0"/>
    <s v="Infosys"/>
    <n v="4.1900000000000004"/>
  </r>
  <r>
    <s v="STU_1713"/>
    <x v="2"/>
    <x v="0"/>
    <s v="Infosys"/>
    <n v="4.3499999999999996"/>
  </r>
  <r>
    <s v="STU_1714"/>
    <x v="2"/>
    <x v="0"/>
    <s v="Wipro"/>
    <n v="4.12"/>
  </r>
  <r>
    <s v="STU_1715"/>
    <x v="0"/>
    <x v="0"/>
    <s v="Infosys"/>
    <n v="5.13"/>
  </r>
  <r>
    <s v="STU_1716"/>
    <x v="3"/>
    <x v="1"/>
    <s v="N/A"/>
    <n v="0"/>
  </r>
  <r>
    <s v="STU_1717"/>
    <x v="3"/>
    <x v="0"/>
    <s v="TCS"/>
    <n v="5.65"/>
  </r>
  <r>
    <s v="STU_1718"/>
    <x v="3"/>
    <x v="0"/>
    <s v="TCS"/>
    <n v="5.19"/>
  </r>
  <r>
    <s v="STU_1719"/>
    <x v="3"/>
    <x v="0"/>
    <s v="TCS"/>
    <n v="5.13"/>
  </r>
  <r>
    <s v="STU_1720"/>
    <x v="2"/>
    <x v="1"/>
    <s v="N/A"/>
    <n v="0"/>
  </r>
  <r>
    <s v="STU_1721"/>
    <x v="2"/>
    <x v="0"/>
    <s v="TCS"/>
    <n v="5.03"/>
  </r>
  <r>
    <s v="STU_1722"/>
    <x v="3"/>
    <x v="0"/>
    <s v="Infosys"/>
    <n v="3.95"/>
  </r>
  <r>
    <s v="STU_1723"/>
    <x v="0"/>
    <x v="0"/>
    <s v="Wipro"/>
    <n v="4.5"/>
  </r>
  <r>
    <s v="STU_1724"/>
    <x v="4"/>
    <x v="1"/>
    <s v="N/A"/>
    <n v="0"/>
  </r>
  <r>
    <s v="STU_1725"/>
    <x v="4"/>
    <x v="1"/>
    <s v="N/A"/>
    <n v="0"/>
  </r>
  <r>
    <s v="STU_1726"/>
    <x v="0"/>
    <x v="0"/>
    <s v="TCS"/>
    <n v="4.5"/>
  </r>
  <r>
    <s v="STU_1727"/>
    <x v="3"/>
    <x v="0"/>
    <s v="TCS"/>
    <n v="5.19"/>
  </r>
  <r>
    <s v="STU_1728"/>
    <x v="2"/>
    <x v="0"/>
    <s v="Cognizant"/>
    <n v="5.15"/>
  </r>
  <r>
    <s v="STU_1729"/>
    <x v="4"/>
    <x v="0"/>
    <s v="Infosys"/>
    <n v="4.1100000000000003"/>
  </r>
  <r>
    <s v="STU_1730"/>
    <x v="1"/>
    <x v="1"/>
    <s v="N/A"/>
    <n v="0"/>
  </r>
  <r>
    <s v="STU_1731"/>
    <x v="1"/>
    <x v="0"/>
    <s v="Infosys"/>
    <n v="3.87"/>
  </r>
  <r>
    <s v="STU_1732"/>
    <x v="0"/>
    <x v="0"/>
    <s v="Wipro"/>
    <n v="5.13"/>
  </r>
  <r>
    <s v="STU_1733"/>
    <x v="3"/>
    <x v="0"/>
    <s v="TCS"/>
    <n v="4.1900000000000004"/>
  </r>
  <r>
    <s v="STU_1734"/>
    <x v="4"/>
    <x v="0"/>
    <s v="TCS"/>
    <n v="5.43"/>
  </r>
  <r>
    <s v="STU_1735"/>
    <x v="3"/>
    <x v="0"/>
    <s v="Infosys"/>
    <n v="4.12"/>
  </r>
  <r>
    <s v="STU_1736"/>
    <x v="4"/>
    <x v="0"/>
    <s v="Infosys"/>
    <n v="4.3499999999999996"/>
  </r>
  <r>
    <s v="STU_1737"/>
    <x v="0"/>
    <x v="0"/>
    <s v="Infosys"/>
    <n v="4.5"/>
  </r>
  <r>
    <s v="STU_1738"/>
    <x v="0"/>
    <x v="0"/>
    <s v="Infosys"/>
    <n v="3.92"/>
  </r>
  <r>
    <s v="STU_1739"/>
    <x v="1"/>
    <x v="1"/>
    <s v="N/A"/>
    <n v="0"/>
  </r>
  <r>
    <s v="STU_1740"/>
    <x v="3"/>
    <x v="0"/>
    <s v="Infosys"/>
    <n v="4.1100000000000003"/>
  </r>
  <r>
    <s v="STU_1741"/>
    <x v="1"/>
    <x v="1"/>
    <s v="N/A"/>
    <n v="0"/>
  </r>
  <r>
    <s v="STU_1742"/>
    <x v="3"/>
    <x v="0"/>
    <s v="Infosys"/>
    <n v="4.1900000000000004"/>
  </r>
  <r>
    <s v="STU_1743"/>
    <x v="1"/>
    <x v="0"/>
    <s v="Wipro"/>
    <n v="4.53"/>
  </r>
  <r>
    <s v="STU_1744"/>
    <x v="2"/>
    <x v="0"/>
    <s v="Infosys"/>
    <n v="5.13"/>
  </r>
  <r>
    <s v="STU_1745"/>
    <x v="2"/>
    <x v="0"/>
    <s v="Cognizant"/>
    <n v="4.1100000000000003"/>
  </r>
  <r>
    <s v="STU_1746"/>
    <x v="2"/>
    <x v="0"/>
    <s v="TCS"/>
    <n v="4.5599999999999996"/>
  </r>
  <r>
    <s v="STU_1747"/>
    <x v="2"/>
    <x v="0"/>
    <s v="Infosys"/>
    <n v="4.5"/>
  </r>
  <r>
    <s v="STU_1748"/>
    <x v="4"/>
    <x v="0"/>
    <s v="TCS"/>
    <n v="5.19"/>
  </r>
  <r>
    <s v="STU_1749"/>
    <x v="2"/>
    <x v="1"/>
    <s v="N/A"/>
    <n v="0"/>
  </r>
  <r>
    <s v="STU_1750"/>
    <x v="0"/>
    <x v="1"/>
    <s v="N/A"/>
    <n v="0"/>
  </r>
  <r>
    <s v="STU_1751"/>
    <x v="0"/>
    <x v="0"/>
    <s v="Wipro"/>
    <n v="4.5599999999999996"/>
  </r>
  <r>
    <s v="STU_1752"/>
    <x v="4"/>
    <x v="0"/>
    <s v="Cognizant"/>
    <n v="4.1900000000000004"/>
  </r>
  <r>
    <s v="STU_1753"/>
    <x v="2"/>
    <x v="0"/>
    <s v="TCS"/>
    <n v="5.43"/>
  </r>
  <r>
    <s v="STU_1754"/>
    <x v="2"/>
    <x v="0"/>
    <s v="Infosys"/>
    <n v="4.3"/>
  </r>
  <r>
    <s v="STU_1755"/>
    <x v="2"/>
    <x v="0"/>
    <s v="Wipro"/>
    <n v="5.15"/>
  </r>
  <r>
    <s v="STU_1756"/>
    <x v="1"/>
    <x v="0"/>
    <s v="Infosys"/>
    <n v="4.5"/>
  </r>
  <r>
    <s v="STU_1757"/>
    <x v="3"/>
    <x v="1"/>
    <s v="N/A"/>
    <n v="0"/>
  </r>
  <r>
    <s v="STU_1758"/>
    <x v="1"/>
    <x v="0"/>
    <s v="Infosys"/>
    <n v="5.13"/>
  </r>
  <r>
    <s v="STU_1759"/>
    <x v="3"/>
    <x v="0"/>
    <s v="Infosys"/>
    <n v="4.1900000000000004"/>
  </r>
  <r>
    <s v="STU_1760"/>
    <x v="2"/>
    <x v="1"/>
    <s v="N/A"/>
    <n v="0"/>
  </r>
  <r>
    <s v="STU_1761"/>
    <x v="2"/>
    <x v="0"/>
    <s v="Infosys"/>
    <n v="4.1100000000000003"/>
  </r>
  <r>
    <s v="STU_1762"/>
    <x v="1"/>
    <x v="1"/>
    <s v="N/A"/>
    <n v="0"/>
  </r>
  <r>
    <s v="STU_1763"/>
    <x v="1"/>
    <x v="0"/>
    <s v="Infosys"/>
    <n v="4.5599999999999996"/>
  </r>
  <r>
    <s v="STU_1764"/>
    <x v="3"/>
    <x v="0"/>
    <s v="TCS"/>
    <n v="5.13"/>
  </r>
  <r>
    <s v="STU_1765"/>
    <x v="0"/>
    <x v="0"/>
    <s v="Wipro"/>
    <n v="5.19"/>
  </r>
  <r>
    <s v="STU_1766"/>
    <x v="3"/>
    <x v="0"/>
    <s v="Infosys"/>
    <n v="4.12"/>
  </r>
  <r>
    <s v="STU_1767"/>
    <x v="1"/>
    <x v="0"/>
    <s v="TCS"/>
    <n v="5.13"/>
  </r>
  <r>
    <s v="STU_1768"/>
    <x v="1"/>
    <x v="0"/>
    <s v="Infosys"/>
    <n v="4.1900000000000004"/>
  </r>
  <r>
    <s v="STU_1769"/>
    <x v="4"/>
    <x v="0"/>
    <s v="TCS"/>
    <n v="4.5"/>
  </r>
  <r>
    <s v="STU_1770"/>
    <x v="1"/>
    <x v="1"/>
    <s v="N/A"/>
    <n v="0"/>
  </r>
  <r>
    <s v="STU_1771"/>
    <x v="4"/>
    <x v="0"/>
    <s v="Wipro"/>
    <n v="4.1100000000000003"/>
  </r>
  <r>
    <s v="STU_1772"/>
    <x v="0"/>
    <x v="1"/>
    <s v="N/A"/>
    <n v="0"/>
  </r>
  <r>
    <s v="STU_1773"/>
    <x v="3"/>
    <x v="0"/>
    <s v="TCS"/>
    <n v="5.13"/>
  </r>
  <r>
    <s v="STU_1774"/>
    <x v="3"/>
    <x v="0"/>
    <s v="TCS"/>
    <n v="5.19"/>
  </r>
  <r>
    <s v="STU_1775"/>
    <x v="4"/>
    <x v="0"/>
    <s v="Infosys"/>
    <n v="3.95"/>
  </r>
  <r>
    <s v="STU_1776"/>
    <x v="3"/>
    <x v="0"/>
    <s v="Infosys"/>
    <n v="4.5"/>
  </r>
  <r>
    <s v="STU_1777"/>
    <x v="1"/>
    <x v="1"/>
    <s v="N/A"/>
    <n v="0"/>
  </r>
  <r>
    <s v="STU_1778"/>
    <x v="2"/>
    <x v="0"/>
    <s v="Infosys"/>
    <n v="4.3499999999999996"/>
  </r>
  <r>
    <s v="STU_1779"/>
    <x v="4"/>
    <x v="0"/>
    <s v="TCS"/>
    <n v="4.12"/>
  </r>
  <r>
    <s v="STU_1780"/>
    <x v="3"/>
    <x v="0"/>
    <s v="TCS"/>
    <n v="5.43"/>
  </r>
  <r>
    <s v="STU_1781"/>
    <x v="4"/>
    <x v="1"/>
    <s v="N/A"/>
    <n v="0"/>
  </r>
  <r>
    <s v="STU_1782"/>
    <x v="4"/>
    <x v="0"/>
    <s v="Infosys"/>
    <n v="4.1900000000000004"/>
  </r>
  <r>
    <s v="STU_1783"/>
    <x v="2"/>
    <x v="0"/>
    <s v="Infosys"/>
    <n v="4.1100000000000003"/>
  </r>
  <r>
    <s v="STU_1784"/>
    <x v="1"/>
    <x v="1"/>
    <s v="N/A"/>
    <n v="0"/>
  </r>
  <r>
    <s v="STU_1785"/>
    <x v="4"/>
    <x v="0"/>
    <s v="Wipro"/>
    <n v="4.5599999999999996"/>
  </r>
  <r>
    <s v="STU_1786"/>
    <x v="3"/>
    <x v="0"/>
    <s v="Infosys"/>
    <n v="5.13"/>
  </r>
  <r>
    <s v="STU_1787"/>
    <x v="0"/>
    <x v="1"/>
    <s v="N/A"/>
    <n v="0"/>
  </r>
  <r>
    <s v="STU_1788"/>
    <x v="4"/>
    <x v="0"/>
    <s v="Infosys"/>
    <n v="4.12"/>
  </r>
  <r>
    <s v="STU_1789"/>
    <x v="4"/>
    <x v="0"/>
    <s v="Infosys"/>
    <n v="4.3499999999999996"/>
  </r>
  <r>
    <s v="STU_1790"/>
    <x v="2"/>
    <x v="0"/>
    <s v="TCS"/>
    <n v="4.5"/>
  </r>
  <r>
    <s v="STU_1791"/>
    <x v="1"/>
    <x v="0"/>
    <s v="Infosys"/>
    <n v="4.1900000000000004"/>
  </r>
  <r>
    <s v="STU_1792"/>
    <x v="0"/>
    <x v="0"/>
    <s v="Infosys"/>
    <n v="4.1100000000000003"/>
  </r>
  <r>
    <s v="STU_1793"/>
    <x v="3"/>
    <x v="0"/>
    <s v="Wipro"/>
    <n v="4.53"/>
  </r>
  <r>
    <s v="STU_1794"/>
    <x v="0"/>
    <x v="0"/>
    <s v="Wipro"/>
    <n v="5.13"/>
  </r>
  <r>
    <s v="STU_1795"/>
    <x v="3"/>
    <x v="1"/>
    <s v="N/A"/>
    <n v="0"/>
  </r>
  <r>
    <s v="STU_1796"/>
    <x v="1"/>
    <x v="0"/>
    <s v="Infosys"/>
    <n v="4.5"/>
  </r>
  <r>
    <s v="STU_1797"/>
    <x v="3"/>
    <x v="0"/>
    <s v="Infosys"/>
    <n v="4.3499999999999996"/>
  </r>
  <r>
    <s v="STU_1798"/>
    <x v="2"/>
    <x v="0"/>
    <s v="Infosys"/>
    <n v="4.1900000000000004"/>
  </r>
  <r>
    <s v="STU_1799"/>
    <x v="2"/>
    <x v="0"/>
    <s v="TCS"/>
    <n v="5.13"/>
  </r>
  <r>
    <s v="STU_1800"/>
    <x v="2"/>
    <x v="0"/>
    <s v="Wipro"/>
    <n v="4.12"/>
  </r>
  <r>
    <s v="STU_1801"/>
    <x v="2"/>
    <x v="0"/>
    <s v="Infosys"/>
    <n v="4.5599999999999996"/>
  </r>
  <r>
    <s v="STU_1802"/>
    <x v="0"/>
    <x v="1"/>
    <s v="N/A"/>
    <n v="0"/>
  </r>
  <r>
    <s v="STU_1803"/>
    <x v="1"/>
    <x v="0"/>
    <s v="Infosys"/>
    <n v="5.13"/>
  </r>
  <r>
    <s v="STU_1804"/>
    <x v="3"/>
    <x v="0"/>
    <s v="TCS"/>
    <n v="5.19"/>
  </r>
  <r>
    <s v="STU_1805"/>
    <x v="3"/>
    <x v="0"/>
    <s v="TCS"/>
    <n v="4.5"/>
  </r>
  <r>
    <s v="STU_1806"/>
    <x v="2"/>
    <x v="0"/>
    <s v="Infosys"/>
    <n v="4.1900000000000004"/>
  </r>
  <r>
    <s v="STU_1807"/>
    <x v="2"/>
    <x v="0"/>
    <s v="Infosys"/>
    <n v="4.1100000000000003"/>
  </r>
  <r>
    <s v="STU_1808"/>
    <x v="4"/>
    <x v="1"/>
    <s v="N/A"/>
    <n v="0"/>
  </r>
  <r>
    <s v="STU_1809"/>
    <x v="1"/>
    <x v="0"/>
    <s v="Wipro"/>
    <n v="4.5599999999999996"/>
  </r>
  <r>
    <s v="STU_1810"/>
    <x v="0"/>
    <x v="0"/>
    <s v="Infosys"/>
    <n v="5.13"/>
  </r>
  <r>
    <s v="STU_1811"/>
    <x v="3"/>
    <x v="1"/>
    <s v="N/A"/>
    <n v="0"/>
  </r>
  <r>
    <s v="STU_1812"/>
    <x v="4"/>
    <x v="0"/>
    <s v="Infosys"/>
    <n v="4.12"/>
  </r>
  <r>
    <s v="STU_1813"/>
    <x v="4"/>
    <x v="0"/>
    <s v="Infosys"/>
    <n v="4.3499999999999996"/>
  </r>
  <r>
    <s v="STU_1814"/>
    <x v="3"/>
    <x v="0"/>
    <s v="TCS"/>
    <n v="4.5"/>
  </r>
  <r>
    <s v="STU_1815"/>
    <x v="0"/>
    <x v="0"/>
    <s v="Infosys"/>
    <n v="4.1900000000000004"/>
  </r>
  <r>
    <s v="STU_1816"/>
    <x v="4"/>
    <x v="0"/>
    <s v="Infosys"/>
    <n v="4.1100000000000003"/>
  </r>
  <r>
    <s v="STU_1817"/>
    <x v="4"/>
    <x v="0"/>
    <s v="Wipro"/>
    <n v="4.53"/>
  </r>
  <r>
    <s v="STU_1818"/>
    <x v="1"/>
    <x v="0"/>
    <s v="Wipro"/>
    <n v="5.13"/>
  </r>
  <r>
    <s v="STU_1819"/>
    <x v="0"/>
    <x v="1"/>
    <s v="N/A"/>
    <n v="0"/>
  </r>
  <r>
    <s v="STU_1820"/>
    <x v="4"/>
    <x v="0"/>
    <s v="Infosys"/>
    <n v="4.5"/>
  </r>
  <r>
    <s v="STU_1821"/>
    <x v="0"/>
    <x v="0"/>
    <s v="Infosys"/>
    <n v="4.3499999999999996"/>
  </r>
  <r>
    <s v="STU_1822"/>
    <x v="3"/>
    <x v="0"/>
    <s v="Infosys"/>
    <n v="4.1900000000000004"/>
  </r>
  <r>
    <s v="STU_1823"/>
    <x v="2"/>
    <x v="0"/>
    <s v="TCS"/>
    <n v="5.13"/>
  </r>
  <r>
    <s v="STU_1824"/>
    <x v="4"/>
    <x v="0"/>
    <s v="Wipro"/>
    <n v="4.12"/>
  </r>
  <r>
    <s v="STU_1825"/>
    <x v="1"/>
    <x v="0"/>
    <s v="Infosys"/>
    <n v="4.5599999999999996"/>
  </r>
  <r>
    <s v="STU_1826"/>
    <x v="3"/>
    <x v="1"/>
    <s v="N/A"/>
    <n v="0"/>
  </r>
  <r>
    <s v="STU_1827"/>
    <x v="0"/>
    <x v="0"/>
    <s v="Infosys"/>
    <n v="5.13"/>
  </r>
  <r>
    <s v="STU_1828"/>
    <x v="3"/>
    <x v="0"/>
    <s v="TCS"/>
    <n v="5.19"/>
  </r>
  <r>
    <s v="STU_1829"/>
    <x v="4"/>
    <x v="0"/>
    <s v="TCS"/>
    <n v="4.5"/>
  </r>
  <r>
    <s v="STU_1830"/>
    <x v="0"/>
    <x v="0"/>
    <s v="Infosys"/>
    <n v="4.1900000000000004"/>
  </r>
  <r>
    <s v="STU_1831"/>
    <x v="2"/>
    <x v="0"/>
    <s v="Infosys"/>
    <n v="4.1100000000000003"/>
  </r>
  <r>
    <s v="STU_1832"/>
    <x v="3"/>
    <x v="1"/>
    <s v="N/A"/>
    <n v="0"/>
  </r>
  <r>
    <s v="STU_1833"/>
    <x v="4"/>
    <x v="0"/>
    <s v="Wipro"/>
    <n v="4.5599999999999996"/>
  </r>
  <r>
    <s v="STU_1834"/>
    <x v="1"/>
    <x v="0"/>
    <s v="Infosys"/>
    <n v="5.13"/>
  </r>
  <r>
    <s v="STU_1835"/>
    <x v="0"/>
    <x v="1"/>
    <s v="N/A"/>
    <n v="0"/>
  </r>
  <r>
    <s v="STU_1836"/>
    <x v="3"/>
    <x v="0"/>
    <s v="Infosys"/>
    <n v="4.12"/>
  </r>
  <r>
    <s v="STU_1837"/>
    <x v="3"/>
    <x v="0"/>
    <s v="Infosys"/>
    <n v="4.3499999999999996"/>
  </r>
  <r>
    <s v="STU_1838"/>
    <x v="2"/>
    <x v="0"/>
    <s v="TCS"/>
    <n v="4.5"/>
  </r>
  <r>
    <s v="STU_1839"/>
    <x v="2"/>
    <x v="0"/>
    <s v="Infosys"/>
    <n v="4.1900000000000004"/>
  </r>
  <r>
    <s v="STU_1840"/>
    <x v="1"/>
    <x v="0"/>
    <s v="Infosys"/>
    <n v="4.1100000000000003"/>
  </r>
  <r>
    <s v="STU_1841"/>
    <x v="1"/>
    <x v="0"/>
    <s v="Wipro"/>
    <n v="4.53"/>
  </r>
  <r>
    <s v="STU_1842"/>
    <x v="4"/>
    <x v="0"/>
    <s v="Wipro"/>
    <n v="5.13"/>
  </r>
  <r>
    <s v="STU_1843"/>
    <x v="4"/>
    <x v="1"/>
    <s v="N/A"/>
    <n v="0"/>
  </r>
  <r>
    <s v="STU_1844"/>
    <x v="1"/>
    <x v="0"/>
    <s v="Infosys"/>
    <n v="4.5"/>
  </r>
  <r>
    <s v="STU_1845"/>
    <x v="1"/>
    <x v="0"/>
    <s v="Infosys"/>
    <n v="4.3499999999999996"/>
  </r>
  <r>
    <s v="STU_1846"/>
    <x v="0"/>
    <x v="0"/>
    <s v="Infosys"/>
    <n v="4.1900000000000004"/>
  </r>
  <r>
    <s v="STU_1847"/>
    <x v="2"/>
    <x v="0"/>
    <s v="TCS"/>
    <n v="5.13"/>
  </r>
  <r>
    <s v="STU_1848"/>
    <x v="4"/>
    <x v="0"/>
    <s v="Wipro"/>
    <n v="4.12"/>
  </r>
  <r>
    <s v="STU_1849"/>
    <x v="2"/>
    <x v="0"/>
    <s v="Infosys"/>
    <n v="4.5599999999999996"/>
  </r>
  <r>
    <s v="STU_1850"/>
    <x v="2"/>
    <x v="1"/>
    <s v="N/A"/>
    <n v="0"/>
  </r>
  <r>
    <s v="STU_1851"/>
    <x v="1"/>
    <x v="0"/>
    <s v="Infosys"/>
    <n v="5.13"/>
  </r>
  <r>
    <s v="STU_1852"/>
    <x v="0"/>
    <x v="0"/>
    <s v="TCS"/>
    <n v="5.19"/>
  </r>
  <r>
    <s v="STU_1853"/>
    <x v="3"/>
    <x v="0"/>
    <s v="TCS"/>
    <n v="4.5"/>
  </r>
  <r>
    <s v="STU_1854"/>
    <x v="0"/>
    <x v="0"/>
    <s v="Infosys"/>
    <n v="4.1900000000000004"/>
  </r>
  <r>
    <s v="STU_1855"/>
    <x v="0"/>
    <x v="0"/>
    <s v="Infosys"/>
    <n v="4.1100000000000003"/>
  </r>
  <r>
    <s v="STU_1856"/>
    <x v="2"/>
    <x v="1"/>
    <s v="N/A"/>
    <n v="0"/>
  </r>
  <r>
    <s v="STU_1857"/>
    <x v="0"/>
    <x v="0"/>
    <s v="Wipro"/>
    <n v="4.5599999999999996"/>
  </r>
  <r>
    <s v="STU_1858"/>
    <x v="4"/>
    <x v="0"/>
    <s v="Infosys"/>
    <n v="5.13"/>
  </r>
  <r>
    <s v="STU_1859"/>
    <x v="2"/>
    <x v="1"/>
    <s v="N/A"/>
    <n v="0"/>
  </r>
  <r>
    <s v="STU_1860"/>
    <x v="4"/>
    <x v="0"/>
    <s v="Infosys"/>
    <n v="4.12"/>
  </r>
  <r>
    <s v="STU_1861"/>
    <x v="3"/>
    <x v="0"/>
    <s v="Infosys"/>
    <n v="4.3499999999999996"/>
  </r>
  <r>
    <s v="STU_1862"/>
    <x v="2"/>
    <x v="0"/>
    <s v="TCS"/>
    <n v="4.5"/>
  </r>
  <r>
    <s v="STU_1863"/>
    <x v="3"/>
    <x v="0"/>
    <s v="Infosys"/>
    <n v="4.1900000000000004"/>
  </r>
  <r>
    <s v="STU_1864"/>
    <x v="2"/>
    <x v="0"/>
    <s v="Infosys"/>
    <n v="4.1100000000000003"/>
  </r>
  <r>
    <s v="STU_1865"/>
    <x v="1"/>
    <x v="0"/>
    <s v="Wipro"/>
    <n v="4.53"/>
  </r>
  <r>
    <s v="STU_1866"/>
    <x v="0"/>
    <x v="0"/>
    <s v="Wipro"/>
    <n v="5.13"/>
  </r>
  <r>
    <s v="STU_1867"/>
    <x v="1"/>
    <x v="1"/>
    <s v="N/A"/>
    <n v="0"/>
  </r>
  <r>
    <s v="STU_1868"/>
    <x v="3"/>
    <x v="0"/>
    <s v="Infosys"/>
    <n v="4.5"/>
  </r>
  <r>
    <s v="STU_1869"/>
    <x v="0"/>
    <x v="0"/>
    <s v="Infosys"/>
    <n v="4.3499999999999996"/>
  </r>
  <r>
    <s v="STU_1870"/>
    <x v="2"/>
    <x v="0"/>
    <s v="Infosys"/>
    <n v="4.1900000000000004"/>
  </r>
  <r>
    <s v="STU_1871"/>
    <x v="0"/>
    <x v="0"/>
    <s v="TCS"/>
    <n v="5.13"/>
  </r>
  <r>
    <s v="STU_1872"/>
    <x v="4"/>
    <x v="0"/>
    <s v="Wipro"/>
    <n v="4.12"/>
  </r>
  <r>
    <s v="STU_1873"/>
    <x v="0"/>
    <x v="0"/>
    <s v="Infosys"/>
    <n v="4.5599999999999996"/>
  </r>
  <r>
    <s v="STU_1874"/>
    <x v="4"/>
    <x v="1"/>
    <s v="N/A"/>
    <n v="0"/>
  </r>
  <r>
    <s v="STU_1875"/>
    <x v="0"/>
    <x v="0"/>
    <s v="Infosys"/>
    <n v="5.13"/>
  </r>
  <r>
    <s v="STU_1876"/>
    <x v="4"/>
    <x v="0"/>
    <s v="TCS"/>
    <n v="5.19"/>
  </r>
  <r>
    <s v="STU_1877"/>
    <x v="3"/>
    <x v="0"/>
    <s v="TCS"/>
    <n v="4.5"/>
  </r>
  <r>
    <s v="STU_1878"/>
    <x v="1"/>
    <x v="0"/>
    <s v="Infosys"/>
    <n v="4.1900000000000004"/>
  </r>
  <r>
    <s v="STU_1879"/>
    <x v="2"/>
    <x v="0"/>
    <s v="Infosys"/>
    <n v="4.1100000000000003"/>
  </r>
  <r>
    <s v="STU_1880"/>
    <x v="0"/>
    <x v="1"/>
    <s v="N/A"/>
    <n v="0"/>
  </r>
  <r>
    <s v="STU_1881"/>
    <x v="1"/>
    <x v="0"/>
    <s v="Wipro"/>
    <n v="4.5599999999999996"/>
  </r>
  <r>
    <s v="STU_1882"/>
    <x v="2"/>
    <x v="0"/>
    <s v="Infosys"/>
    <n v="5.13"/>
  </r>
  <r>
    <s v="STU_1883"/>
    <x v="2"/>
    <x v="1"/>
    <s v="N/A"/>
    <n v="0"/>
  </r>
  <r>
    <s v="STU_1884"/>
    <x v="4"/>
    <x v="0"/>
    <s v="Infosys"/>
    <n v="4.12"/>
  </r>
  <r>
    <s v="STU_1885"/>
    <x v="3"/>
    <x v="0"/>
    <s v="Infosys"/>
    <n v="4.3499999999999996"/>
  </r>
  <r>
    <s v="STU_1886"/>
    <x v="3"/>
    <x v="0"/>
    <s v="TCS"/>
    <n v="4.5"/>
  </r>
  <r>
    <s v="STU_1887"/>
    <x v="1"/>
    <x v="0"/>
    <s v="Infosys"/>
    <n v="4.1900000000000004"/>
  </r>
  <r>
    <s v="STU_1888"/>
    <x v="3"/>
    <x v="0"/>
    <s v="Infosys"/>
    <n v="4.1100000000000003"/>
  </r>
  <r>
    <s v="STU_1889"/>
    <x v="0"/>
    <x v="0"/>
    <s v="Wipro"/>
    <n v="4.53"/>
  </r>
  <r>
    <s v="STU_1890"/>
    <x v="3"/>
    <x v="0"/>
    <s v="Wipro"/>
    <n v="5.13"/>
  </r>
  <r>
    <s v="STU_1891"/>
    <x v="1"/>
    <x v="1"/>
    <s v="N/A"/>
    <n v="0"/>
  </r>
  <r>
    <s v="STU_1892"/>
    <x v="3"/>
    <x v="0"/>
    <s v="Infosys"/>
    <n v="4.5"/>
  </r>
  <r>
    <s v="STU_1893"/>
    <x v="0"/>
    <x v="0"/>
    <s v="Infosys"/>
    <n v="4.3499999999999996"/>
  </r>
  <r>
    <s v="STU_1894"/>
    <x v="4"/>
    <x v="0"/>
    <s v="Infosys"/>
    <n v="4.1900000000000004"/>
  </r>
  <r>
    <s v="STU_1895"/>
    <x v="1"/>
    <x v="0"/>
    <s v="TCS"/>
    <n v="5.13"/>
  </r>
  <r>
    <s v="STU_1896"/>
    <x v="4"/>
    <x v="0"/>
    <s v="Wipro"/>
    <n v="4.12"/>
  </r>
  <r>
    <s v="STU_1897"/>
    <x v="4"/>
    <x v="0"/>
    <s v="Infosys"/>
    <n v="4.5599999999999996"/>
  </r>
  <r>
    <s v="STU_1898"/>
    <x v="4"/>
    <x v="1"/>
    <s v="N/A"/>
    <n v="0"/>
  </r>
  <r>
    <s v="STU_1899"/>
    <x v="2"/>
    <x v="0"/>
    <s v="Infosys"/>
    <n v="5.13"/>
  </r>
  <r>
    <s v="STU_1900"/>
    <x v="2"/>
    <x v="0"/>
    <s v="TCS"/>
    <n v="5.19"/>
  </r>
  <r>
    <s v="STU_1901"/>
    <x v="4"/>
    <x v="0"/>
    <s v="TCS"/>
    <n v="4.5"/>
  </r>
  <r>
    <s v="STU_1902"/>
    <x v="1"/>
    <x v="0"/>
    <s v="Infosys"/>
    <n v="4.1900000000000004"/>
  </r>
  <r>
    <s v="STU_1903"/>
    <x v="0"/>
    <x v="0"/>
    <s v="Infosys"/>
    <n v="4.1100000000000003"/>
  </r>
  <r>
    <s v="STU_1904"/>
    <x v="0"/>
    <x v="1"/>
    <s v="N/A"/>
    <n v="0"/>
  </r>
  <r>
    <s v="STU_1905"/>
    <x v="3"/>
    <x v="0"/>
    <s v="Wipro"/>
    <n v="4.5599999999999996"/>
  </r>
  <r>
    <s v="STU_1906"/>
    <x v="1"/>
    <x v="0"/>
    <s v="Infosys"/>
    <n v="5.13"/>
  </r>
  <r>
    <s v="STU_1907"/>
    <x v="2"/>
    <x v="1"/>
    <s v="N/A"/>
    <n v="0"/>
  </r>
  <r>
    <s v="STU_1908"/>
    <x v="4"/>
    <x v="0"/>
    <s v="Infosys"/>
    <n v="4.12"/>
  </r>
  <r>
    <s v="STU_1909"/>
    <x v="3"/>
    <x v="0"/>
    <s v="Infosys"/>
    <n v="4.3499999999999996"/>
  </r>
  <r>
    <s v="STU_1910"/>
    <x v="0"/>
    <x v="0"/>
    <s v="TCS"/>
    <n v="4.5"/>
  </r>
  <r>
    <s v="STU_1911"/>
    <x v="2"/>
    <x v="0"/>
    <s v="Infosys"/>
    <n v="4.1900000000000004"/>
  </r>
  <r>
    <s v="STU_1912"/>
    <x v="2"/>
    <x v="0"/>
    <s v="Infosys"/>
    <n v="4.1100000000000003"/>
  </r>
  <r>
    <s v="STU_1913"/>
    <x v="4"/>
    <x v="0"/>
    <s v="Wipro"/>
    <n v="4.53"/>
  </r>
  <r>
    <s v="STU_1914"/>
    <x v="0"/>
    <x v="0"/>
    <s v="Wipro"/>
    <n v="5.13"/>
  </r>
  <r>
    <s v="STU_1915"/>
    <x v="1"/>
    <x v="1"/>
    <s v="N/A"/>
    <n v="0"/>
  </r>
  <r>
    <s v="STU_1916"/>
    <x v="2"/>
    <x v="0"/>
    <s v="Infosys"/>
    <n v="4.5"/>
  </r>
  <r>
    <s v="STU_1917"/>
    <x v="4"/>
    <x v="0"/>
    <s v="Infosys"/>
    <n v="4.3499999999999996"/>
  </r>
  <r>
    <s v="STU_1918"/>
    <x v="1"/>
    <x v="0"/>
    <s v="Infosys"/>
    <n v="4.1900000000000004"/>
  </r>
  <r>
    <s v="STU_1919"/>
    <x v="0"/>
    <x v="0"/>
    <s v="TCS"/>
    <n v="5.13"/>
  </r>
  <r>
    <s v="STU_1920"/>
    <x v="2"/>
    <x v="0"/>
    <s v="Wipro"/>
    <n v="4.12"/>
  </r>
  <r>
    <s v="STU_1921"/>
    <x v="1"/>
    <x v="0"/>
    <s v="Infosys"/>
    <n v="4.5599999999999996"/>
  </r>
  <r>
    <s v="STU_1922"/>
    <x v="1"/>
    <x v="1"/>
    <s v="N/A"/>
    <n v="0"/>
  </r>
  <r>
    <s v="STU_1923"/>
    <x v="1"/>
    <x v="0"/>
    <s v="Infosys"/>
    <n v="5.13"/>
  </r>
  <r>
    <s v="STU_1924"/>
    <x v="2"/>
    <x v="0"/>
    <s v="TCS"/>
    <n v="5.19"/>
  </r>
  <r>
    <s v="STU_1925"/>
    <x v="2"/>
    <x v="0"/>
    <s v="TCS"/>
    <n v="4.5"/>
  </r>
  <r>
    <s v="STU_1926"/>
    <x v="3"/>
    <x v="0"/>
    <s v="Infosys"/>
    <n v="4.1900000000000004"/>
  </r>
  <r>
    <s v="STU_1927"/>
    <x v="0"/>
    <x v="0"/>
    <s v="Infosys"/>
    <n v="4.1100000000000003"/>
  </r>
  <r>
    <s v="STU_1928"/>
    <x v="4"/>
    <x v="1"/>
    <s v="N/A"/>
    <n v="0"/>
  </r>
  <r>
    <s v="STU_1929"/>
    <x v="1"/>
    <x v="0"/>
    <s v="Wipro"/>
    <n v="4.5599999999999996"/>
  </r>
  <r>
    <s v="STU_1930"/>
    <x v="3"/>
    <x v="0"/>
    <s v="Infosys"/>
    <n v="5.13"/>
  </r>
  <r>
    <s v="STU_1931"/>
    <x v="4"/>
    <x v="1"/>
    <s v="N/A"/>
    <n v="0"/>
  </r>
  <r>
    <s v="STU_1932"/>
    <x v="3"/>
    <x v="0"/>
    <s v="Infosys"/>
    <n v="4.12"/>
  </r>
  <r>
    <s v="STU_1933"/>
    <x v="2"/>
    <x v="0"/>
    <s v="Infosys"/>
    <n v="4.3499999999999996"/>
  </r>
  <r>
    <s v="STU_1934"/>
    <x v="1"/>
    <x v="0"/>
    <s v="TCS"/>
    <n v="4.5"/>
  </r>
  <r>
    <s v="STU_1935"/>
    <x v="4"/>
    <x v="0"/>
    <s v="Infosys"/>
    <n v="4.1900000000000004"/>
  </r>
  <r>
    <s v="STU_1936"/>
    <x v="4"/>
    <x v="0"/>
    <s v="Infosys"/>
    <n v="4.1100000000000003"/>
  </r>
  <r>
    <s v="STU_1937"/>
    <x v="4"/>
    <x v="0"/>
    <s v="Wipro"/>
    <n v="4.53"/>
  </r>
  <r>
    <s v="STU_1938"/>
    <x v="4"/>
    <x v="0"/>
    <s v="Wipro"/>
    <n v="5.13"/>
  </r>
  <r>
    <s v="STU_1939"/>
    <x v="4"/>
    <x v="1"/>
    <s v="N/A"/>
    <n v="0"/>
  </r>
  <r>
    <s v="STU_1940"/>
    <x v="3"/>
    <x v="0"/>
    <s v="Infosys"/>
    <n v="4.5"/>
  </r>
  <r>
    <s v="STU_1941"/>
    <x v="1"/>
    <x v="0"/>
    <s v="Infosys"/>
    <n v="4.3499999999999996"/>
  </r>
  <r>
    <s v="STU_1942"/>
    <x v="2"/>
    <x v="0"/>
    <s v="Infosys"/>
    <n v="4.1900000000000004"/>
  </r>
  <r>
    <s v="STU_1943"/>
    <x v="2"/>
    <x v="0"/>
    <s v="TCS"/>
    <n v="5.13"/>
  </r>
  <r>
    <s v="STU_1944"/>
    <x v="2"/>
    <x v="0"/>
    <s v="Wipro"/>
    <n v="4.12"/>
  </r>
  <r>
    <s v="STU_1945"/>
    <x v="2"/>
    <x v="0"/>
    <s v="Infosys"/>
    <n v="4.5599999999999996"/>
  </r>
  <r>
    <s v="STU_1946"/>
    <x v="3"/>
    <x v="1"/>
    <s v="N/A"/>
    <n v="0"/>
  </r>
  <r>
    <s v="STU_1947"/>
    <x v="0"/>
    <x v="0"/>
    <s v="Infosys"/>
    <n v="5.13"/>
  </r>
  <r>
    <s v="STU_1948"/>
    <x v="1"/>
    <x v="0"/>
    <s v="TCS"/>
    <n v="5.19"/>
  </r>
  <r>
    <s v="STU_1949"/>
    <x v="4"/>
    <x v="0"/>
    <s v="TCS"/>
    <n v="4.5"/>
  </r>
  <r>
    <s v="STU_1950"/>
    <x v="0"/>
    <x v="0"/>
    <s v="Infosys"/>
    <n v="4.1900000000000004"/>
  </r>
  <r>
    <s v="STU_1951"/>
    <x v="2"/>
    <x v="0"/>
    <s v="Infosys"/>
    <n v="4.1100000000000003"/>
  </r>
  <r>
    <s v="STU_1952"/>
    <x v="0"/>
    <x v="1"/>
    <s v="N/A"/>
    <n v="0"/>
  </r>
  <r>
    <s v="STU_1953"/>
    <x v="1"/>
    <x v="0"/>
    <s v="Wipro"/>
    <n v="4.5599999999999996"/>
  </r>
  <r>
    <s v="STU_1954"/>
    <x v="4"/>
    <x v="0"/>
    <s v="Infosys"/>
    <n v="5.13"/>
  </r>
  <r>
    <s v="STU_1955"/>
    <x v="4"/>
    <x v="1"/>
    <s v="N/A"/>
    <n v="0"/>
  </r>
  <r>
    <s v="STU_1956"/>
    <x v="1"/>
    <x v="0"/>
    <s v="Infosys"/>
    <n v="4.12"/>
  </r>
  <r>
    <s v="STU_1957"/>
    <x v="1"/>
    <x v="0"/>
    <s v="Infosys"/>
    <n v="4.3499999999999996"/>
  </r>
  <r>
    <s v="STU_1958"/>
    <x v="2"/>
    <x v="0"/>
    <s v="TCS"/>
    <n v="4.5"/>
  </r>
  <r>
    <s v="STU_1959"/>
    <x v="4"/>
    <x v="0"/>
    <s v="Infosys"/>
    <n v="4.1900000000000004"/>
  </r>
  <r>
    <s v="STU_1960"/>
    <x v="0"/>
    <x v="0"/>
    <s v="Infosys"/>
    <n v="4.1100000000000003"/>
  </r>
  <r>
    <s v="STU_1961"/>
    <x v="3"/>
    <x v="0"/>
    <s v="Wipro"/>
    <n v="4.53"/>
  </r>
  <r>
    <s v="STU_1962"/>
    <x v="3"/>
    <x v="0"/>
    <s v="Wipro"/>
    <n v="5.13"/>
  </r>
  <r>
    <s v="STU_1963"/>
    <x v="1"/>
    <x v="1"/>
    <s v="N/A"/>
    <n v="0"/>
  </r>
  <r>
    <s v="STU_1964"/>
    <x v="2"/>
    <x v="0"/>
    <s v="Infosys"/>
    <n v="4.5"/>
  </r>
  <r>
    <s v="STU_1965"/>
    <x v="3"/>
    <x v="0"/>
    <s v="Infosys"/>
    <n v="4.3499999999999996"/>
  </r>
  <r>
    <s v="STU_1966"/>
    <x v="4"/>
    <x v="0"/>
    <s v="Infosys"/>
    <n v="4.1900000000000004"/>
  </r>
  <r>
    <s v="STU_1967"/>
    <x v="1"/>
    <x v="0"/>
    <s v="TCS"/>
    <n v="5.13"/>
  </r>
  <r>
    <s v="STU_1968"/>
    <x v="0"/>
    <x v="0"/>
    <s v="Wipro"/>
    <n v="4.12"/>
  </r>
  <r>
    <s v="STU_1969"/>
    <x v="1"/>
    <x v="0"/>
    <s v="Infosys"/>
    <n v="4.5599999999999996"/>
  </r>
  <r>
    <s v="STU_1970"/>
    <x v="0"/>
    <x v="1"/>
    <s v="N/A"/>
    <n v="0"/>
  </r>
  <r>
    <s v="STU_1971"/>
    <x v="1"/>
    <x v="0"/>
    <s v="Infosys"/>
    <n v="5.13"/>
  </r>
  <r>
    <s v="STU_1972"/>
    <x v="1"/>
    <x v="0"/>
    <s v="TCS"/>
    <n v="5.19"/>
  </r>
  <r>
    <s v="STU_1973"/>
    <x v="1"/>
    <x v="0"/>
    <s v="TCS"/>
    <n v="4.5"/>
  </r>
  <r>
    <s v="STU_1974"/>
    <x v="0"/>
    <x v="0"/>
    <s v="Infosys"/>
    <n v="4.1900000000000004"/>
  </r>
  <r>
    <s v="STU_1975"/>
    <x v="0"/>
    <x v="0"/>
    <s v="Infosys"/>
    <n v="4.1100000000000003"/>
  </r>
  <r>
    <s v="STU_1976"/>
    <x v="1"/>
    <x v="1"/>
    <s v="N/A"/>
    <n v="0"/>
  </r>
  <r>
    <s v="STU_1977"/>
    <x v="3"/>
    <x v="0"/>
    <s v="Wipro"/>
    <n v="4.5599999999999996"/>
  </r>
  <r>
    <s v="STU_1978"/>
    <x v="2"/>
    <x v="0"/>
    <s v="Infosys"/>
    <n v="5.13"/>
  </r>
  <r>
    <s v="STU_1979"/>
    <x v="2"/>
    <x v="1"/>
    <s v="N/A"/>
    <n v="0"/>
  </r>
  <r>
    <s v="STU_1980"/>
    <x v="2"/>
    <x v="0"/>
    <s v="Infosys"/>
    <n v="4.12"/>
  </r>
  <r>
    <s v="STU_1981"/>
    <x v="0"/>
    <x v="0"/>
    <s v="Infosys"/>
    <n v="4.3499999999999996"/>
  </r>
  <r>
    <s v="STU_1982"/>
    <x v="0"/>
    <x v="0"/>
    <s v="TCS"/>
    <n v="4.5"/>
  </r>
  <r>
    <s v="STU_1983"/>
    <x v="3"/>
    <x v="0"/>
    <s v="Infosys"/>
    <n v="4.1900000000000004"/>
  </r>
  <r>
    <s v="STU_1984"/>
    <x v="2"/>
    <x v="0"/>
    <s v="Infosys"/>
    <n v="4.1100000000000003"/>
  </r>
  <r>
    <s v="STU_1985"/>
    <x v="2"/>
    <x v="0"/>
    <s v="Wipro"/>
    <n v="4.53"/>
  </r>
  <r>
    <s v="STU_1986"/>
    <x v="1"/>
    <x v="0"/>
    <s v="Wipro"/>
    <n v="5.13"/>
  </r>
  <r>
    <s v="STU_1987"/>
    <x v="0"/>
    <x v="1"/>
    <s v="N/A"/>
    <n v="0"/>
  </r>
  <r>
    <s v="STU_1988"/>
    <x v="2"/>
    <x v="0"/>
    <s v="Infosys"/>
    <n v="4.5"/>
  </r>
  <r>
    <s v="STU_1989"/>
    <x v="3"/>
    <x v="0"/>
    <s v="Infosys"/>
    <n v="4.3499999999999996"/>
  </r>
  <r>
    <s v="STU_1990"/>
    <x v="3"/>
    <x v="0"/>
    <s v="Infosys"/>
    <n v="4.1900000000000004"/>
  </r>
  <r>
    <s v="STU_1991"/>
    <x v="2"/>
    <x v="0"/>
    <s v="TCS"/>
    <n v="5.13"/>
  </r>
  <r>
    <s v="STU_1992"/>
    <x v="0"/>
    <x v="0"/>
    <s v="Wipro"/>
    <n v="4.12"/>
  </r>
  <r>
    <s v="STU_1993"/>
    <x v="3"/>
    <x v="0"/>
    <s v="Infosys"/>
    <n v="4.5599999999999996"/>
  </r>
  <r>
    <s v="STU_1994"/>
    <x v="1"/>
    <x v="1"/>
    <s v="N/A"/>
    <n v="0"/>
  </r>
  <r>
    <s v="STU_1995"/>
    <x v="3"/>
    <x v="0"/>
    <s v="Infosys"/>
    <n v="5.13"/>
  </r>
  <r>
    <s v="STU_1996"/>
    <x v="4"/>
    <x v="0"/>
    <s v="TCS"/>
    <n v="5.19"/>
  </r>
  <r>
    <s v="STU_1997"/>
    <x v="4"/>
    <x v="0"/>
    <s v="TCS"/>
    <n v="4.5"/>
  </r>
  <r>
    <s v="STU_1998"/>
    <x v="0"/>
    <x v="0"/>
    <s v="Infosys"/>
    <n v="4.1900000000000004"/>
  </r>
  <r>
    <s v="STU_1999"/>
    <x v="2"/>
    <x v="0"/>
    <s v="Infosys"/>
    <n v="4.1100000000000003"/>
  </r>
  <r>
    <m/>
    <x v="5"/>
    <x v="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TU_1000"/>
    <x v="0"/>
    <n v="72.75"/>
    <n v="6.5"/>
    <s v="BEGINNER"/>
    <n v="9.15"/>
    <n v="2"/>
    <n v="1"/>
    <n v="5.4"/>
    <s v="HIGH"/>
  </r>
  <r>
    <s v="STU_1001"/>
    <x v="1"/>
    <n v="86.6"/>
    <n v="6.75"/>
    <s v="EXPERIENCED"/>
    <n v="7.72"/>
    <n v="5"/>
    <n v="3"/>
    <n v="0"/>
    <s v="MEDIUM"/>
  </r>
  <r>
    <s v="STU_1002"/>
    <x v="2"/>
    <n v="54.15"/>
    <n v="6.25"/>
    <s v="EXPERIENCED"/>
    <n v="5.83"/>
    <n v="1"/>
    <n v="2"/>
    <n v="0"/>
    <s v="LOW"/>
  </r>
  <r>
    <s v="STU_1003"/>
    <x v="1"/>
    <n v="60.55"/>
    <n v="5.75"/>
    <s v="BEGINNER"/>
    <n v="7.91"/>
    <n v="2"/>
    <n v="1"/>
    <n v="6.06"/>
    <s v="MEDIUM"/>
  </r>
  <r>
    <s v="STU_1004"/>
    <x v="1"/>
    <n v="74"/>
    <n v="4.75"/>
    <s v="NOT EXPERIENCED"/>
    <n v="10"/>
    <n v="4"/>
    <n v="0"/>
    <n v="5.81"/>
    <s v="HIGH"/>
  </r>
  <r>
    <s v="STU_1005"/>
    <x v="3"/>
    <n v="41.75"/>
    <n v="6.75"/>
    <s v="NOT EXPERIENCED"/>
    <n v="5.75"/>
    <n v="3"/>
    <n v="0"/>
    <n v="13.94"/>
    <s v="LOW"/>
  </r>
  <r>
    <s v="STU_1006"/>
    <x v="2"/>
    <n v="65.400000000000006"/>
    <n v="5"/>
    <s v="NOT EXPERIENCED"/>
    <n v="9.08"/>
    <n v="4"/>
    <n v="0"/>
    <n v="5.21"/>
    <s v="HIGH"/>
  </r>
  <r>
    <s v="STU_1007"/>
    <x v="2"/>
    <n v="46.2"/>
    <n v="5.25"/>
    <s v="EXPERIENCED"/>
    <n v="6.04"/>
    <n v="0"/>
    <n v="2"/>
    <n v="0"/>
    <s v="LOW"/>
  </r>
  <r>
    <s v="STU_1008"/>
    <x v="2"/>
    <n v="69.55"/>
    <n v="7.25"/>
    <s v="BEGINNER"/>
    <n v="8.91"/>
    <n v="2"/>
    <n v="1"/>
    <n v="6.96"/>
    <s v="HIGH"/>
  </r>
  <r>
    <s v="STU_1009"/>
    <x v="1"/>
    <n v="71.349999999999994"/>
    <n v="6.25"/>
    <s v="EXPERIENCED"/>
    <n v="8.67"/>
    <n v="0"/>
    <n v="2"/>
    <n v="0"/>
    <s v="HIGH"/>
  </r>
  <r>
    <s v="STU_1010"/>
    <x v="0"/>
    <n v="42.5"/>
    <n v="6.25"/>
    <s v="NOT EXPERIENCED"/>
    <n v="6.5"/>
    <n v="0"/>
    <n v="0"/>
    <n v="8.2799999999999994"/>
    <s v="MEDIUM"/>
  </r>
  <r>
    <s v="STU_1011"/>
    <x v="2"/>
    <n v="75.150000000000006"/>
    <n v="8.25"/>
    <s v="EXPERIENCED"/>
    <n v="6.63"/>
    <n v="5"/>
    <n v="3"/>
    <n v="0"/>
    <s v="MEDIUM"/>
  </r>
  <r>
    <s v="STU_1012"/>
    <x v="1"/>
    <n v="77.800000000000011"/>
    <n v="7.75"/>
    <s v="EXPERIENCED"/>
    <n v="8.9600000000000009"/>
    <n v="1"/>
    <n v="2"/>
    <n v="0"/>
    <s v="HIGH"/>
  </r>
  <r>
    <s v="STU_1013"/>
    <x v="3"/>
    <n v="55.55"/>
    <n v="3"/>
    <s v="NOT EXPERIENCED"/>
    <n v="7.31"/>
    <n v="5"/>
    <n v="0"/>
    <n v="14.48"/>
    <s v="MEDIUM"/>
  </r>
  <r>
    <s v="STU_1014"/>
    <x v="0"/>
    <n v="55.25"/>
    <n v="6.25"/>
    <s v="NOT EXPERIENCED"/>
    <n v="8.65"/>
    <n v="2"/>
    <n v="0"/>
    <n v="5.49"/>
    <s v="HIGH"/>
  </r>
  <r>
    <s v="STU_1015"/>
    <x v="3"/>
    <n v="34.700000000000003"/>
    <n v="5.5"/>
    <s v="NOT EXPERIENCED"/>
    <n v="5.74"/>
    <n v="0"/>
    <n v="0"/>
    <n v="4.01"/>
    <s v="LOW"/>
  </r>
  <r>
    <s v="STU_1016"/>
    <x v="0"/>
    <n v="78.3"/>
    <n v="4.5"/>
    <s v="BEGINNER"/>
    <n v="9.26"/>
    <n v="3"/>
    <n v="1"/>
    <n v="0"/>
    <s v="HIGH"/>
  </r>
  <r>
    <s v="STU_1017"/>
    <x v="1"/>
    <n v="61.75"/>
    <n v="6.5"/>
    <s v="BEGINNER"/>
    <n v="8.5500000000000007"/>
    <n v="0"/>
    <n v="1"/>
    <n v="5.18"/>
    <s v="HIGH"/>
  </r>
  <r>
    <s v="STU_1018"/>
    <x v="4"/>
    <n v="77.650000000000006"/>
    <n v="4.5"/>
    <s v="BEGINNER"/>
    <n v="9.5299999999999994"/>
    <n v="3"/>
    <n v="1"/>
    <n v="4.3"/>
    <s v="HIGH"/>
  </r>
  <r>
    <s v="STU_1019"/>
    <x v="0"/>
    <n v="63.3"/>
    <n v="6.5"/>
    <s v="NOT EXPERIENCED"/>
    <n v="5.66"/>
    <n v="5"/>
    <n v="0"/>
    <n v="4.33"/>
    <s v="LOW"/>
  </r>
  <r>
    <s v="STU_1020"/>
    <x v="3"/>
    <n v="77.849999999999994"/>
    <n v="6.75"/>
    <s v="BEGINNER"/>
    <n v="7.97"/>
    <n v="5"/>
    <n v="1"/>
    <n v="6.86"/>
    <s v="MEDIUM"/>
  </r>
  <r>
    <s v="STU_1021"/>
    <x v="1"/>
    <n v="55"/>
    <n v="4.5"/>
    <s v="NOT EXPERIENCED"/>
    <n v="8"/>
    <n v="1"/>
    <n v="0"/>
    <n v="5.08"/>
    <s v="MEDIUM"/>
  </r>
  <r>
    <s v="STU_1022"/>
    <x v="0"/>
    <n v="41.849999999999994"/>
    <n v="6"/>
    <s v="NOT EXPERIENCED"/>
    <n v="6.77"/>
    <n v="0"/>
    <n v="0"/>
    <n v="4.41"/>
    <s v="MEDIUM"/>
  </r>
  <r>
    <s v="STU_1023"/>
    <x v="4"/>
    <n v="55.45"/>
    <n v="5.5"/>
    <s v="BEGINNER"/>
    <n v="7.29"/>
    <n v="4"/>
    <n v="1"/>
    <n v="4.67"/>
    <s v="MEDIUM"/>
  </r>
  <r>
    <s v="STU_1024"/>
    <x v="4"/>
    <n v="61.95"/>
    <n v="7.75"/>
    <s v="BEGINNER"/>
    <n v="5.19"/>
    <n v="5"/>
    <n v="1"/>
    <n v="5.33"/>
    <s v="LOW"/>
  </r>
  <r>
    <s v="STU_1025"/>
    <x v="2"/>
    <n v="82.65"/>
    <n v="5.25"/>
    <s v="EXPERIENCED"/>
    <n v="8.73"/>
    <n v="5"/>
    <n v="2"/>
    <n v="6.99"/>
    <s v="HIGH"/>
  </r>
  <r>
    <s v="STU_1026"/>
    <x v="2"/>
    <n v="45.75"/>
    <n v="3.5"/>
    <s v="NOT EXPERIENCED"/>
    <n v="7.75"/>
    <n v="1"/>
    <n v="0"/>
    <n v="4.1399999999999997"/>
    <s v="MEDIUM"/>
  </r>
  <r>
    <s v="STU_1027"/>
    <x v="3"/>
    <n v="56.45"/>
    <n v="4.75"/>
    <s v="BEGINNER"/>
    <n v="5.29"/>
    <n v="3"/>
    <n v="1"/>
    <n v="9.31"/>
    <s v="LOW"/>
  </r>
  <r>
    <s v="STU_1028"/>
    <x v="0"/>
    <n v="60"/>
    <n v="6"/>
    <s v="BEGINNER"/>
    <n v="8.4"/>
    <n v="1"/>
    <n v="1"/>
    <n v="4.5"/>
    <s v="HIGH"/>
  </r>
  <r>
    <s v="STU_1029"/>
    <x v="0"/>
    <n v="50.65"/>
    <n v="4.75"/>
    <s v="NOT EXPERIENCED"/>
    <n v="7.33"/>
    <n v="0"/>
    <n v="0"/>
    <n v="0"/>
    <s v="MEDIUM"/>
  </r>
  <r>
    <s v="STU_1030"/>
    <x v="2"/>
    <n v="44.85"/>
    <n v="7.25"/>
    <s v="BEGINNER"/>
    <n v="5.17"/>
    <n v="2"/>
    <n v="1"/>
    <n v="4.88"/>
    <s v="LOW"/>
  </r>
  <r>
    <s v="STU_1031"/>
    <x v="0"/>
    <n v="65.25"/>
    <n v="4.75"/>
    <s v="NOT EXPERIENCED"/>
    <n v="9.85"/>
    <n v="2"/>
    <n v="0"/>
    <n v="11.39"/>
    <s v="HIGH"/>
  </r>
  <r>
    <s v="STU_1032"/>
    <x v="0"/>
    <n v="73.75"/>
    <n v="7.5"/>
    <s v="NOT EXPERIENCED"/>
    <n v="9.75"/>
    <n v="3"/>
    <n v="0"/>
    <n v="6.17"/>
    <s v="HIGH"/>
  </r>
  <r>
    <s v="STU_1033"/>
    <x v="4"/>
    <n v="69.8"/>
    <n v="2.75"/>
    <s v="EXPERIENCED"/>
    <n v="7.56"/>
    <n v="5"/>
    <n v="3"/>
    <n v="5.13"/>
    <s v="MEDIUM"/>
  </r>
  <r>
    <s v="STU_1034"/>
    <x v="2"/>
    <n v="53.349999999999994"/>
    <n v="5"/>
    <s v="EXPERIENCED"/>
    <n v="5.47"/>
    <n v="3"/>
    <n v="3"/>
    <n v="4.37"/>
    <s v="LOW"/>
  </r>
  <r>
    <s v="STU_1035"/>
    <x v="1"/>
    <n v="76.849999999999994"/>
    <n v="6.25"/>
    <s v="EXPERIENCED"/>
    <n v="8.77"/>
    <n v="5"/>
    <n v="2"/>
    <n v="4.3600000000000003"/>
    <s v="HIGH"/>
  </r>
  <r>
    <s v="STU_1036"/>
    <x v="2"/>
    <n v="63.3"/>
    <n v="6.5"/>
    <s v="BEGINNER"/>
    <n v="7.46"/>
    <n v="5"/>
    <n v="1"/>
    <n v="0"/>
    <s v="MEDIUM"/>
  </r>
  <r>
    <s v="STU_1037"/>
    <x v="1"/>
    <n v="58.55"/>
    <n v="7.25"/>
    <s v="NOT EXPERIENCED"/>
    <n v="6.51"/>
    <n v="2"/>
    <n v="0"/>
    <n v="4.5599999999999996"/>
    <s v="MEDIUM"/>
  </r>
  <r>
    <s v="STU_1038"/>
    <x v="4"/>
    <n v="55.3"/>
    <n v="3.75"/>
    <s v="BEGINNER"/>
    <n v="7.46"/>
    <n v="3"/>
    <n v="1"/>
    <n v="4.5599999999999996"/>
    <s v="MEDIUM"/>
  </r>
  <r>
    <s v="STU_1039"/>
    <x v="3"/>
    <n v="52.050000000000004"/>
    <n v="5.75"/>
    <s v="BEGINNER"/>
    <n v="7.61"/>
    <n v="1"/>
    <n v="1"/>
    <n v="3.56"/>
    <s v="MEDIUM"/>
  </r>
  <r>
    <s v="STU_1040"/>
    <x v="0"/>
    <n v="56.05"/>
    <n v="5.25"/>
    <s v="NOT EXPERIENCED"/>
    <n v="7.81"/>
    <n v="5"/>
    <n v="0"/>
    <n v="0"/>
    <s v="MEDIUM"/>
  </r>
  <r>
    <s v="STU_1041"/>
    <x v="4"/>
    <n v="55.05"/>
    <n v="3.25"/>
    <s v="BEGINNER"/>
    <n v="7.21"/>
    <n v="4"/>
    <n v="1"/>
    <n v="4.53"/>
    <s v="MEDIUM"/>
  </r>
  <r>
    <s v="STU_1042"/>
    <x v="0"/>
    <n v="64.150000000000006"/>
    <n v="5.5"/>
    <s v="NOT EXPERIENCED"/>
    <n v="8.0299999999999994"/>
    <n v="4"/>
    <n v="0"/>
    <n v="4.68"/>
    <s v="HIGH"/>
  </r>
  <r>
    <s v="STU_1043"/>
    <x v="3"/>
    <n v="75.95"/>
    <n v="7.25"/>
    <s v="EXPERIENCED"/>
    <n v="9.59"/>
    <n v="1"/>
    <n v="3"/>
    <n v="36.56"/>
    <s v="HIGH"/>
  </r>
  <r>
    <s v="STU_1044"/>
    <x v="3"/>
    <n v="62.05"/>
    <n v="7.25"/>
    <s v="NOT EXPERIENCED"/>
    <n v="6.81"/>
    <n v="4"/>
    <n v="0"/>
    <n v="4.1900000000000004"/>
    <s v="MEDIUM"/>
  </r>
  <r>
    <s v="STU_1045"/>
    <x v="4"/>
    <n v="52.150000000000006"/>
    <n v="4"/>
    <s v="BEGINNER"/>
    <n v="8.6300000000000008"/>
    <n v="0"/>
    <n v="1"/>
    <n v="0"/>
    <s v="HIGH"/>
  </r>
  <r>
    <s v="STU_1046"/>
    <x v="3"/>
    <n v="75.349999999999994"/>
    <n v="2.5"/>
    <s v="BEGINNER"/>
    <n v="9.4700000000000006"/>
    <n v="5"/>
    <n v="1"/>
    <n v="6.71"/>
    <s v="HIGH"/>
  </r>
  <r>
    <s v="STU_1047"/>
    <x v="1"/>
    <n v="60.4"/>
    <n v="6.5"/>
    <s v="BEGINNER"/>
    <n v="7.28"/>
    <n v="1"/>
    <n v="1"/>
    <n v="0"/>
    <s v="MEDIUM"/>
  </r>
  <r>
    <s v="STU_1048"/>
    <x v="3"/>
    <n v="62.1"/>
    <n v="4.75"/>
    <s v="BEGINNER"/>
    <n v="7.22"/>
    <n v="3"/>
    <n v="1"/>
    <n v="0"/>
    <s v="MEDIUM"/>
  </r>
  <r>
    <s v="STU_1049"/>
    <x v="0"/>
    <n v="57.05"/>
    <n v="4.75"/>
    <s v="NOT EXPERIENCED"/>
    <n v="8.01"/>
    <n v="5"/>
    <n v="0"/>
    <n v="4.24"/>
    <s v="HIGH"/>
  </r>
  <r>
    <s v="STU_1050"/>
    <x v="0"/>
    <n v="65.8"/>
    <n v="3.5"/>
    <s v="EXPERIENCED"/>
    <n v="7.96"/>
    <n v="1"/>
    <n v="3"/>
    <n v="4.09"/>
    <s v="MEDIUM"/>
  </r>
  <r>
    <s v="STU_1051"/>
    <x v="0"/>
    <n v="63.15"/>
    <n v="3.75"/>
    <s v="EXPERIENCED"/>
    <n v="9.0299999999999994"/>
    <n v="2"/>
    <n v="2"/>
    <n v="3.95"/>
    <s v="HIGH"/>
  </r>
  <r>
    <s v="STU_1052"/>
    <x v="0"/>
    <n v="64.900000000000006"/>
    <n v="4"/>
    <s v="EXPERIENCED"/>
    <n v="7.38"/>
    <n v="3"/>
    <n v="3"/>
    <n v="4.16"/>
    <s v="MEDIUM"/>
  </r>
  <r>
    <s v="STU_1053"/>
    <x v="1"/>
    <n v="75.900000000000006"/>
    <n v="5"/>
    <s v="EXPERIENCED"/>
    <n v="9.98"/>
    <n v="2"/>
    <n v="2"/>
    <n v="4.22"/>
    <s v="HIGH"/>
  </r>
  <r>
    <s v="STU_1054"/>
    <x v="2"/>
    <n v="62.5"/>
    <n v="8.5"/>
    <s v="BEGINNER"/>
    <n v="5.3"/>
    <n v="5"/>
    <n v="1"/>
    <n v="9.2200000000000006"/>
    <s v="LOW"/>
  </r>
  <r>
    <s v="STU_1055"/>
    <x v="4"/>
    <n v="65.099999999999994"/>
    <n v="6.5"/>
    <s v="EXPERIENCED"/>
    <n v="5.0199999999999996"/>
    <n v="3"/>
    <n v="3"/>
    <n v="5.26"/>
    <s v="LOW"/>
  </r>
  <r>
    <s v="STU_1056"/>
    <x v="0"/>
    <n v="59"/>
    <n v="4.75"/>
    <s v="NOT EXPERIENCED"/>
    <n v="8.1999999999999993"/>
    <n v="4"/>
    <n v="0"/>
    <n v="5.85"/>
    <s v="HIGH"/>
  </r>
  <r>
    <s v="STU_1057"/>
    <x v="3"/>
    <n v="43.45"/>
    <n v="6.25"/>
    <s v="NOT EXPERIENCED"/>
    <n v="6.49"/>
    <n v="1"/>
    <n v="0"/>
    <n v="10.63"/>
    <s v="LOW"/>
  </r>
  <r>
    <s v="STU_1058"/>
    <x v="0"/>
    <n v="66"/>
    <n v="7"/>
    <s v="NOT EXPERIENCED"/>
    <n v="6.2"/>
    <n v="5"/>
    <n v="0"/>
    <n v="6.34"/>
    <s v="LOW"/>
  </r>
  <r>
    <s v="STU_1059"/>
    <x v="3"/>
    <n v="49.8"/>
    <n v="6.25"/>
    <s v="BEGINNER"/>
    <n v="6.56"/>
    <n v="0"/>
    <n v="1"/>
    <n v="0"/>
    <s v="MEDIUM"/>
  </r>
  <r>
    <s v="STU_1060"/>
    <x v="3"/>
    <n v="65.400000000000006"/>
    <n v="5.75"/>
    <s v="BEGINNER"/>
    <n v="6.28"/>
    <n v="3"/>
    <n v="1"/>
    <n v="4.72"/>
    <s v="LOW"/>
  </r>
  <r>
    <s v="STU_1061"/>
    <x v="0"/>
    <n v="40.75"/>
    <n v="3.5"/>
    <s v="NOT EXPERIENCED"/>
    <n v="5.15"/>
    <n v="3"/>
    <n v="0"/>
    <n v="0"/>
    <s v="LOW"/>
  </r>
  <r>
    <s v="STU_1062"/>
    <x v="1"/>
    <n v="78.3"/>
    <n v="3.25"/>
    <s v="EXPERIENCED"/>
    <n v="9.86"/>
    <n v="5"/>
    <n v="2"/>
    <n v="6.15"/>
    <s v="HIGH"/>
  </r>
  <r>
    <s v="STU_1063"/>
    <x v="3"/>
    <n v="62.5"/>
    <n v="8.25"/>
    <s v="BEGINNER"/>
    <n v="6.1"/>
    <n v="5"/>
    <n v="1"/>
    <n v="5.43"/>
    <s v="LOW"/>
  </r>
  <r>
    <s v="STU_1064"/>
    <x v="3"/>
    <n v="59.35"/>
    <n v="3"/>
    <s v="NOT EXPERIENCED"/>
    <n v="8.67"/>
    <n v="2"/>
    <n v="0"/>
    <n v="0"/>
    <s v="HIGH"/>
  </r>
  <r>
    <s v="STU_1065"/>
    <x v="0"/>
    <n v="81.050000000000011"/>
    <n v="8.25"/>
    <s v="BEGINNER"/>
    <n v="8.81"/>
    <n v="4"/>
    <n v="1"/>
    <n v="5.15"/>
    <s v="HIGH"/>
  </r>
  <r>
    <s v="STU_1066"/>
    <x v="3"/>
    <n v="64.25"/>
    <n v="4"/>
    <s v="NOT EXPERIENCED"/>
    <n v="9.65"/>
    <n v="2"/>
    <n v="0"/>
    <n v="6.03"/>
    <s v="HIGH"/>
  </r>
  <r>
    <s v="STU_1067"/>
    <x v="3"/>
    <n v="61.75"/>
    <n v="7.5"/>
    <s v="EXPERIENCED"/>
    <n v="5.15"/>
    <n v="2"/>
    <n v="2"/>
    <n v="8.4700000000000006"/>
    <s v="LOW"/>
  </r>
  <r>
    <s v="STU_1068"/>
    <x v="0"/>
    <n v="68.8"/>
    <n v="4.25"/>
    <s v="NOT EXPERIENCED"/>
    <n v="9.36"/>
    <n v="4"/>
    <n v="0"/>
    <n v="8.2200000000000006"/>
    <s v="HIGH"/>
  </r>
  <r>
    <s v="STU_1069"/>
    <x v="0"/>
    <n v="73.199999999999989"/>
    <n v="7.75"/>
    <s v="EXPERIENCED"/>
    <n v="7.64"/>
    <n v="0"/>
    <n v="3"/>
    <n v="4.96"/>
    <s v="MEDIUM"/>
  </r>
  <r>
    <s v="STU_1070"/>
    <x v="4"/>
    <n v="66.8"/>
    <n v="7.5"/>
    <s v="EXPERIENCED"/>
    <n v="8.16"/>
    <n v="2"/>
    <n v="2"/>
    <n v="0"/>
    <s v="HIGH"/>
  </r>
  <r>
    <s v="STU_1071"/>
    <x v="1"/>
    <n v="53.1"/>
    <n v="2.5"/>
    <s v="NOT EXPERIENCED"/>
    <n v="8.2200000000000006"/>
    <n v="2"/>
    <n v="0"/>
    <n v="4.8600000000000003"/>
    <s v="HIGH"/>
  </r>
  <r>
    <s v="STU_1072"/>
    <x v="1"/>
    <n v="68.5"/>
    <n v="5.5"/>
    <s v="NOT EXPERIENCED"/>
    <n v="9.1"/>
    <n v="3"/>
    <n v="0"/>
    <n v="0"/>
    <s v="HIGH"/>
  </r>
  <r>
    <s v="STU_1073"/>
    <x v="3"/>
    <n v="67.349999999999994"/>
    <n v="5.5"/>
    <s v="EXPERIENCED"/>
    <n v="6.67"/>
    <n v="4"/>
    <n v="2"/>
    <n v="4.51"/>
    <s v="MEDIUM"/>
  </r>
  <r>
    <s v="STU_1074"/>
    <x v="1"/>
    <n v="64.349999999999994"/>
    <n v="5.5"/>
    <s v="EXPERIENCED"/>
    <n v="8.67"/>
    <n v="1"/>
    <n v="2"/>
    <n v="5.49"/>
    <s v="HIGH"/>
  </r>
  <r>
    <s v="STU_1075"/>
    <x v="3"/>
    <n v="52.199999999999996"/>
    <n v="6.5"/>
    <s v="EXPERIENCED"/>
    <n v="7.64"/>
    <n v="0"/>
    <n v="2"/>
    <n v="13.79"/>
    <s v="MEDIUM"/>
  </r>
  <r>
    <s v="STU_1076"/>
    <x v="4"/>
    <n v="72.849999999999994"/>
    <n v="6.25"/>
    <s v="EXPERIENCED"/>
    <n v="8.9700000000000006"/>
    <n v="0"/>
    <n v="2"/>
    <n v="6.92"/>
    <s v="HIGH"/>
  </r>
  <r>
    <s v="STU_1077"/>
    <x v="0"/>
    <n v="63.75"/>
    <n v="4.75"/>
    <s v="NOT EXPERIENCED"/>
    <n v="9.9499999999999993"/>
    <n v="4"/>
    <n v="0"/>
    <n v="4.59"/>
    <s v="HIGH"/>
  </r>
  <r>
    <s v="STU_1078"/>
    <x v="0"/>
    <n v="58"/>
    <n v="3.5"/>
    <s v="BEGINNER"/>
    <n v="6"/>
    <n v="5"/>
    <n v="1"/>
    <n v="0"/>
    <s v="LOW"/>
  </r>
  <r>
    <s v="STU_1079"/>
    <x v="0"/>
    <n v="66.849999999999994"/>
    <n v="6"/>
    <s v="NOT EXPERIENCED"/>
    <n v="9.9700000000000006"/>
    <n v="5"/>
    <n v="0"/>
    <n v="11.23"/>
    <s v="HIGH"/>
  </r>
  <r>
    <s v="STU_1080"/>
    <x v="1"/>
    <n v="58.25"/>
    <n v="4.25"/>
    <s v="EXPERIENCED"/>
    <n v="5.45"/>
    <n v="3"/>
    <n v="2"/>
    <n v="6.16"/>
    <s v="LOW"/>
  </r>
  <r>
    <s v="STU_1081"/>
    <x v="4"/>
    <n v="47.05"/>
    <n v="6.5"/>
    <s v="BEGINNER"/>
    <n v="5.01"/>
    <n v="3"/>
    <n v="1"/>
    <n v="5.65"/>
    <s v="LOW"/>
  </r>
  <r>
    <s v="STU_1082"/>
    <x v="1"/>
    <n v="53.099999999999994"/>
    <n v="5.5"/>
    <s v="BEGINNER"/>
    <n v="5.22"/>
    <n v="4"/>
    <n v="1"/>
    <n v="4.18"/>
    <s v="LOW"/>
  </r>
  <r>
    <s v="STU_1083"/>
    <x v="1"/>
    <n v="52.55"/>
    <n v="2.75"/>
    <s v="NOT EXPERIENCED"/>
    <n v="6.71"/>
    <n v="3"/>
    <n v="0"/>
    <n v="4.5999999999999996"/>
    <s v="MEDIUM"/>
  </r>
  <r>
    <s v="STU_1084"/>
    <x v="4"/>
    <n v="63.8"/>
    <n v="6.75"/>
    <s v="BEGINNER"/>
    <n v="8.16"/>
    <n v="0"/>
    <n v="1"/>
    <n v="4.22"/>
    <s v="HIGH"/>
  </r>
  <r>
    <s v="STU_1085"/>
    <x v="4"/>
    <n v="33.75"/>
    <n v="4"/>
    <s v="BEGINNER"/>
    <n v="5.35"/>
    <n v="0"/>
    <n v="1"/>
    <n v="0"/>
    <s v="LOW"/>
  </r>
  <r>
    <s v="STU_1086"/>
    <x v="4"/>
    <n v="42.150000000000006"/>
    <n v="2"/>
    <s v="EXPERIENCED"/>
    <n v="5.03"/>
    <n v="1"/>
    <n v="2"/>
    <n v="6.32"/>
    <s v="LOW"/>
  </r>
  <r>
    <s v="STU_1087"/>
    <x v="4"/>
    <n v="80.449999999999989"/>
    <n v="3.75"/>
    <s v="BEGINNER"/>
    <n v="9.69"/>
    <n v="5"/>
    <n v="1"/>
    <n v="4.3"/>
    <s v="HIGH"/>
  </r>
  <r>
    <s v="STU_1088"/>
    <x v="0"/>
    <n v="77.55"/>
    <n v="4.5"/>
    <s v="EXPERIENCED"/>
    <n v="9.11"/>
    <n v="4"/>
    <n v="2"/>
    <n v="4.33"/>
    <s v="HIGH"/>
  </r>
  <r>
    <s v="STU_1089"/>
    <x v="2"/>
    <n v="70.25"/>
    <n v="3.5"/>
    <s v="BEGINNER"/>
    <n v="9.0500000000000007"/>
    <n v="2"/>
    <n v="1"/>
    <n v="5.98"/>
    <s v="HIGH"/>
  </r>
  <r>
    <s v="STU_1090"/>
    <x v="2"/>
    <n v="68.099999999999994"/>
    <n v="4.25"/>
    <s v="NOT EXPERIENCED"/>
    <n v="9.42"/>
    <n v="5"/>
    <n v="0"/>
    <n v="5.55"/>
    <s v="HIGH"/>
  </r>
  <r>
    <s v="STU_1091"/>
    <x v="4"/>
    <n v="64.5"/>
    <n v="3.75"/>
    <s v="EXPERIENCED"/>
    <n v="8.5"/>
    <n v="2"/>
    <n v="2"/>
    <n v="3.92"/>
    <s v="HIGH"/>
  </r>
  <r>
    <s v="STU_1092"/>
    <x v="2"/>
    <n v="60.599999999999994"/>
    <n v="4.5"/>
    <s v="EXPERIENCED"/>
    <n v="5.52"/>
    <n v="1"/>
    <n v="2"/>
    <n v="5.1100000000000003"/>
    <s v="LOW"/>
  </r>
  <r>
    <s v="STU_1093"/>
    <x v="2"/>
    <n v="47"/>
    <n v="5.75"/>
    <s v="BEGINNER"/>
    <n v="7"/>
    <n v="1"/>
    <n v="1"/>
    <n v="12.72"/>
    <s v="MEDIUM"/>
  </r>
  <r>
    <s v="STU_1094"/>
    <x v="4"/>
    <n v="68.099999999999994"/>
    <n v="6.25"/>
    <s v="EXPERIENCED"/>
    <n v="8.6199999999999992"/>
    <n v="3"/>
    <n v="2"/>
    <n v="11.59"/>
    <s v="HIGH"/>
  </r>
  <r>
    <s v="STU_1095"/>
    <x v="2"/>
    <n v="60"/>
    <n v="6"/>
    <s v="BEGINNER"/>
    <n v="6.4"/>
    <n v="1"/>
    <n v="1"/>
    <n v="4.58"/>
    <s v="LOW"/>
  </r>
  <r>
    <s v="STU_1096"/>
    <x v="1"/>
    <n v="52.199999999999996"/>
    <n v="4.25"/>
    <s v="BEGINNER"/>
    <n v="8.44"/>
    <n v="1"/>
    <n v="1"/>
    <n v="5.27"/>
    <s v="HIGH"/>
  </r>
  <r>
    <s v="STU_1097"/>
    <x v="3"/>
    <n v="46.6"/>
    <n v="4.25"/>
    <s v="BEGINNER"/>
    <n v="5.12"/>
    <n v="2"/>
    <n v="1"/>
    <n v="5.32"/>
    <s v="LOW"/>
  </r>
  <r>
    <s v="STU_1098"/>
    <x v="3"/>
    <n v="51.65"/>
    <n v="7.25"/>
    <s v="NOT EXPERIENCED"/>
    <n v="6.53"/>
    <n v="3"/>
    <n v="0"/>
    <n v="14.61"/>
    <s v="MEDIUM"/>
  </r>
  <r>
    <s v="STU_1099"/>
    <x v="4"/>
    <n v="55.75"/>
    <n v="8"/>
    <s v="NOT EXPERIENCED"/>
    <n v="7.75"/>
    <n v="1"/>
    <n v="0"/>
    <n v="6.62"/>
    <s v="MEDIUM"/>
  </r>
  <r>
    <s v="STU_1100"/>
    <x v="0"/>
    <n v="63.8"/>
    <n v="4.25"/>
    <s v="NOT EXPERIENCED"/>
    <n v="8.16"/>
    <n v="5"/>
    <n v="0"/>
    <n v="0"/>
    <s v="HIGH"/>
  </r>
  <r>
    <s v="STU_1101"/>
    <x v="4"/>
    <n v="53.449999999999996"/>
    <n v="2.25"/>
    <s v="BEGINNER"/>
    <n v="7.89"/>
    <n v="1"/>
    <n v="1"/>
    <n v="6.96"/>
    <s v="MEDIUM"/>
  </r>
  <r>
    <s v="STU_1102"/>
    <x v="0"/>
    <n v="58.45"/>
    <n v="6.25"/>
    <s v="BEGINNER"/>
    <n v="8.49"/>
    <n v="3"/>
    <n v="1"/>
    <n v="5.41"/>
    <s v="HIGH"/>
  </r>
  <r>
    <s v="STU_1103"/>
    <x v="3"/>
    <n v="58.150000000000006"/>
    <n v="7.75"/>
    <s v="BEGINNER"/>
    <n v="5.03"/>
    <n v="4"/>
    <n v="1"/>
    <n v="0"/>
    <s v="LOW"/>
  </r>
  <r>
    <s v="STU_1104"/>
    <x v="4"/>
    <n v="57.5"/>
    <n v="4.25"/>
    <s v="EXPERIENCED"/>
    <n v="5.5"/>
    <n v="3"/>
    <n v="3"/>
    <n v="4.3499999999999996"/>
    <s v="LOW"/>
  </r>
  <r>
    <s v="STU_1105"/>
    <x v="1"/>
    <n v="56.7"/>
    <n v="3.75"/>
    <s v="NOT EXPERIENCED"/>
    <n v="9.34"/>
    <n v="2"/>
    <n v="0"/>
    <n v="6.09"/>
    <s v="HIGH"/>
  </r>
  <r>
    <s v="STU_1106"/>
    <x v="2"/>
    <n v="67.05"/>
    <n v="3.5"/>
    <s v="BEGINNER"/>
    <n v="8.41"/>
    <n v="4"/>
    <n v="1"/>
    <n v="6.88"/>
    <s v="HIGH"/>
  </r>
  <r>
    <s v="STU_1107"/>
    <x v="0"/>
    <n v="58.8"/>
    <n v="5.75"/>
    <s v="EXPERIENCED"/>
    <n v="5.56"/>
    <n v="5"/>
    <n v="2"/>
    <n v="5.87"/>
    <s v="LOW"/>
  </r>
  <r>
    <s v="STU_1108"/>
    <x v="2"/>
    <n v="48.050000000000004"/>
    <n v="4.5"/>
    <s v="NOT EXPERIENCED"/>
    <n v="9.2100000000000009"/>
    <n v="0"/>
    <n v="0"/>
    <n v="4.54"/>
    <s v="HIGH"/>
  </r>
  <r>
    <s v="STU_1109"/>
    <x v="2"/>
    <n v="46.05"/>
    <n v="4.5"/>
    <s v="NOT EXPERIENCED"/>
    <n v="6.21"/>
    <n v="3"/>
    <n v="0"/>
    <n v="10.66"/>
    <s v="LOW"/>
  </r>
  <r>
    <s v="STU_1110"/>
    <x v="4"/>
    <n v="46.949999999999996"/>
    <n v="2.75"/>
    <s v="NOT EXPERIENCED"/>
    <n v="7.39"/>
    <n v="2"/>
    <n v="0"/>
    <n v="6.67"/>
    <s v="MEDIUM"/>
  </r>
  <r>
    <s v="STU_1111"/>
    <x v="2"/>
    <n v="59.650000000000006"/>
    <n v="7.25"/>
    <s v="NOT EXPERIENCED"/>
    <n v="5.73"/>
    <n v="5"/>
    <n v="0"/>
    <n v="0"/>
    <s v="LOW"/>
  </r>
  <r>
    <s v="STU_1112"/>
    <x v="1"/>
    <n v="81.75"/>
    <n v="4.5"/>
    <s v="EXPERIENCED"/>
    <n v="8.5500000000000007"/>
    <n v="4"/>
    <n v="3"/>
    <n v="5.08"/>
    <s v="HIGH"/>
  </r>
  <r>
    <s v="STU_1113"/>
    <x v="2"/>
    <n v="84.65"/>
    <n v="5.75"/>
    <s v="EXPERIENCED"/>
    <n v="8.33"/>
    <n v="5"/>
    <n v="2"/>
    <n v="4.28"/>
    <s v="HIGH"/>
  </r>
  <r>
    <s v="STU_1114"/>
    <x v="4"/>
    <n v="60.3"/>
    <n v="4.75"/>
    <s v="BEGINNER"/>
    <n v="6.06"/>
    <n v="3"/>
    <n v="1"/>
    <n v="4.8899999999999997"/>
    <s v="LOW"/>
  </r>
  <r>
    <s v="STU_1115"/>
    <x v="1"/>
    <n v="79.599999999999994"/>
    <n v="6.5"/>
    <s v="EXPERIENCED"/>
    <n v="9.32"/>
    <n v="1"/>
    <n v="2"/>
    <n v="6.97"/>
    <s v="HIGH"/>
  </r>
  <r>
    <s v="STU_1116"/>
    <x v="3"/>
    <n v="60.05"/>
    <n v="7.75"/>
    <s v="EXPERIENCED"/>
    <n v="7.01"/>
    <n v="3"/>
    <n v="2"/>
    <n v="3.95"/>
    <s v="MEDIUM"/>
  </r>
  <r>
    <s v="STU_1117"/>
    <x v="2"/>
    <n v="42.3"/>
    <n v="6.25"/>
    <s v="NOT EXPERIENCED"/>
    <n v="6.46"/>
    <n v="0"/>
    <n v="0"/>
    <n v="8.3699999999999992"/>
    <s v="LOW"/>
  </r>
  <r>
    <s v="STU_1118"/>
    <x v="4"/>
    <n v="61.8"/>
    <n v="6.25"/>
    <s v="EXPERIENCED"/>
    <n v="5.76"/>
    <n v="3"/>
    <n v="2"/>
    <n v="4.68"/>
    <s v="LOW"/>
  </r>
  <r>
    <s v="STU_1119"/>
    <x v="3"/>
    <n v="58.65"/>
    <n v="6.75"/>
    <s v="BEGINNER"/>
    <n v="6.33"/>
    <n v="4"/>
    <n v="1"/>
    <n v="3.61"/>
    <s v="LOW"/>
  </r>
  <r>
    <s v="STU_1120"/>
    <x v="3"/>
    <n v="63.55"/>
    <n v="7.75"/>
    <s v="EXPERIENCED"/>
    <n v="5.1100000000000003"/>
    <n v="4"/>
    <n v="2"/>
    <n v="5.01"/>
    <s v="LOW"/>
  </r>
  <r>
    <s v="STU_1121"/>
    <x v="0"/>
    <n v="68.599999999999994"/>
    <n v="7.25"/>
    <s v="EXPERIENCED"/>
    <n v="7.92"/>
    <n v="3"/>
    <n v="2"/>
    <n v="0"/>
    <s v="MEDIUM"/>
  </r>
  <r>
    <s v="STU_1122"/>
    <x v="1"/>
    <n v="65.050000000000011"/>
    <n v="3"/>
    <s v="BEGINNER"/>
    <n v="9.2100000000000009"/>
    <n v="4"/>
    <n v="1"/>
    <n v="4.6900000000000004"/>
    <s v="HIGH"/>
  </r>
  <r>
    <s v="STU_1123"/>
    <x v="2"/>
    <n v="51.7"/>
    <n v="4.5"/>
    <s v="NOT EXPERIENCED"/>
    <n v="7.74"/>
    <n v="1"/>
    <n v="0"/>
    <n v="0"/>
    <s v="MEDIUM"/>
  </r>
  <r>
    <s v="STU_1124"/>
    <x v="4"/>
    <n v="53.5"/>
    <n v="2"/>
    <s v="NOT EXPERIENCED"/>
    <n v="6.1"/>
    <n v="5"/>
    <n v="0"/>
    <n v="0"/>
    <s v="LOW"/>
  </r>
  <r>
    <s v="STU_1125"/>
    <x v="0"/>
    <n v="51.85"/>
    <n v="5"/>
    <s v="BEGINNER"/>
    <n v="5.17"/>
    <n v="3"/>
    <n v="1"/>
    <n v="5.42"/>
    <s v="LOW"/>
  </r>
  <r>
    <s v="STU_1126"/>
    <x v="1"/>
    <n v="49.35"/>
    <n v="3"/>
    <s v="EXPERIENCED"/>
    <n v="6.07"/>
    <n v="1"/>
    <n v="2"/>
    <n v="0"/>
    <s v="LOW"/>
  </r>
  <r>
    <s v="STU_1127"/>
    <x v="0"/>
    <n v="70.400000000000006"/>
    <n v="3.75"/>
    <s v="EXPERIENCED"/>
    <n v="7.08"/>
    <n v="5"/>
    <n v="2"/>
    <n v="39.06"/>
    <s v="MEDIUM"/>
  </r>
  <r>
    <s v="STU_1128"/>
    <x v="1"/>
    <n v="63"/>
    <n v="5.25"/>
    <s v="NOT EXPERIENCED"/>
    <n v="8.8000000000000007"/>
    <n v="5"/>
    <n v="0"/>
    <n v="3.66"/>
    <s v="HIGH"/>
  </r>
  <r>
    <s v="STU_1129"/>
    <x v="1"/>
    <n v="49.7"/>
    <n v="5.75"/>
    <s v="BEGINNER"/>
    <n v="5.94"/>
    <n v="1"/>
    <n v="1"/>
    <n v="3.69"/>
    <s v="LOW"/>
  </r>
  <r>
    <s v="STU_1130"/>
    <x v="2"/>
    <n v="66"/>
    <n v="6"/>
    <s v="BEGINNER"/>
    <n v="8.6"/>
    <n v="2"/>
    <n v="1"/>
    <n v="0"/>
    <s v="HIGH"/>
  </r>
  <r>
    <s v="STU_1131"/>
    <x v="1"/>
    <n v="65.650000000000006"/>
    <n v="6.25"/>
    <s v="NOT EXPERIENCED"/>
    <n v="9.33"/>
    <n v="3"/>
    <n v="0"/>
    <n v="9.39"/>
    <s v="HIGH"/>
  </r>
  <r>
    <s v="STU_1132"/>
    <x v="0"/>
    <n v="63.349999999999994"/>
    <n v="4"/>
    <s v="NOT EXPERIENCED"/>
    <n v="7.27"/>
    <n v="5"/>
    <n v="0"/>
    <n v="0"/>
    <s v="MEDIUM"/>
  </r>
  <r>
    <s v="STU_1133"/>
    <x v="1"/>
    <n v="79.55"/>
    <n v="7"/>
    <s v="BEGINNER"/>
    <n v="9.11"/>
    <n v="5"/>
    <n v="1"/>
    <n v="6.68"/>
    <s v="HIGH"/>
  </r>
  <r>
    <s v="STU_1134"/>
    <x v="2"/>
    <n v="75.849999999999994"/>
    <n v="4.5"/>
    <s v="EXPERIENCED"/>
    <n v="7.77"/>
    <n v="4"/>
    <n v="3"/>
    <n v="0"/>
    <s v="MEDIUM"/>
  </r>
  <r>
    <s v="STU_1135"/>
    <x v="2"/>
    <n v="62.949999999999996"/>
    <n v="4.75"/>
    <s v="BEGINNER"/>
    <n v="8.19"/>
    <n v="5"/>
    <n v="1"/>
    <n v="25.43"/>
    <s v="HIGH"/>
  </r>
  <r>
    <s v="STU_1136"/>
    <x v="0"/>
    <n v="62.15"/>
    <n v="5.75"/>
    <s v="BEGINNER"/>
    <n v="7.63"/>
    <n v="1"/>
    <n v="1"/>
    <n v="4.3899999999999997"/>
    <s v="MEDIUM"/>
  </r>
  <r>
    <s v="STU_1137"/>
    <x v="3"/>
    <n v="69.599999999999994"/>
    <n v="4.25"/>
    <s v="EXPERIENCED"/>
    <n v="7.32"/>
    <n v="5"/>
    <n v="2"/>
    <n v="3.97"/>
    <s v="MEDIUM"/>
  </r>
  <r>
    <s v="STU_1138"/>
    <x v="3"/>
    <n v="59.85"/>
    <n v="7.75"/>
    <s v="BEGINNER"/>
    <n v="6.17"/>
    <n v="2"/>
    <n v="1"/>
    <n v="0"/>
    <s v="LOW"/>
  </r>
  <r>
    <s v="STU_1139"/>
    <x v="1"/>
    <n v="76.599999999999994"/>
    <n v="6.25"/>
    <s v="EXPERIENCED"/>
    <n v="6.52"/>
    <n v="3"/>
    <n v="3"/>
    <n v="5.81"/>
    <s v="MEDIUM"/>
  </r>
  <r>
    <s v="STU_1140"/>
    <x v="4"/>
    <n v="68.25"/>
    <n v="5"/>
    <s v="EXPERIENCED"/>
    <n v="6.45"/>
    <n v="3"/>
    <n v="3"/>
    <n v="0"/>
    <s v="LOW"/>
  </r>
  <r>
    <s v="STU_1141"/>
    <x v="1"/>
    <n v="56.1"/>
    <n v="4.5"/>
    <s v="NOT EXPERIENCED"/>
    <n v="7.82"/>
    <n v="5"/>
    <n v="0"/>
    <n v="3.92"/>
    <s v="MEDIUM"/>
  </r>
  <r>
    <s v="STU_1142"/>
    <x v="0"/>
    <n v="39"/>
    <n v="6.5"/>
    <s v="BEGINNER"/>
    <n v="5.6"/>
    <n v="0"/>
    <n v="1"/>
    <n v="0"/>
    <s v="LOW"/>
  </r>
  <r>
    <s v="STU_1143"/>
    <x v="0"/>
    <n v="58.9"/>
    <n v="4.75"/>
    <s v="BEGINNER"/>
    <n v="9.58"/>
    <n v="0"/>
    <n v="1"/>
    <n v="0"/>
    <s v="HIGH"/>
  </r>
  <r>
    <s v="STU_1144"/>
    <x v="0"/>
    <n v="66"/>
    <n v="5.75"/>
    <s v="NOT EXPERIENCED"/>
    <n v="8.6"/>
    <n v="1"/>
    <n v="0"/>
    <n v="0"/>
    <s v="HIGH"/>
  </r>
  <r>
    <s v="STU_1145"/>
    <x v="0"/>
    <n v="43.05"/>
    <n v="3.5"/>
    <s v="NOT EXPERIENCED"/>
    <n v="7.01"/>
    <n v="0"/>
    <n v="0"/>
    <n v="9.81"/>
    <s v="MEDIUM"/>
  </r>
  <r>
    <s v="STU_1146"/>
    <x v="0"/>
    <n v="48.95"/>
    <n v="4.75"/>
    <s v="BEGINNER"/>
    <n v="5.79"/>
    <n v="1"/>
    <n v="1"/>
    <n v="6.86"/>
    <s v="LOW"/>
  </r>
  <r>
    <s v="STU_1147"/>
    <x v="2"/>
    <n v="78.05"/>
    <n v="6.5"/>
    <s v="BEGINNER"/>
    <n v="9.41"/>
    <n v="4"/>
    <n v="1"/>
    <n v="4.05"/>
    <s v="HIGH"/>
  </r>
  <r>
    <s v="STU_1148"/>
    <x v="3"/>
    <n v="68.599999999999994"/>
    <n v="5"/>
    <s v="NOT EXPERIENCED"/>
    <n v="9.1199999999999992"/>
    <n v="1"/>
    <n v="0"/>
    <n v="6.66"/>
    <s v="HIGH"/>
  </r>
  <r>
    <s v="STU_1149"/>
    <x v="0"/>
    <n v="51.05"/>
    <n v="5"/>
    <s v="NOT EXPERIENCED"/>
    <n v="8.61"/>
    <n v="0"/>
    <n v="0"/>
    <n v="6.54"/>
    <s v="HIGH"/>
  </r>
  <r>
    <s v="STU_1150"/>
    <x v="4"/>
    <n v="73.8"/>
    <n v="4.25"/>
    <s v="EXPERIENCED"/>
    <n v="6.36"/>
    <n v="5"/>
    <n v="3"/>
    <n v="4.42"/>
    <s v="LOW"/>
  </r>
  <r>
    <s v="STU_1151"/>
    <x v="4"/>
    <n v="49.05"/>
    <n v="6.75"/>
    <s v="NOT EXPERIENCED"/>
    <n v="7.01"/>
    <n v="4"/>
    <n v="0"/>
    <n v="0"/>
    <s v="MEDIUM"/>
  </r>
  <r>
    <s v="STU_1152"/>
    <x v="4"/>
    <n v="43.55"/>
    <n v="5"/>
    <s v="NOT EXPERIENCED"/>
    <n v="5.51"/>
    <n v="0"/>
    <n v="0"/>
    <n v="0"/>
    <s v="LOW"/>
  </r>
  <r>
    <s v="STU_1153"/>
    <x v="4"/>
    <n v="51.75"/>
    <n v="5.5"/>
    <s v="BEGINNER"/>
    <n v="5.95"/>
    <n v="1"/>
    <n v="1"/>
    <n v="6.01"/>
    <s v="LOW"/>
  </r>
  <r>
    <s v="STU_1154"/>
    <x v="2"/>
    <n v="83.6"/>
    <n v="6.75"/>
    <s v="EXPERIENCED"/>
    <n v="8.92"/>
    <n v="2"/>
    <n v="3"/>
    <n v="6.77"/>
    <s v="HIGH"/>
  </r>
  <r>
    <s v="STU_1155"/>
    <x v="4"/>
    <n v="57.9"/>
    <n v="5.25"/>
    <s v="NOT EXPERIENCED"/>
    <n v="8.58"/>
    <n v="3"/>
    <n v="0"/>
    <n v="5.0599999999999996"/>
    <s v="HIGH"/>
  </r>
  <r>
    <s v="STU_1156"/>
    <x v="0"/>
    <n v="48.85"/>
    <n v="2.25"/>
    <s v="BEGINNER"/>
    <n v="7.97"/>
    <n v="0"/>
    <n v="1"/>
    <n v="3.65"/>
    <s v="MEDIUM"/>
  </r>
  <r>
    <s v="STU_1157"/>
    <x v="1"/>
    <n v="62.400000000000006"/>
    <n v="4"/>
    <s v="EXPERIENCED"/>
    <n v="9.48"/>
    <n v="1"/>
    <n v="2"/>
    <n v="4.3"/>
    <s v="HIGH"/>
  </r>
  <r>
    <s v="STU_1158"/>
    <x v="4"/>
    <n v="57.6"/>
    <n v="5.25"/>
    <s v="NOT EXPERIENCED"/>
    <n v="7.92"/>
    <n v="4"/>
    <n v="0"/>
    <n v="4.18"/>
    <s v="MEDIUM"/>
  </r>
  <r>
    <s v="STU_1159"/>
    <x v="2"/>
    <n v="56.65"/>
    <n v="5.5"/>
    <s v="EXPERIENCED"/>
    <n v="7.33"/>
    <n v="0"/>
    <n v="2"/>
    <n v="0"/>
    <s v="MEDIUM"/>
  </r>
  <r>
    <s v="STU_1160"/>
    <x v="2"/>
    <n v="42.5"/>
    <n v="5.5"/>
    <s v="BEGINNER"/>
    <n v="6.7"/>
    <n v="0"/>
    <n v="1"/>
    <n v="4.99"/>
    <s v="MEDIUM"/>
  </r>
  <r>
    <s v="STU_1161"/>
    <x v="4"/>
    <n v="68.5"/>
    <n v="4"/>
    <s v="BEGINNER"/>
    <n v="9.6999999999999993"/>
    <n v="3"/>
    <n v="1"/>
    <n v="6.57"/>
    <s v="HIGH"/>
  </r>
  <r>
    <s v="STU_1162"/>
    <x v="1"/>
    <n v="43.05"/>
    <n v="5"/>
    <s v="BEGINNER"/>
    <n v="5.41"/>
    <n v="1"/>
    <n v="1"/>
    <n v="6.34"/>
    <s v="LOW"/>
  </r>
  <r>
    <s v="STU_1163"/>
    <x v="4"/>
    <n v="73.25"/>
    <n v="6"/>
    <s v="BEGINNER"/>
    <n v="9.65"/>
    <n v="2"/>
    <n v="1"/>
    <n v="5.32"/>
    <s v="HIGH"/>
  </r>
  <r>
    <s v="STU_1164"/>
    <x v="2"/>
    <n v="63.650000000000006"/>
    <n v="4.25"/>
    <s v="NOT EXPERIENCED"/>
    <n v="9.1300000000000008"/>
    <n v="4"/>
    <n v="0"/>
    <n v="4.72"/>
    <s v="HIGH"/>
  </r>
  <r>
    <s v="STU_1165"/>
    <x v="3"/>
    <n v="59.25"/>
    <n v="5.5"/>
    <s v="EXPERIENCED"/>
    <n v="5.65"/>
    <n v="1"/>
    <n v="2"/>
    <n v="9.6999999999999993"/>
    <s v="LOW"/>
  </r>
  <r>
    <s v="STU_1166"/>
    <x v="0"/>
    <n v="72.099999999999994"/>
    <n v="6.5"/>
    <s v="BEGINNER"/>
    <n v="7.82"/>
    <n v="4"/>
    <n v="1"/>
    <n v="3.91"/>
    <s v="MEDIUM"/>
  </r>
  <r>
    <s v="STU_1167"/>
    <x v="2"/>
    <n v="54.65"/>
    <n v="6"/>
    <s v="NOT EXPERIENCED"/>
    <n v="9.33"/>
    <n v="0"/>
    <n v="0"/>
    <n v="4.71"/>
    <s v="HIGH"/>
  </r>
  <r>
    <s v="STU_1168"/>
    <x v="4"/>
    <n v="50.300000000000004"/>
    <n v="4.5"/>
    <s v="NOT EXPERIENCED"/>
    <n v="7.86"/>
    <n v="3"/>
    <n v="0"/>
    <n v="3.87"/>
    <s v="MEDIUM"/>
  </r>
  <r>
    <s v="STU_1169"/>
    <x v="0"/>
    <n v="63.699999999999996"/>
    <n v="5"/>
    <s v="BEGINNER"/>
    <n v="9.5399999999999991"/>
    <n v="3"/>
    <n v="1"/>
    <n v="0"/>
    <s v="HIGH"/>
  </r>
  <r>
    <s v="STU_1170"/>
    <x v="4"/>
    <n v="70.550000000000011"/>
    <n v="3.75"/>
    <s v="BEGINNER"/>
    <n v="9.7100000000000009"/>
    <n v="5"/>
    <n v="1"/>
    <n v="4.9800000000000004"/>
    <s v="HIGH"/>
  </r>
  <r>
    <s v="STU_1171"/>
    <x v="4"/>
    <n v="43.550000000000004"/>
    <n v="4.5"/>
    <s v="NOT EXPERIENCED"/>
    <n v="7.11"/>
    <n v="2"/>
    <n v="0"/>
    <n v="0"/>
    <s v="MEDIUM"/>
  </r>
  <r>
    <s v="STU_1172"/>
    <x v="3"/>
    <n v="64.449999999999989"/>
    <n v="4.25"/>
    <s v="BEGINNER"/>
    <n v="6.89"/>
    <n v="3"/>
    <n v="1"/>
    <n v="13.68"/>
    <s v="MEDIUM"/>
  </r>
  <r>
    <s v="STU_1173"/>
    <x v="0"/>
    <n v="54.4"/>
    <n v="2.75"/>
    <s v="NOT EXPERIENCED"/>
    <n v="9.68"/>
    <n v="0"/>
    <n v="0"/>
    <n v="5.03"/>
    <s v="HIGH"/>
  </r>
  <r>
    <s v="STU_1174"/>
    <x v="0"/>
    <n v="64.900000000000006"/>
    <n v="6.5"/>
    <s v="BEGINNER"/>
    <n v="8.3800000000000008"/>
    <n v="2"/>
    <n v="1"/>
    <n v="4.42"/>
    <s v="HIGH"/>
  </r>
  <r>
    <s v="STU_1175"/>
    <x v="3"/>
    <n v="36.9"/>
    <n v="2"/>
    <s v="NOT EXPERIENCED"/>
    <n v="5.58"/>
    <n v="1"/>
    <n v="0"/>
    <n v="4.9000000000000004"/>
    <s v="LOW"/>
  </r>
  <r>
    <s v="STU_1176"/>
    <x v="2"/>
    <n v="50.05"/>
    <n v="5.5"/>
    <s v="BEGINNER"/>
    <n v="5.21"/>
    <n v="3"/>
    <n v="1"/>
    <n v="12.35"/>
    <s v="LOW"/>
  </r>
  <r>
    <s v="STU_1177"/>
    <x v="4"/>
    <n v="64.099999999999994"/>
    <n v="4.5"/>
    <s v="BEGINNER"/>
    <n v="7.82"/>
    <n v="2"/>
    <n v="1"/>
    <n v="0"/>
    <s v="MEDIUM"/>
  </r>
  <r>
    <s v="STU_1178"/>
    <x v="1"/>
    <n v="67.25"/>
    <n v="2.5"/>
    <s v="EXPERIENCED"/>
    <n v="9.65"/>
    <n v="0"/>
    <n v="3"/>
    <n v="5.65"/>
    <s v="HIGH"/>
  </r>
  <r>
    <s v="STU_1179"/>
    <x v="4"/>
    <n v="73.099999999999994"/>
    <n v="6.25"/>
    <s v="NOT EXPERIENCED"/>
    <n v="9.2200000000000006"/>
    <n v="5"/>
    <n v="0"/>
    <n v="4.37"/>
    <s v="HIGH"/>
  </r>
  <r>
    <s v="STU_1180"/>
    <x v="4"/>
    <n v="70.900000000000006"/>
    <n v="6.75"/>
    <s v="BEGINNER"/>
    <n v="8.3800000000000008"/>
    <n v="4"/>
    <n v="1"/>
    <n v="4.7300000000000004"/>
    <s v="HIGH"/>
  </r>
  <r>
    <s v="STU_1181"/>
    <x v="2"/>
    <n v="46.5"/>
    <n v="6.25"/>
    <s v="NOT EXPERIENCED"/>
    <n v="5.7"/>
    <n v="4"/>
    <n v="0"/>
    <n v="3.77"/>
    <s v="LOW"/>
  </r>
  <r>
    <s v="STU_1182"/>
    <x v="4"/>
    <n v="58.349999999999994"/>
    <n v="3.5"/>
    <s v="EXPERIENCED"/>
    <n v="6.27"/>
    <n v="0"/>
    <n v="3"/>
    <n v="4.46"/>
    <s v="LOW"/>
  </r>
  <r>
    <s v="STU_1183"/>
    <x v="3"/>
    <n v="76.900000000000006"/>
    <n v="5.5"/>
    <s v="EXPERIENCED"/>
    <n v="9.3800000000000008"/>
    <n v="0"/>
    <n v="2"/>
    <n v="0"/>
    <s v="HIGH"/>
  </r>
  <r>
    <s v="STU_1184"/>
    <x v="3"/>
    <n v="61.55"/>
    <n v="6"/>
    <s v="NOT EXPERIENCED"/>
    <n v="5.91"/>
    <n v="4"/>
    <n v="0"/>
    <n v="3.9"/>
    <s v="LOW"/>
  </r>
  <r>
    <s v="STU_1185"/>
    <x v="0"/>
    <n v="61.95"/>
    <n v="5.25"/>
    <s v="BEGINNER"/>
    <n v="6.39"/>
    <n v="5"/>
    <n v="1"/>
    <n v="0"/>
    <s v="LOW"/>
  </r>
  <r>
    <s v="STU_1186"/>
    <x v="1"/>
    <n v="48.25"/>
    <n v="5.25"/>
    <s v="EXPERIENCED"/>
    <n v="5.65"/>
    <n v="2"/>
    <n v="2"/>
    <n v="3.69"/>
    <s v="LOW"/>
  </r>
  <r>
    <s v="STU_1187"/>
    <x v="4"/>
    <n v="76.900000000000006"/>
    <n v="6.25"/>
    <s v="BEGINNER"/>
    <n v="8.3800000000000008"/>
    <n v="4"/>
    <n v="1"/>
    <n v="0"/>
    <s v="HIGH"/>
  </r>
  <r>
    <s v="STU_1188"/>
    <x v="4"/>
    <n v="69.599999999999994"/>
    <n v="6.75"/>
    <s v="BEGINNER"/>
    <n v="9.7200000000000006"/>
    <n v="0"/>
    <n v="1"/>
    <n v="5.2"/>
    <s v="HIGH"/>
  </r>
  <r>
    <s v="STU_1189"/>
    <x v="2"/>
    <n v="46.7"/>
    <n v="5.5"/>
    <s v="NOT EXPERIENCED"/>
    <n v="6.34"/>
    <n v="3"/>
    <n v="0"/>
    <n v="5.77"/>
    <s v="LOW"/>
  </r>
  <r>
    <s v="STU_1190"/>
    <x v="3"/>
    <n v="55.9"/>
    <n v="5"/>
    <s v="NOT EXPERIENCED"/>
    <n v="7.38"/>
    <n v="1"/>
    <n v="0"/>
    <n v="0"/>
    <s v="MEDIUM"/>
  </r>
  <r>
    <s v="STU_1191"/>
    <x v="1"/>
    <n v="83.85"/>
    <n v="5.75"/>
    <s v="EXPERIENCED"/>
    <n v="8.17"/>
    <n v="5"/>
    <n v="2"/>
    <n v="4.5"/>
    <s v="HIGH"/>
  </r>
  <r>
    <s v="STU_1192"/>
    <x v="0"/>
    <n v="86"/>
    <n v="5"/>
    <s v="EXPERIENCED"/>
    <n v="10"/>
    <n v="5"/>
    <n v="3"/>
    <n v="0"/>
    <s v="HIGH"/>
  </r>
  <r>
    <s v="STU_1193"/>
    <x v="3"/>
    <n v="47.599999999999994"/>
    <n v="4.25"/>
    <s v="BEGINNER"/>
    <n v="5.52"/>
    <n v="3"/>
    <n v="1"/>
    <n v="5.19"/>
    <s v="LOW"/>
  </r>
  <r>
    <s v="STU_1194"/>
    <x v="0"/>
    <n v="55.45"/>
    <n v="4.75"/>
    <s v="BEGINNER"/>
    <n v="7.49"/>
    <n v="3"/>
    <n v="1"/>
    <n v="4.88"/>
    <s v="MEDIUM"/>
  </r>
  <r>
    <s v="STU_1195"/>
    <x v="2"/>
    <n v="55.65"/>
    <n v="7.75"/>
    <s v="BEGINNER"/>
    <n v="6.93"/>
    <n v="0"/>
    <n v="1"/>
    <n v="4.76"/>
    <s v="MEDIUM"/>
  </r>
  <r>
    <s v="STU_1196"/>
    <x v="2"/>
    <n v="88.65"/>
    <n v="7"/>
    <s v="EXPERIENCED"/>
    <n v="9.33"/>
    <n v="4"/>
    <n v="2"/>
    <n v="0"/>
    <s v="HIGH"/>
  </r>
  <r>
    <s v="STU_1197"/>
    <x v="4"/>
    <n v="54.9"/>
    <n v="3"/>
    <s v="EXPERIENCED"/>
    <n v="7.38"/>
    <n v="2"/>
    <n v="2"/>
    <n v="0"/>
    <s v="MEDIUM"/>
  </r>
  <r>
    <s v="STU_1198"/>
    <x v="1"/>
    <n v="68.75"/>
    <n v="4.25"/>
    <s v="EXPERIENCED"/>
    <n v="5.55"/>
    <n v="5"/>
    <n v="2"/>
    <n v="34.450000000000003"/>
    <s v="LOW"/>
  </r>
  <r>
    <s v="STU_1199"/>
    <x v="0"/>
    <n v="79.849999999999994"/>
    <n v="5.75"/>
    <s v="EXPERIENCED"/>
    <n v="8.17"/>
    <n v="5"/>
    <n v="2"/>
    <n v="6.34"/>
    <s v="HIGH"/>
  </r>
  <r>
    <s v="STU_1200"/>
    <x v="3"/>
    <n v="72.25"/>
    <n v="7.25"/>
    <s v="BEGINNER"/>
    <n v="8.85"/>
    <n v="3"/>
    <n v="1"/>
    <n v="14.65"/>
    <s v="HIGH"/>
  </r>
  <r>
    <s v="STU_1201"/>
    <x v="2"/>
    <n v="43.05"/>
    <n v="3"/>
    <s v="NOT EXPERIENCED"/>
    <n v="5.01"/>
    <n v="4"/>
    <n v="0"/>
    <n v="3.78"/>
    <s v="LOW"/>
  </r>
  <r>
    <s v="STU_1202"/>
    <x v="4"/>
    <n v="63.449999999999996"/>
    <n v="6.25"/>
    <s v="NOT EXPERIENCED"/>
    <n v="9.2899999999999991"/>
    <n v="5"/>
    <n v="0"/>
    <n v="5.78"/>
    <s v="HIGH"/>
  </r>
  <r>
    <s v="STU_1203"/>
    <x v="4"/>
    <n v="53.65"/>
    <n v="5.75"/>
    <s v="EXPERIENCED"/>
    <n v="5.93"/>
    <n v="2"/>
    <n v="2"/>
    <n v="0"/>
    <s v="LOW"/>
  </r>
  <r>
    <s v="STU_1204"/>
    <x v="0"/>
    <n v="70.8"/>
    <n v="5.75"/>
    <s v="BEGINNER"/>
    <n v="7.76"/>
    <n v="3"/>
    <n v="1"/>
    <n v="0"/>
    <s v="MEDIUM"/>
  </r>
  <r>
    <s v="STU_1205"/>
    <x v="2"/>
    <n v="51.4"/>
    <n v="6"/>
    <s v="NOT EXPERIENCED"/>
    <n v="7.08"/>
    <n v="2"/>
    <n v="0"/>
    <n v="10.66"/>
    <s v="MEDIUM"/>
  </r>
  <r>
    <s v="STU_1206"/>
    <x v="1"/>
    <n v="57"/>
    <n v="5.25"/>
    <s v="NOT EXPERIENCED"/>
    <n v="8.6"/>
    <n v="4"/>
    <n v="0"/>
    <n v="5.76"/>
    <s v="HIGH"/>
  </r>
  <r>
    <s v="STU_1207"/>
    <x v="2"/>
    <n v="64.300000000000011"/>
    <n v="5"/>
    <s v="BEGINNER"/>
    <n v="6.86"/>
    <n v="5"/>
    <n v="1"/>
    <n v="5.32"/>
    <s v="MEDIUM"/>
  </r>
  <r>
    <s v="STU_1208"/>
    <x v="0"/>
    <n v="65.75"/>
    <n v="9.25"/>
    <s v="NOT EXPERIENCED"/>
    <n v="9.35"/>
    <n v="1"/>
    <n v="0"/>
    <n v="0"/>
    <s v="HIGH"/>
  </r>
  <r>
    <s v="STU_1209"/>
    <x v="0"/>
    <n v="74.25"/>
    <n v="6.25"/>
    <s v="NOT EXPERIENCED"/>
    <n v="8.65"/>
    <n v="5"/>
    <n v="0"/>
    <n v="5.27"/>
    <s v="HIGH"/>
  </r>
  <r>
    <s v="STU_1210"/>
    <x v="2"/>
    <n v="68.2"/>
    <n v="5.75"/>
    <s v="BEGINNER"/>
    <n v="8.24"/>
    <n v="4"/>
    <n v="1"/>
    <n v="6.98"/>
    <s v="HIGH"/>
  </r>
  <r>
    <s v="STU_1211"/>
    <x v="0"/>
    <n v="82.9"/>
    <n v="5"/>
    <s v="BEGINNER"/>
    <n v="8.98"/>
    <n v="5"/>
    <n v="1"/>
    <n v="0"/>
    <s v="HIGH"/>
  </r>
  <r>
    <s v="STU_1212"/>
    <x v="2"/>
    <n v="65.849999999999994"/>
    <n v="4.5"/>
    <s v="BEGINNER"/>
    <n v="8.77"/>
    <n v="5"/>
    <n v="1"/>
    <n v="5.14"/>
    <s v="HIGH"/>
  </r>
  <r>
    <s v="STU_1213"/>
    <x v="3"/>
    <n v="33.9"/>
    <n v="4.5"/>
    <s v="NOT EXPERIENCED"/>
    <n v="5.18"/>
    <n v="0"/>
    <n v="0"/>
    <n v="5.1100000000000003"/>
    <s v="LOW"/>
  </r>
  <r>
    <s v="STU_1214"/>
    <x v="2"/>
    <n v="65.849999999999994"/>
    <n v="7.25"/>
    <s v="EXPERIENCED"/>
    <n v="6.97"/>
    <n v="5"/>
    <n v="2"/>
    <n v="4.3499999999999996"/>
    <s v="MEDIUM"/>
  </r>
  <r>
    <s v="STU_1215"/>
    <x v="2"/>
    <n v="67.25"/>
    <n v="3.75"/>
    <s v="NOT EXPERIENCED"/>
    <n v="9.65"/>
    <n v="5"/>
    <n v="0"/>
    <n v="4.0199999999999996"/>
    <s v="HIGH"/>
  </r>
  <r>
    <s v="STU_1216"/>
    <x v="0"/>
    <n v="55.15"/>
    <n v="5.5"/>
    <s v="BEGINNER"/>
    <n v="5.63"/>
    <n v="2"/>
    <n v="1"/>
    <n v="0"/>
    <s v="LOW"/>
  </r>
  <r>
    <s v="STU_1217"/>
    <x v="0"/>
    <n v="70.449999999999989"/>
    <n v="7.25"/>
    <s v="EXPERIENCED"/>
    <n v="8.69"/>
    <n v="1"/>
    <n v="2"/>
    <n v="11.38"/>
    <s v="HIGH"/>
  </r>
  <r>
    <s v="STU_1218"/>
    <x v="4"/>
    <n v="78.349999999999994"/>
    <n v="4.5"/>
    <s v="BEGINNER"/>
    <n v="9.8699999999999992"/>
    <n v="2"/>
    <n v="1"/>
    <n v="4.2"/>
    <s v="HIGH"/>
  </r>
  <r>
    <s v="STU_1219"/>
    <x v="4"/>
    <n v="46.3"/>
    <n v="6.25"/>
    <s v="EXPERIENCED"/>
    <n v="5.26"/>
    <n v="2"/>
    <n v="2"/>
    <n v="6.93"/>
    <s v="LOW"/>
  </r>
  <r>
    <s v="STU_1220"/>
    <x v="3"/>
    <n v="64.05"/>
    <n v="2.75"/>
    <s v="BEGINNER"/>
    <n v="8.41"/>
    <n v="3"/>
    <n v="1"/>
    <n v="6.07"/>
    <s v="HIGH"/>
  </r>
  <r>
    <s v="STU_1221"/>
    <x v="4"/>
    <n v="53.7"/>
    <n v="5.5"/>
    <s v="BEGINNER"/>
    <n v="7.34"/>
    <n v="0"/>
    <n v="1"/>
    <n v="5.33"/>
    <s v="MEDIUM"/>
  </r>
  <r>
    <s v="STU_1222"/>
    <x v="2"/>
    <n v="51.5"/>
    <n v="4"/>
    <s v="NOT EXPERIENCED"/>
    <n v="7.9"/>
    <n v="2"/>
    <n v="0"/>
    <n v="0"/>
    <s v="MEDIUM"/>
  </r>
  <r>
    <s v="STU_1223"/>
    <x v="0"/>
    <n v="60.15"/>
    <n v="3.5"/>
    <s v="BEGINNER"/>
    <n v="5.43"/>
    <n v="4"/>
    <n v="1"/>
    <n v="0"/>
    <s v="LOW"/>
  </r>
  <r>
    <s v="STU_1224"/>
    <x v="4"/>
    <n v="44.099999999999994"/>
    <n v="5"/>
    <s v="NOT EXPERIENCED"/>
    <n v="5.22"/>
    <n v="4"/>
    <n v="0"/>
    <n v="13.25"/>
    <s v="LOW"/>
  </r>
  <r>
    <s v="STU_1225"/>
    <x v="4"/>
    <n v="60.65"/>
    <n v="5"/>
    <s v="NOT EXPERIENCED"/>
    <n v="8.33"/>
    <n v="5"/>
    <n v="0"/>
    <n v="6.59"/>
    <s v="HIGH"/>
  </r>
  <r>
    <s v="STU_1226"/>
    <x v="3"/>
    <n v="75.599999999999994"/>
    <n v="4"/>
    <s v="EXPERIENCED"/>
    <n v="9.1199999999999992"/>
    <n v="3"/>
    <n v="3"/>
    <n v="4.8899999999999997"/>
    <s v="HIGH"/>
  </r>
  <r>
    <s v="STU_1227"/>
    <x v="3"/>
    <n v="61.55"/>
    <n v="7"/>
    <s v="BEGINNER"/>
    <n v="8.91"/>
    <n v="0"/>
    <n v="1"/>
    <n v="4.32"/>
    <s v="HIGH"/>
  </r>
  <r>
    <s v="STU_1228"/>
    <x v="2"/>
    <n v="52.6"/>
    <n v="6.75"/>
    <s v="EXPERIENCED"/>
    <n v="7.72"/>
    <n v="0"/>
    <n v="2"/>
    <n v="3.87"/>
    <s v="MEDIUM"/>
  </r>
  <r>
    <s v="STU_1229"/>
    <x v="0"/>
    <n v="63.5"/>
    <n v="7.25"/>
    <s v="BEGINNER"/>
    <n v="5.5"/>
    <n v="5"/>
    <n v="1"/>
    <n v="6.92"/>
    <s v="LOW"/>
  </r>
  <r>
    <s v="STU_1230"/>
    <x v="3"/>
    <n v="66.199999999999989"/>
    <n v="2.75"/>
    <s v="EXPERIENCED"/>
    <n v="8.44"/>
    <n v="4"/>
    <n v="2"/>
    <n v="5.94"/>
    <s v="HIGH"/>
  </r>
  <r>
    <s v="STU_1231"/>
    <x v="4"/>
    <n v="53.05"/>
    <n v="3.25"/>
    <s v="BEGINNER"/>
    <n v="6.21"/>
    <n v="1"/>
    <n v="1"/>
    <n v="4.71"/>
    <s v="LOW"/>
  </r>
  <r>
    <s v="STU_1232"/>
    <x v="0"/>
    <n v="65.800000000000011"/>
    <n v="3.25"/>
    <s v="BEGINNER"/>
    <n v="9.56"/>
    <n v="3"/>
    <n v="1"/>
    <n v="6.03"/>
    <s v="HIGH"/>
  </r>
  <r>
    <s v="STU_1233"/>
    <x v="0"/>
    <n v="85.949999999999989"/>
    <n v="6.75"/>
    <s v="BEGINNER"/>
    <n v="9.19"/>
    <n v="5"/>
    <n v="1"/>
    <n v="0"/>
    <s v="HIGH"/>
  </r>
  <r>
    <s v="STU_1234"/>
    <x v="4"/>
    <n v="63.75"/>
    <n v="4.25"/>
    <s v="NOT EXPERIENCED"/>
    <n v="8.5500000000000007"/>
    <n v="3"/>
    <n v="0"/>
    <n v="4.17"/>
    <s v="HIGH"/>
  </r>
  <r>
    <s v="STU_1235"/>
    <x v="3"/>
    <n v="74.7"/>
    <n v="5.5"/>
    <s v="EXPERIENCED"/>
    <n v="9.74"/>
    <n v="4"/>
    <n v="2"/>
    <n v="0"/>
    <s v="HIGH"/>
  </r>
  <r>
    <s v="STU_1236"/>
    <x v="4"/>
    <n v="41.8"/>
    <n v="3.75"/>
    <s v="NOT EXPERIENCED"/>
    <n v="5.16"/>
    <n v="4"/>
    <n v="0"/>
    <n v="6.01"/>
    <s v="LOW"/>
  </r>
  <r>
    <s v="STU_1237"/>
    <x v="0"/>
    <n v="66.400000000000006"/>
    <n v="8"/>
    <s v="NOT EXPERIENCED"/>
    <n v="8.68"/>
    <n v="1"/>
    <n v="0"/>
    <n v="0"/>
    <s v="HIGH"/>
  </r>
  <r>
    <s v="STU_1238"/>
    <x v="1"/>
    <n v="57.25"/>
    <n v="8.75"/>
    <s v="BEGINNER"/>
    <n v="6.65"/>
    <n v="1"/>
    <n v="1"/>
    <n v="3.89"/>
    <s v="MEDIUM"/>
  </r>
  <r>
    <s v="STU_1239"/>
    <x v="1"/>
    <n v="51.65"/>
    <n v="4"/>
    <s v="NOT EXPERIENCED"/>
    <n v="9.5299999999999994"/>
    <n v="0"/>
    <n v="0"/>
    <n v="5.75"/>
    <s v="HIGH"/>
  </r>
  <r>
    <s v="STU_1240"/>
    <x v="2"/>
    <n v="69.650000000000006"/>
    <n v="6.5"/>
    <s v="EXPERIENCED"/>
    <n v="6.33"/>
    <n v="3"/>
    <n v="3"/>
    <n v="10.6"/>
    <s v="LOW"/>
  </r>
  <r>
    <s v="STU_1241"/>
    <x v="4"/>
    <n v="73.099999999999994"/>
    <n v="3"/>
    <s v="EXPERIENCED"/>
    <n v="8.6199999999999992"/>
    <n v="3"/>
    <n v="3"/>
    <n v="3.99"/>
    <s v="HIGH"/>
  </r>
  <r>
    <s v="STU_1242"/>
    <x v="4"/>
    <n v="89.95"/>
    <n v="7.25"/>
    <s v="EXPERIENCED"/>
    <n v="9.39"/>
    <n v="4"/>
    <n v="3"/>
    <n v="5.99"/>
    <s v="HIGH"/>
  </r>
  <r>
    <s v="STU_1243"/>
    <x v="2"/>
    <n v="45.05"/>
    <n v="4.25"/>
    <s v="BEGINNER"/>
    <n v="5.21"/>
    <n v="0"/>
    <n v="1"/>
    <n v="12.87"/>
    <s v="LOW"/>
  </r>
  <r>
    <s v="STU_1244"/>
    <x v="2"/>
    <n v="65.95"/>
    <n v="8"/>
    <s v="NOT EXPERIENCED"/>
    <n v="6.99"/>
    <n v="5"/>
    <n v="0"/>
    <n v="5.92"/>
    <s v="MEDIUM"/>
  </r>
  <r>
    <s v="STU_1245"/>
    <x v="2"/>
    <n v="82.050000000000011"/>
    <n v="7"/>
    <s v="EXPERIENCED"/>
    <n v="8.81"/>
    <n v="3"/>
    <n v="3"/>
    <n v="4.4000000000000004"/>
    <s v="HIGH"/>
  </r>
  <r>
    <s v="STU_1246"/>
    <x v="0"/>
    <n v="53.349999999999994"/>
    <n v="5"/>
    <s v="BEGINNER"/>
    <n v="7.27"/>
    <n v="0"/>
    <n v="1"/>
    <n v="0"/>
    <s v="MEDIUM"/>
  </r>
  <r>
    <s v="STU_1247"/>
    <x v="4"/>
    <n v="60.7"/>
    <n v="4.75"/>
    <s v="EXPERIENCED"/>
    <n v="6.34"/>
    <n v="0"/>
    <n v="3"/>
    <n v="0"/>
    <s v="LOW"/>
  </r>
  <r>
    <s v="STU_1248"/>
    <x v="0"/>
    <n v="67.5"/>
    <n v="3.5"/>
    <s v="EXPERIENCED"/>
    <n v="6.1"/>
    <n v="4"/>
    <n v="3"/>
    <n v="3.61"/>
    <s v="LOW"/>
  </r>
  <r>
    <s v="STU_1249"/>
    <x v="2"/>
    <n v="52.3"/>
    <n v="3.25"/>
    <s v="EXPERIENCED"/>
    <n v="5.66"/>
    <n v="0"/>
    <n v="2"/>
    <n v="5.49"/>
    <s v="LOW"/>
  </r>
  <r>
    <s v="STU_1250"/>
    <x v="4"/>
    <n v="51.449999999999996"/>
    <n v="5"/>
    <s v="NOT EXPERIENCED"/>
    <n v="9.2899999999999991"/>
    <n v="1"/>
    <n v="0"/>
    <n v="8.4700000000000006"/>
    <s v="HIGH"/>
  </r>
  <r>
    <s v="STU_1251"/>
    <x v="0"/>
    <n v="49.4"/>
    <n v="2.25"/>
    <s v="BEGINNER"/>
    <n v="7.88"/>
    <n v="1"/>
    <n v="1"/>
    <n v="5.04"/>
    <s v="MEDIUM"/>
  </r>
  <r>
    <s v="STU_1252"/>
    <x v="0"/>
    <n v="60.9"/>
    <n v="8.5"/>
    <s v="EXPERIENCED"/>
    <n v="5.38"/>
    <n v="2"/>
    <n v="2"/>
    <n v="0"/>
    <s v="LOW"/>
  </r>
  <r>
    <s v="STU_1253"/>
    <x v="2"/>
    <n v="61.55"/>
    <n v="7.75"/>
    <s v="BEGINNER"/>
    <n v="6.91"/>
    <n v="4"/>
    <n v="1"/>
    <n v="5.55"/>
    <s v="MEDIUM"/>
  </r>
  <r>
    <s v="STU_1254"/>
    <x v="4"/>
    <n v="59.2"/>
    <n v="4"/>
    <s v="NOT EXPERIENCED"/>
    <n v="6.84"/>
    <n v="5"/>
    <n v="0"/>
    <n v="10.15"/>
    <s v="MEDIUM"/>
  </r>
  <r>
    <s v="STU_1255"/>
    <x v="2"/>
    <n v="46.55"/>
    <n v="4.5"/>
    <s v="BEGINNER"/>
    <n v="5.91"/>
    <n v="2"/>
    <n v="1"/>
    <n v="5.17"/>
    <s v="LOW"/>
  </r>
  <r>
    <s v="STU_1256"/>
    <x v="4"/>
    <n v="63.9"/>
    <n v="6.25"/>
    <s v="EXPERIENCED"/>
    <n v="7.18"/>
    <n v="1"/>
    <n v="3"/>
    <n v="0"/>
    <s v="MEDIUM"/>
  </r>
  <r>
    <s v="STU_1257"/>
    <x v="1"/>
    <n v="50.3"/>
    <n v="5.75"/>
    <s v="BEGINNER"/>
    <n v="6.66"/>
    <n v="2"/>
    <n v="1"/>
    <n v="4.2"/>
    <s v="MEDIUM"/>
  </r>
  <r>
    <s v="STU_1258"/>
    <x v="3"/>
    <n v="68.55"/>
    <n v="8"/>
    <s v="BEGINNER"/>
    <n v="6.71"/>
    <n v="4"/>
    <n v="1"/>
    <n v="4.6399999999999997"/>
    <s v="MEDIUM"/>
  </r>
  <r>
    <s v="STU_1259"/>
    <x v="3"/>
    <n v="73.5"/>
    <n v="5"/>
    <s v="NOT EXPERIENCED"/>
    <n v="8.6999999999999993"/>
    <n v="4"/>
    <n v="0"/>
    <n v="4.12"/>
    <s v="HIGH"/>
  </r>
  <r>
    <s v="STU_1260"/>
    <x v="3"/>
    <n v="47.6"/>
    <n v="2.5"/>
    <s v="BEGINNER"/>
    <n v="6.12"/>
    <n v="0"/>
    <n v="1"/>
    <n v="8.69"/>
    <s v="LOW"/>
  </r>
  <r>
    <s v="STU_1261"/>
    <x v="2"/>
    <n v="67.050000000000011"/>
    <n v="3.25"/>
    <s v="EXPERIENCED"/>
    <n v="8.2100000000000009"/>
    <n v="3"/>
    <n v="3"/>
    <n v="5.88"/>
    <s v="HIGH"/>
  </r>
  <r>
    <s v="STU_1262"/>
    <x v="1"/>
    <n v="53.25"/>
    <n v="7"/>
    <s v="NOT EXPERIENCED"/>
    <n v="7.85"/>
    <n v="0"/>
    <n v="0"/>
    <n v="5.98"/>
    <s v="MEDIUM"/>
  </r>
  <r>
    <s v="STU_1263"/>
    <x v="4"/>
    <n v="70.2"/>
    <n v="7"/>
    <s v="BEGINNER"/>
    <n v="7.84"/>
    <n v="4"/>
    <n v="1"/>
    <n v="4.72"/>
    <s v="MEDIUM"/>
  </r>
  <r>
    <s v="STU_1264"/>
    <x v="0"/>
    <n v="74.599999999999994"/>
    <n v="7.75"/>
    <s v="EXPERIENCED"/>
    <n v="8.32"/>
    <n v="1"/>
    <n v="2"/>
    <n v="0"/>
    <s v="HIGH"/>
  </r>
  <r>
    <s v="STU_1265"/>
    <x v="4"/>
    <n v="83.7"/>
    <n v="6.5"/>
    <s v="EXPERIENCED"/>
    <n v="7.74"/>
    <n v="5"/>
    <n v="2"/>
    <n v="6.96"/>
    <s v="MEDIUM"/>
  </r>
  <r>
    <s v="STU_1266"/>
    <x v="0"/>
    <n v="63"/>
    <n v="2.25"/>
    <s v="BEGINNER"/>
    <n v="9.4"/>
    <n v="1"/>
    <n v="1"/>
    <n v="6.18"/>
    <s v="HIGH"/>
  </r>
  <r>
    <s v="STU_1267"/>
    <x v="4"/>
    <n v="67.900000000000006"/>
    <n v="5.5"/>
    <s v="EXPERIENCED"/>
    <n v="8.3800000000000008"/>
    <n v="0"/>
    <n v="2"/>
    <n v="0"/>
    <s v="HIGH"/>
  </r>
  <r>
    <s v="STU_1268"/>
    <x v="1"/>
    <n v="70.650000000000006"/>
    <n v="3.5"/>
    <s v="BEGINNER"/>
    <n v="7.73"/>
    <n v="5"/>
    <n v="1"/>
    <n v="0"/>
    <s v="MEDIUM"/>
  </r>
  <r>
    <s v="STU_1269"/>
    <x v="0"/>
    <n v="65.75"/>
    <n v="5.5"/>
    <s v="NOT EXPERIENCED"/>
    <n v="9.15"/>
    <n v="4"/>
    <n v="0"/>
    <n v="5.27"/>
    <s v="HIGH"/>
  </r>
  <r>
    <s v="STU_1270"/>
    <x v="2"/>
    <n v="61.15"/>
    <n v="4.75"/>
    <s v="EXPERIENCED"/>
    <n v="8.0299999999999994"/>
    <n v="1"/>
    <n v="2"/>
    <n v="0"/>
    <s v="HIGH"/>
  </r>
  <r>
    <s v="STU_1271"/>
    <x v="4"/>
    <n v="58.3"/>
    <n v="6.25"/>
    <s v="EXPERIENCED"/>
    <n v="6.46"/>
    <n v="4"/>
    <n v="2"/>
    <n v="14.61"/>
    <s v="LOW"/>
  </r>
  <r>
    <s v="STU_1272"/>
    <x v="4"/>
    <n v="59.2"/>
    <n v="4.75"/>
    <s v="EXPERIENCED"/>
    <n v="6.04"/>
    <n v="5"/>
    <n v="2"/>
    <n v="0"/>
    <s v="LOW"/>
  </r>
  <r>
    <s v="STU_1273"/>
    <x v="0"/>
    <n v="66.8"/>
    <n v="3.75"/>
    <s v="EXPERIENCED"/>
    <n v="5.76"/>
    <n v="5"/>
    <n v="3"/>
    <n v="6.86"/>
    <s v="LOW"/>
  </r>
  <r>
    <s v="STU_1274"/>
    <x v="2"/>
    <n v="65.5"/>
    <n v="4"/>
    <s v="BEGINNER"/>
    <n v="9.5"/>
    <n v="1"/>
    <n v="1"/>
    <n v="5.19"/>
    <s v="HIGH"/>
  </r>
  <r>
    <s v="STU_1275"/>
    <x v="2"/>
    <n v="75.75"/>
    <n v="4.5"/>
    <s v="BEGINNER"/>
    <n v="8.5500000000000007"/>
    <n v="4"/>
    <n v="1"/>
    <n v="4.12"/>
    <s v="HIGH"/>
  </r>
  <r>
    <s v="STU_1276"/>
    <x v="1"/>
    <n v="76.449999999999989"/>
    <n v="2.75"/>
    <s v="EXPERIENCED"/>
    <n v="9.69"/>
    <n v="2"/>
    <n v="2"/>
    <n v="0"/>
    <s v="HIGH"/>
  </r>
  <r>
    <s v="STU_1277"/>
    <x v="2"/>
    <n v="65.099999999999994"/>
    <n v="6.25"/>
    <s v="BEGINNER"/>
    <n v="8.02"/>
    <n v="4"/>
    <n v="1"/>
    <n v="4.24"/>
    <s v="HIGH"/>
  </r>
  <r>
    <s v="STU_1278"/>
    <x v="2"/>
    <n v="75.849999999999994"/>
    <n v="5.75"/>
    <s v="EXPERIENCED"/>
    <n v="7.37"/>
    <n v="5"/>
    <n v="2"/>
    <n v="3.56"/>
    <s v="MEDIUM"/>
  </r>
  <r>
    <s v="STU_1279"/>
    <x v="2"/>
    <n v="64.5"/>
    <n v="6.75"/>
    <s v="EXPERIENCED"/>
    <n v="5.3"/>
    <n v="4"/>
    <n v="2"/>
    <n v="4.3499999999999996"/>
    <s v="LOW"/>
  </r>
  <r>
    <s v="STU_1280"/>
    <x v="3"/>
    <n v="55.8"/>
    <n v="3.25"/>
    <s v="EXPERIENCED"/>
    <n v="8.36"/>
    <n v="0"/>
    <n v="2"/>
    <n v="14.77"/>
    <s v="HIGH"/>
  </r>
  <r>
    <s v="STU_1281"/>
    <x v="1"/>
    <n v="64.55"/>
    <n v="6.5"/>
    <s v="BEGINNER"/>
    <n v="7.91"/>
    <n v="2"/>
    <n v="1"/>
    <n v="0"/>
    <s v="MEDIUM"/>
  </r>
  <r>
    <s v="STU_1282"/>
    <x v="4"/>
    <n v="67.75"/>
    <n v="4.75"/>
    <s v="BEGINNER"/>
    <n v="9.9499999999999993"/>
    <n v="3"/>
    <n v="1"/>
    <n v="5.65"/>
    <s v="HIGH"/>
  </r>
  <r>
    <s v="STU_1283"/>
    <x v="0"/>
    <n v="35"/>
    <n v="5.75"/>
    <s v="NOT EXPERIENCED"/>
    <n v="6.2"/>
    <n v="0"/>
    <n v="0"/>
    <n v="5.34"/>
    <s v="LOW"/>
  </r>
  <r>
    <s v="STU_1284"/>
    <x v="4"/>
    <n v="68.25"/>
    <n v="5.75"/>
    <s v="BEGINNER"/>
    <n v="7.65"/>
    <n v="3"/>
    <n v="1"/>
    <n v="6.38"/>
    <s v="MEDIUM"/>
  </r>
  <r>
    <s v="STU_1285"/>
    <x v="1"/>
    <n v="48.25"/>
    <n v="3.75"/>
    <s v="NOT EXPERIENCED"/>
    <n v="8.25"/>
    <n v="1"/>
    <n v="0"/>
    <n v="3.67"/>
    <s v="HIGH"/>
  </r>
  <r>
    <s v="STU_1286"/>
    <x v="0"/>
    <n v="73.099999999999994"/>
    <n v="5.25"/>
    <s v="BEGINNER"/>
    <n v="8.2200000000000006"/>
    <n v="3"/>
    <n v="1"/>
    <n v="9.75"/>
    <s v="HIGH"/>
  </r>
  <r>
    <s v="STU_1287"/>
    <x v="1"/>
    <n v="58.05"/>
    <n v="4.5"/>
    <s v="BEGINNER"/>
    <n v="7.81"/>
    <n v="4"/>
    <n v="1"/>
    <n v="0"/>
    <s v="MEDIUM"/>
  </r>
  <r>
    <s v="STU_1288"/>
    <x v="2"/>
    <n v="71.400000000000006"/>
    <n v="4.75"/>
    <s v="NOT EXPERIENCED"/>
    <n v="8.8800000000000008"/>
    <n v="3"/>
    <n v="0"/>
    <n v="5.94"/>
    <s v="HIGH"/>
  </r>
  <r>
    <s v="STU_1289"/>
    <x v="0"/>
    <n v="52.099999999999994"/>
    <n v="2.75"/>
    <s v="BEGINNER"/>
    <n v="6.02"/>
    <n v="5"/>
    <n v="1"/>
    <n v="4.92"/>
    <s v="LOW"/>
  </r>
  <r>
    <s v="STU_1290"/>
    <x v="2"/>
    <n v="63.150000000000006"/>
    <n v="8.25"/>
    <s v="NOT EXPERIENCED"/>
    <n v="8.6300000000000008"/>
    <n v="0"/>
    <n v="0"/>
    <n v="5.64"/>
    <s v="HIGH"/>
  </r>
  <r>
    <s v="STU_1291"/>
    <x v="4"/>
    <n v="60.5"/>
    <n v="6.75"/>
    <s v="NOT EXPERIENCED"/>
    <n v="8.1"/>
    <n v="0"/>
    <n v="0"/>
    <n v="4.01"/>
    <s v="HIGH"/>
  </r>
  <r>
    <s v="STU_1292"/>
    <x v="4"/>
    <n v="70.400000000000006"/>
    <n v="3.25"/>
    <s v="EXPERIENCED"/>
    <n v="9.48"/>
    <n v="3"/>
    <n v="2"/>
    <n v="3.53"/>
    <s v="HIGH"/>
  </r>
  <r>
    <s v="STU_1293"/>
    <x v="0"/>
    <n v="63.2"/>
    <n v="6"/>
    <s v="BEGINNER"/>
    <n v="9.24"/>
    <n v="0"/>
    <n v="1"/>
    <n v="11.75"/>
    <s v="HIGH"/>
  </r>
  <r>
    <s v="STU_1294"/>
    <x v="0"/>
    <n v="59.9"/>
    <n v="6.25"/>
    <s v="NOT EXPERIENCED"/>
    <n v="6.58"/>
    <n v="5"/>
    <n v="0"/>
    <n v="4.28"/>
    <s v="MEDIUM"/>
  </r>
  <r>
    <s v="STU_1295"/>
    <x v="1"/>
    <n v="38.9"/>
    <n v="5.25"/>
    <s v="BEGINNER"/>
    <n v="6.38"/>
    <n v="0"/>
    <n v="1"/>
    <n v="0"/>
    <s v="LOW"/>
  </r>
  <r>
    <s v="STU_1296"/>
    <x v="1"/>
    <n v="82.55"/>
    <n v="7"/>
    <s v="EXPERIENCED"/>
    <n v="9.91"/>
    <n v="3"/>
    <n v="2"/>
    <n v="6.84"/>
    <s v="HIGH"/>
  </r>
  <r>
    <s v="STU_1297"/>
    <x v="2"/>
    <n v="60.199999999999996"/>
    <n v="6.25"/>
    <s v="NOT EXPERIENCED"/>
    <n v="7.64"/>
    <n v="2"/>
    <n v="0"/>
    <n v="3.64"/>
    <s v="MEDIUM"/>
  </r>
  <r>
    <s v="STU_1298"/>
    <x v="0"/>
    <n v="62.65"/>
    <n v="5"/>
    <s v="BEGINNER"/>
    <n v="9.5299999999999994"/>
    <n v="2"/>
    <n v="1"/>
    <n v="3.87"/>
    <s v="HIGH"/>
  </r>
  <r>
    <s v="STU_1299"/>
    <x v="4"/>
    <n v="48.1"/>
    <n v="6.5"/>
    <s v="NOT EXPERIENCED"/>
    <n v="5.82"/>
    <n v="1"/>
    <n v="0"/>
    <n v="0"/>
    <s v="LOW"/>
  </r>
  <r>
    <s v="STU_1300"/>
    <x v="1"/>
    <n v="59.050000000000004"/>
    <n v="7.5"/>
    <s v="NOT EXPERIENCED"/>
    <n v="8.2100000000000009"/>
    <n v="0"/>
    <n v="0"/>
    <n v="5.77"/>
    <s v="HIGH"/>
  </r>
  <r>
    <s v="STU_1301"/>
    <x v="1"/>
    <n v="71.25"/>
    <n v="8.25"/>
    <s v="BEGINNER"/>
    <n v="9.0500000000000007"/>
    <n v="3"/>
    <n v="1"/>
    <n v="3.9"/>
    <s v="HIGH"/>
  </r>
  <r>
    <s v="STU_1302"/>
    <x v="4"/>
    <n v="63.7"/>
    <n v="3.25"/>
    <s v="BEGINNER"/>
    <n v="9.74"/>
    <n v="0"/>
    <n v="1"/>
    <n v="0"/>
    <s v="HIGH"/>
  </r>
  <r>
    <s v="STU_1303"/>
    <x v="1"/>
    <n v="68.45"/>
    <n v="5.5"/>
    <s v="BEGINNER"/>
    <n v="6.69"/>
    <n v="4"/>
    <n v="1"/>
    <n v="3.92"/>
    <s v="MEDIUM"/>
  </r>
  <r>
    <s v="STU_1304"/>
    <x v="2"/>
    <n v="86.1"/>
    <n v="6.25"/>
    <s v="EXPERIENCED"/>
    <n v="8.6199999999999992"/>
    <n v="5"/>
    <n v="2"/>
    <n v="0"/>
    <s v="HIGH"/>
  </r>
  <r>
    <s v="STU_1305"/>
    <x v="0"/>
    <n v="55.45"/>
    <n v="2.5"/>
    <s v="EXPERIENCED"/>
    <n v="7.69"/>
    <n v="0"/>
    <n v="3"/>
    <n v="6.07"/>
    <s v="MEDIUM"/>
  </r>
  <r>
    <s v="STU_1306"/>
    <x v="4"/>
    <n v="37.5"/>
    <n v="4"/>
    <s v="BEGINNER"/>
    <n v="5.3"/>
    <n v="0"/>
    <n v="1"/>
    <n v="13.62"/>
    <s v="LOW"/>
  </r>
  <r>
    <s v="STU_1307"/>
    <x v="0"/>
    <n v="71.25"/>
    <n v="6.25"/>
    <s v="BEGINNER"/>
    <n v="8.4499999999999993"/>
    <n v="2"/>
    <n v="1"/>
    <n v="0"/>
    <s v="HIGH"/>
  </r>
  <r>
    <s v="STU_1308"/>
    <x v="1"/>
    <n v="71.25"/>
    <n v="6.75"/>
    <s v="EXPERIENCED"/>
    <n v="8.4499999999999993"/>
    <n v="5"/>
    <n v="2"/>
    <n v="5.43"/>
    <s v="HIGH"/>
  </r>
  <r>
    <s v="STU_1309"/>
    <x v="1"/>
    <n v="65.25"/>
    <n v="4.25"/>
    <s v="NOT EXPERIENCED"/>
    <n v="9.65"/>
    <n v="3"/>
    <n v="0"/>
    <n v="5.03"/>
    <s v="HIGH"/>
  </r>
  <r>
    <s v="STU_1310"/>
    <x v="4"/>
    <n v="50.45"/>
    <n v="6"/>
    <s v="BEGINNER"/>
    <n v="7.49"/>
    <n v="0"/>
    <n v="1"/>
    <n v="0"/>
    <s v="MEDIUM"/>
  </r>
  <r>
    <s v="STU_1311"/>
    <x v="2"/>
    <n v="40.75"/>
    <n v="4"/>
    <s v="NOT EXPERIENCED"/>
    <n v="6.15"/>
    <n v="2"/>
    <n v="0"/>
    <n v="8.85"/>
    <s v="LOW"/>
  </r>
  <r>
    <s v="STU_1312"/>
    <x v="3"/>
    <n v="35.099999999999994"/>
    <n v="6.5"/>
    <s v="NOT EXPERIENCED"/>
    <n v="5.22"/>
    <n v="1"/>
    <n v="0"/>
    <n v="10.66"/>
    <s v="LOW"/>
  </r>
  <r>
    <s v="STU_1313"/>
    <x v="4"/>
    <n v="71.400000000000006"/>
    <n v="4.25"/>
    <s v="EXPERIENCED"/>
    <n v="7.08"/>
    <n v="5"/>
    <n v="3"/>
    <n v="6.85"/>
    <s v="MEDIUM"/>
  </r>
  <r>
    <s v="STU_1314"/>
    <x v="3"/>
    <n v="50.55"/>
    <n v="5.25"/>
    <s v="EXPERIENCED"/>
    <n v="6.51"/>
    <n v="2"/>
    <n v="2"/>
    <n v="10.42"/>
    <s v="MEDIUM"/>
  </r>
  <r>
    <s v="STU_1315"/>
    <x v="3"/>
    <n v="67.050000000000011"/>
    <n v="7"/>
    <s v="BEGINNER"/>
    <n v="8.81"/>
    <n v="2"/>
    <n v="1"/>
    <n v="0"/>
    <s v="HIGH"/>
  </r>
  <r>
    <s v="STU_1316"/>
    <x v="2"/>
    <n v="60.849999999999994"/>
    <n v="4.5"/>
    <s v="BEGINNER"/>
    <n v="6.77"/>
    <n v="2"/>
    <n v="1"/>
    <n v="5.67"/>
    <s v="MEDIUM"/>
  </r>
  <r>
    <s v="STU_1317"/>
    <x v="3"/>
    <n v="54.75"/>
    <n v="5.25"/>
    <s v="NOT EXPERIENCED"/>
    <n v="9.75"/>
    <n v="0"/>
    <n v="0"/>
    <n v="0"/>
    <s v="HIGH"/>
  </r>
  <r>
    <s v="STU_1318"/>
    <x v="3"/>
    <n v="59.050000000000004"/>
    <n v="6.25"/>
    <s v="NOT EXPERIENCED"/>
    <n v="9.81"/>
    <n v="0"/>
    <n v="0"/>
    <n v="3.59"/>
    <s v="HIGH"/>
  </r>
  <r>
    <s v="STU_1319"/>
    <x v="2"/>
    <n v="45.5"/>
    <n v="4"/>
    <s v="NOT EXPERIENCED"/>
    <n v="8.1"/>
    <n v="1"/>
    <n v="0"/>
    <n v="6.56"/>
    <s v="HIGH"/>
  </r>
  <r>
    <s v="STU_1320"/>
    <x v="3"/>
    <n v="85.2"/>
    <n v="5.5"/>
    <s v="BEGINNER"/>
    <n v="9.64"/>
    <n v="4"/>
    <n v="1"/>
    <n v="0"/>
    <s v="HIGH"/>
  </r>
  <r>
    <s v="STU_1321"/>
    <x v="3"/>
    <n v="80"/>
    <n v="6"/>
    <s v="EXPERIENCED"/>
    <n v="8.8000000000000007"/>
    <n v="4"/>
    <n v="2"/>
    <n v="5.18"/>
    <s v="HIGH"/>
  </r>
  <r>
    <s v="STU_1322"/>
    <x v="3"/>
    <n v="75.650000000000006"/>
    <n v="6.25"/>
    <s v="BEGINNER"/>
    <n v="7.73"/>
    <n v="4"/>
    <n v="1"/>
    <n v="6.96"/>
    <s v="MEDIUM"/>
  </r>
  <r>
    <s v="STU_1323"/>
    <x v="4"/>
    <n v="46.5"/>
    <n v="3.5"/>
    <s v="NOT EXPERIENCED"/>
    <n v="5.9"/>
    <n v="5"/>
    <n v="0"/>
    <n v="6.94"/>
    <s v="LOW"/>
  </r>
  <r>
    <s v="STU_1324"/>
    <x v="4"/>
    <n v="84.45"/>
    <n v="5.5"/>
    <s v="EXPERIENCED"/>
    <n v="7.29"/>
    <n v="5"/>
    <n v="3"/>
    <n v="3.83"/>
    <s v="MEDIUM"/>
  </r>
  <r>
    <s v="STU_1325"/>
    <x v="4"/>
    <n v="68"/>
    <n v="6.25"/>
    <s v="EXPERIENCED"/>
    <n v="7.8"/>
    <n v="1"/>
    <n v="2"/>
    <n v="3.52"/>
    <s v="MEDIUM"/>
  </r>
  <r>
    <s v="STU_1326"/>
    <x v="2"/>
    <n v="80.599999999999994"/>
    <n v="5.75"/>
    <s v="BEGINNER"/>
    <n v="9.32"/>
    <n v="5"/>
    <n v="1"/>
    <n v="3.51"/>
    <s v="HIGH"/>
  </r>
  <r>
    <s v="STU_1327"/>
    <x v="1"/>
    <n v="74.05"/>
    <n v="9.25"/>
    <s v="BEGINNER"/>
    <n v="7.41"/>
    <n v="4"/>
    <n v="1"/>
    <n v="0"/>
    <s v="MEDIUM"/>
  </r>
  <r>
    <s v="STU_1328"/>
    <x v="3"/>
    <n v="78.45"/>
    <n v="6"/>
    <s v="BEGINNER"/>
    <n v="9.49"/>
    <n v="4"/>
    <n v="1"/>
    <n v="6.72"/>
    <s v="HIGH"/>
  </r>
  <r>
    <s v="STU_1329"/>
    <x v="3"/>
    <n v="57.849999999999994"/>
    <n v="7.25"/>
    <s v="NOT EXPERIENCED"/>
    <n v="8.3699999999999992"/>
    <n v="2"/>
    <n v="0"/>
    <n v="0"/>
    <s v="HIGH"/>
  </r>
  <r>
    <s v="STU_1330"/>
    <x v="2"/>
    <n v="58.4"/>
    <n v="7"/>
    <s v="BEGINNER"/>
    <n v="5.68"/>
    <n v="5"/>
    <n v="1"/>
    <n v="0"/>
    <s v="LOW"/>
  </r>
  <r>
    <s v="STU_1331"/>
    <x v="3"/>
    <n v="69.849999999999994"/>
    <n v="7.25"/>
    <s v="EXPERIENCED"/>
    <n v="9.9700000000000006"/>
    <n v="0"/>
    <n v="2"/>
    <n v="5.43"/>
    <s v="HIGH"/>
  </r>
  <r>
    <s v="STU_1332"/>
    <x v="4"/>
    <n v="40.199999999999996"/>
    <n v="3.5"/>
    <s v="NOT EXPERIENCED"/>
    <n v="7.64"/>
    <n v="0"/>
    <n v="0"/>
    <n v="4.03"/>
    <s v="MEDIUM"/>
  </r>
  <r>
    <s v="STU_1333"/>
    <x v="1"/>
    <n v="56.8"/>
    <n v="6.25"/>
    <s v="NOT EXPERIENCED"/>
    <n v="6.96"/>
    <n v="2"/>
    <n v="0"/>
    <n v="6.24"/>
    <s v="MEDIUM"/>
  </r>
  <r>
    <s v="STU_1334"/>
    <x v="0"/>
    <n v="49.5"/>
    <n v="5.25"/>
    <s v="NOT EXPERIENCED"/>
    <n v="8.3000000000000007"/>
    <n v="2"/>
    <n v="0"/>
    <n v="4.1900000000000004"/>
    <s v="HIGH"/>
  </r>
  <r>
    <s v="STU_1335"/>
    <x v="3"/>
    <n v="41.7"/>
    <n v="5"/>
    <s v="NOT EXPERIENCED"/>
    <n v="5.54"/>
    <n v="2"/>
    <n v="0"/>
    <n v="4.1900000000000004"/>
    <s v="LOW"/>
  </r>
  <r>
    <s v="STU_1336"/>
    <x v="4"/>
    <n v="68.900000000000006"/>
    <n v="4.5"/>
    <s v="EXPERIENCED"/>
    <n v="8.18"/>
    <n v="0"/>
    <n v="2"/>
    <n v="0"/>
    <s v="HIGH"/>
  </r>
  <r>
    <s v="STU_1337"/>
    <x v="0"/>
    <n v="77.45"/>
    <n v="5.5"/>
    <s v="EXPERIENCED"/>
    <n v="7.49"/>
    <n v="4"/>
    <n v="2"/>
    <n v="4.24"/>
    <s v="MEDIUM"/>
  </r>
  <r>
    <s v="STU_1338"/>
    <x v="1"/>
    <n v="56.15"/>
    <n v="6"/>
    <s v="BEGINNER"/>
    <n v="7.03"/>
    <n v="2"/>
    <n v="1"/>
    <n v="5.77"/>
    <s v="MEDIUM"/>
  </r>
  <r>
    <s v="STU_1339"/>
    <x v="0"/>
    <n v="59.849999999999994"/>
    <n v="6"/>
    <s v="NOT EXPERIENCED"/>
    <n v="9.77"/>
    <n v="1"/>
    <n v="0"/>
    <n v="6.91"/>
    <s v="HIGH"/>
  </r>
  <r>
    <s v="STU_1340"/>
    <x v="4"/>
    <n v="55.050000000000004"/>
    <n v="5.5"/>
    <s v="BEGINNER"/>
    <n v="7.61"/>
    <n v="2"/>
    <n v="1"/>
    <n v="0"/>
    <s v="MEDIUM"/>
  </r>
  <r>
    <s v="STU_1341"/>
    <x v="0"/>
    <n v="50.5"/>
    <n v="4.5"/>
    <s v="BEGINNER"/>
    <n v="6.1"/>
    <n v="3"/>
    <n v="1"/>
    <n v="4.8600000000000003"/>
    <s v="LOW"/>
  </r>
  <r>
    <s v="STU_1342"/>
    <x v="2"/>
    <n v="52.45"/>
    <n v="7.25"/>
    <s v="NOT EXPERIENCED"/>
    <n v="7.29"/>
    <n v="2"/>
    <n v="0"/>
    <n v="5.78"/>
    <s v="MEDIUM"/>
  </r>
  <r>
    <s v="STU_1343"/>
    <x v="0"/>
    <n v="73"/>
    <n v="5.75"/>
    <s v="BEGINNER"/>
    <n v="9.6"/>
    <n v="0"/>
    <n v="1"/>
    <n v="0"/>
    <s v="HIGH"/>
  </r>
  <r>
    <s v="STU_1344"/>
    <x v="3"/>
    <n v="51.4"/>
    <n v="4"/>
    <s v="BEGINNER"/>
    <n v="5.88"/>
    <n v="5"/>
    <n v="1"/>
    <n v="6.95"/>
    <s v="LOW"/>
  </r>
  <r>
    <s v="STU_1345"/>
    <x v="3"/>
    <n v="51.35"/>
    <n v="4"/>
    <s v="BEGINNER"/>
    <n v="6.07"/>
    <n v="2"/>
    <n v="1"/>
    <n v="0"/>
    <s v="LOW"/>
  </r>
  <r>
    <s v="STU_1346"/>
    <x v="2"/>
    <n v="57.35"/>
    <n v="5.25"/>
    <s v="BEGINNER"/>
    <n v="5.07"/>
    <n v="5"/>
    <n v="1"/>
    <n v="5.25"/>
    <s v="LOW"/>
  </r>
  <r>
    <s v="STU_1347"/>
    <x v="4"/>
    <n v="48.35"/>
    <n v="5.75"/>
    <s v="NOT EXPERIENCED"/>
    <n v="5.07"/>
    <n v="3"/>
    <n v="0"/>
    <n v="6.59"/>
    <s v="LOW"/>
  </r>
  <r>
    <s v="STU_1348"/>
    <x v="3"/>
    <n v="71.75"/>
    <n v="5"/>
    <s v="BEGINNER"/>
    <n v="9.15"/>
    <n v="1"/>
    <n v="1"/>
    <n v="5.03"/>
    <s v="HIGH"/>
  </r>
  <r>
    <s v="STU_1349"/>
    <x v="1"/>
    <n v="69.3"/>
    <n v="2.75"/>
    <s v="BEGINNER"/>
    <n v="8.66"/>
    <n v="5"/>
    <n v="1"/>
    <n v="0"/>
    <s v="HIGH"/>
  </r>
  <r>
    <s v="STU_1350"/>
    <x v="3"/>
    <n v="54.9"/>
    <n v="5.5"/>
    <s v="BEGINNER"/>
    <n v="6.78"/>
    <n v="4"/>
    <n v="1"/>
    <n v="8.4"/>
    <s v="MEDIUM"/>
  </r>
  <r>
    <s v="STU_1351"/>
    <x v="3"/>
    <n v="64.45"/>
    <n v="6.5"/>
    <s v="EXPERIENCED"/>
    <n v="8.49"/>
    <n v="2"/>
    <n v="2"/>
    <n v="6.51"/>
    <s v="HIGH"/>
  </r>
  <r>
    <s v="STU_1352"/>
    <x v="4"/>
    <n v="66.900000000000006"/>
    <n v="6.75"/>
    <s v="BEGINNER"/>
    <n v="6.98"/>
    <n v="3"/>
    <n v="1"/>
    <n v="6.86"/>
    <s v="MEDIUM"/>
  </r>
  <r>
    <s v="STU_1353"/>
    <x v="0"/>
    <n v="71.8"/>
    <n v="8"/>
    <s v="NOT EXPERIENCED"/>
    <n v="9.76"/>
    <n v="3"/>
    <n v="0"/>
    <n v="5.92"/>
    <s v="HIGH"/>
  </r>
  <r>
    <s v="STU_1354"/>
    <x v="3"/>
    <n v="82.2"/>
    <n v="8.75"/>
    <s v="NOT EXPERIENCED"/>
    <n v="9.84"/>
    <n v="5"/>
    <n v="0"/>
    <n v="0"/>
    <s v="HIGH"/>
  </r>
  <r>
    <s v="STU_1355"/>
    <x v="2"/>
    <n v="46.8"/>
    <n v="5.75"/>
    <s v="BEGINNER"/>
    <n v="6.96"/>
    <n v="1"/>
    <n v="1"/>
    <n v="3.95"/>
    <s v="MEDIUM"/>
  </r>
  <r>
    <s v="STU_1356"/>
    <x v="0"/>
    <n v="56.349999999999994"/>
    <n v="7.75"/>
    <s v="NOT EXPERIENCED"/>
    <n v="9.27"/>
    <n v="0"/>
    <n v="0"/>
    <n v="4.3"/>
    <s v="HIGH"/>
  </r>
  <r>
    <s v="STU_1357"/>
    <x v="1"/>
    <n v="63.349999999999994"/>
    <n v="6"/>
    <s v="BEGINNER"/>
    <n v="8.8699999999999992"/>
    <n v="2"/>
    <n v="1"/>
    <n v="6.01"/>
    <s v="HIGH"/>
  </r>
  <r>
    <s v="STU_1358"/>
    <x v="4"/>
    <n v="60.75"/>
    <n v="3.75"/>
    <s v="EXPERIENCED"/>
    <n v="6.55"/>
    <n v="3"/>
    <n v="3"/>
    <n v="5.64"/>
    <s v="MEDIUM"/>
  </r>
  <r>
    <s v="STU_1359"/>
    <x v="1"/>
    <n v="56.8"/>
    <n v="3.25"/>
    <s v="BEGINNER"/>
    <n v="6.16"/>
    <n v="1"/>
    <n v="1"/>
    <n v="0"/>
    <s v="LOW"/>
  </r>
  <r>
    <s v="STU_1360"/>
    <x v="0"/>
    <n v="71.45"/>
    <n v="4.75"/>
    <s v="BEGINNER"/>
    <n v="7.29"/>
    <n v="4"/>
    <n v="1"/>
    <n v="0"/>
    <s v="MEDIUM"/>
  </r>
  <r>
    <s v="STU_1361"/>
    <x v="0"/>
    <n v="70.55"/>
    <n v="5.75"/>
    <s v="BEGINNER"/>
    <n v="8.91"/>
    <n v="3"/>
    <n v="1"/>
    <n v="5.65"/>
    <s v="HIGH"/>
  </r>
  <r>
    <s v="STU_1362"/>
    <x v="0"/>
    <n v="69"/>
    <n v="5.5"/>
    <s v="BEGINNER"/>
    <n v="9.8000000000000007"/>
    <n v="1"/>
    <n v="1"/>
    <n v="4.3"/>
    <s v="HIGH"/>
  </r>
  <r>
    <s v="STU_1363"/>
    <x v="1"/>
    <n v="65.099999999999994"/>
    <n v="4.75"/>
    <s v="BEGINNER"/>
    <n v="8.82"/>
    <n v="0"/>
    <n v="1"/>
    <n v="3.87"/>
    <s v="HIGH"/>
  </r>
  <r>
    <s v="STU_1364"/>
    <x v="0"/>
    <n v="73.400000000000006"/>
    <n v="5.5"/>
    <s v="EXPERIENCED"/>
    <n v="9.2799999999999994"/>
    <n v="0"/>
    <n v="3"/>
    <n v="6.66"/>
    <s v="HIGH"/>
  </r>
  <r>
    <s v="STU_1365"/>
    <x v="1"/>
    <n v="56.099999999999994"/>
    <n v="3"/>
    <s v="BEGINNER"/>
    <n v="8.02"/>
    <n v="3"/>
    <n v="1"/>
    <n v="6.85"/>
    <s v="HIGH"/>
  </r>
  <r>
    <s v="STU_1366"/>
    <x v="0"/>
    <n v="77.900000000000006"/>
    <n v="5.75"/>
    <s v="EXPERIENCED"/>
    <n v="9.18"/>
    <n v="3"/>
    <n v="3"/>
    <n v="5.37"/>
    <s v="HIGH"/>
  </r>
  <r>
    <s v="STU_1367"/>
    <x v="2"/>
    <n v="88.6"/>
    <n v="6.5"/>
    <s v="EXPERIENCED"/>
    <n v="8.92"/>
    <n v="5"/>
    <n v="3"/>
    <n v="4.6900000000000004"/>
    <s v="HIGH"/>
  </r>
  <r>
    <s v="STU_1368"/>
    <x v="0"/>
    <n v="44.4"/>
    <n v="2.25"/>
    <s v="NOT EXPERIENCED"/>
    <n v="6.88"/>
    <n v="2"/>
    <n v="0"/>
    <n v="0"/>
    <s v="MEDIUM"/>
  </r>
  <r>
    <s v="STU_1369"/>
    <x v="1"/>
    <n v="59.8"/>
    <n v="7.25"/>
    <s v="NOT EXPERIENCED"/>
    <n v="7.76"/>
    <n v="1"/>
    <n v="0"/>
    <n v="5.32"/>
    <s v="MEDIUM"/>
  </r>
  <r>
    <s v="STU_1370"/>
    <x v="3"/>
    <n v="70.099999999999994"/>
    <n v="6"/>
    <s v="NOT EXPERIENCED"/>
    <n v="9.02"/>
    <n v="3"/>
    <n v="0"/>
    <n v="0"/>
    <s v="HIGH"/>
  </r>
  <r>
    <s v="STU_1371"/>
    <x v="0"/>
    <n v="48.150000000000006"/>
    <n v="5.25"/>
    <s v="NOT EXPERIENCED"/>
    <n v="5.23"/>
    <n v="2"/>
    <n v="0"/>
    <n v="0"/>
    <s v="LOW"/>
  </r>
  <r>
    <s v="STU_1372"/>
    <x v="3"/>
    <n v="74.199999999999989"/>
    <n v="5.75"/>
    <s v="NOT EXPERIENCED"/>
    <n v="9.0399999999999991"/>
    <n v="5"/>
    <n v="0"/>
    <n v="3.71"/>
    <s v="HIGH"/>
  </r>
  <r>
    <s v="STU_1373"/>
    <x v="2"/>
    <n v="48.45"/>
    <n v="5.5"/>
    <s v="BEGINNER"/>
    <n v="5.89"/>
    <n v="2"/>
    <n v="1"/>
    <n v="3.87"/>
    <s v="LOW"/>
  </r>
  <r>
    <s v="STU_1374"/>
    <x v="4"/>
    <n v="50.85"/>
    <n v="5"/>
    <s v="NOT EXPERIENCED"/>
    <n v="7.57"/>
    <n v="3"/>
    <n v="0"/>
    <n v="5.74"/>
    <s v="MEDIUM"/>
  </r>
  <r>
    <s v="STU_1375"/>
    <x v="2"/>
    <n v="56.199999999999996"/>
    <n v="7.5"/>
    <s v="BEGINNER"/>
    <n v="9.0399999999999991"/>
    <n v="0"/>
    <n v="1"/>
    <n v="0"/>
    <s v="HIGH"/>
  </r>
  <r>
    <s v="STU_1376"/>
    <x v="0"/>
    <n v="56.349999999999994"/>
    <n v="5"/>
    <s v="EXPERIENCED"/>
    <n v="6.27"/>
    <n v="1"/>
    <n v="2"/>
    <n v="0"/>
    <s v="LOW"/>
  </r>
  <r>
    <s v="STU_1377"/>
    <x v="3"/>
    <n v="44.150000000000006"/>
    <n v="5"/>
    <s v="NOT EXPERIENCED"/>
    <n v="6.23"/>
    <n v="1"/>
    <n v="0"/>
    <n v="6.17"/>
    <s v="LOW"/>
  </r>
  <r>
    <s v="STU_1378"/>
    <x v="3"/>
    <n v="61.05"/>
    <n v="8.5"/>
    <s v="EXPERIENCED"/>
    <n v="7.01"/>
    <n v="0"/>
    <n v="2"/>
    <n v="5.85"/>
    <s v="MEDIUM"/>
  </r>
  <r>
    <s v="STU_1379"/>
    <x v="1"/>
    <n v="68.349999999999994"/>
    <n v="6.5"/>
    <s v="NOT EXPERIENCED"/>
    <n v="9.4700000000000006"/>
    <n v="3"/>
    <n v="0"/>
    <n v="0"/>
    <s v="HIGH"/>
  </r>
  <r>
    <s v="STU_1380"/>
    <x v="3"/>
    <n v="40"/>
    <n v="5.75"/>
    <s v="NOT EXPERIENCED"/>
    <n v="5"/>
    <n v="1"/>
    <n v="0"/>
    <n v="3.99"/>
    <s v="LOW"/>
  </r>
  <r>
    <s v="STU_1381"/>
    <x v="1"/>
    <n v="63.55"/>
    <n v="4.5"/>
    <s v="BEGINNER"/>
    <n v="9.51"/>
    <n v="3"/>
    <n v="1"/>
    <n v="0"/>
    <s v="HIGH"/>
  </r>
  <r>
    <s v="STU_1382"/>
    <x v="4"/>
    <n v="56.849999999999994"/>
    <n v="3.5"/>
    <s v="BEGINNER"/>
    <n v="5.77"/>
    <n v="5"/>
    <n v="1"/>
    <n v="4.1900000000000004"/>
    <s v="LOW"/>
  </r>
  <r>
    <s v="STU_1383"/>
    <x v="0"/>
    <n v="78.75"/>
    <n v="6.75"/>
    <s v="EXPERIENCED"/>
    <n v="9.9499999999999993"/>
    <n v="3"/>
    <n v="2"/>
    <n v="6.83"/>
    <s v="HIGH"/>
  </r>
  <r>
    <s v="STU_1384"/>
    <x v="1"/>
    <n v="70.849999999999994"/>
    <n v="4.5"/>
    <s v="EXPERIENCED"/>
    <n v="9.77"/>
    <n v="2"/>
    <n v="2"/>
    <n v="0"/>
    <s v="HIGH"/>
  </r>
  <r>
    <s v="STU_1385"/>
    <x v="4"/>
    <n v="65.349999999999994"/>
    <n v="6.75"/>
    <s v="EXPERIENCED"/>
    <n v="7.47"/>
    <n v="0"/>
    <n v="2"/>
    <n v="3.69"/>
    <s v="MEDIUM"/>
  </r>
  <r>
    <s v="STU_1386"/>
    <x v="3"/>
    <n v="48.8"/>
    <n v="4.5"/>
    <s v="NOT EXPERIENCED"/>
    <n v="7.56"/>
    <n v="3"/>
    <n v="0"/>
    <n v="4.34"/>
    <s v="MEDIUM"/>
  </r>
  <r>
    <s v="STU_1387"/>
    <x v="3"/>
    <n v="64.05"/>
    <n v="6.75"/>
    <s v="NOT EXPERIENCED"/>
    <n v="7.41"/>
    <n v="5"/>
    <n v="0"/>
    <n v="4.7"/>
    <s v="MEDIUM"/>
  </r>
  <r>
    <s v="STU_1388"/>
    <x v="4"/>
    <n v="74.900000000000006"/>
    <n v="6.25"/>
    <s v="EXPERIENCED"/>
    <n v="8.18"/>
    <n v="4"/>
    <n v="2"/>
    <n v="3.58"/>
    <s v="HIGH"/>
  </r>
  <r>
    <s v="STU_1389"/>
    <x v="3"/>
    <n v="57.25"/>
    <n v="6.25"/>
    <s v="EXPERIENCED"/>
    <n v="5.45"/>
    <n v="0"/>
    <n v="2"/>
    <n v="4.53"/>
    <s v="LOW"/>
  </r>
  <r>
    <s v="STU_1390"/>
    <x v="4"/>
    <n v="53.8"/>
    <n v="7"/>
    <s v="EXPERIENCED"/>
    <n v="5.16"/>
    <n v="1"/>
    <n v="3"/>
    <n v="0"/>
    <s v="LOW"/>
  </r>
  <r>
    <s v="STU_1391"/>
    <x v="1"/>
    <n v="47.45"/>
    <n v="5.75"/>
    <s v="BEGINNER"/>
    <n v="5.29"/>
    <n v="2"/>
    <n v="1"/>
    <n v="3.75"/>
    <s v="LOW"/>
  </r>
  <r>
    <s v="STU_1392"/>
    <x v="1"/>
    <n v="64.099999999999994"/>
    <n v="6.5"/>
    <s v="BEGINNER"/>
    <n v="7.22"/>
    <n v="1"/>
    <n v="1"/>
    <n v="0"/>
    <s v="MEDIUM"/>
  </r>
  <r>
    <s v="STU_1393"/>
    <x v="4"/>
    <n v="66.900000000000006"/>
    <n v="6"/>
    <s v="EXPERIENCED"/>
    <n v="6.38"/>
    <n v="5"/>
    <n v="2"/>
    <n v="0"/>
    <s v="LOW"/>
  </r>
  <r>
    <s v="STU_1394"/>
    <x v="1"/>
    <n v="72.55"/>
    <n v="6.75"/>
    <s v="BEGINNER"/>
    <n v="8.11"/>
    <n v="5"/>
    <n v="1"/>
    <n v="14.65"/>
    <s v="HIGH"/>
  </r>
  <r>
    <s v="STU_1395"/>
    <x v="1"/>
    <n v="83.800000000000011"/>
    <n v="7"/>
    <s v="EXPERIENCED"/>
    <n v="9.9600000000000009"/>
    <n v="1"/>
    <n v="3"/>
    <n v="0"/>
    <s v="HIGH"/>
  </r>
  <r>
    <s v="STU_1396"/>
    <x v="1"/>
    <n v="48.65"/>
    <n v="5.5"/>
    <s v="EXPERIENCED"/>
    <n v="6.93"/>
    <n v="0"/>
    <n v="2"/>
    <n v="13.6"/>
    <s v="MEDIUM"/>
  </r>
  <r>
    <s v="STU_1397"/>
    <x v="2"/>
    <n v="59.35"/>
    <n v="4.25"/>
    <s v="BEGINNER"/>
    <n v="7.87"/>
    <n v="1"/>
    <n v="1"/>
    <n v="3.64"/>
    <s v="MEDIUM"/>
  </r>
  <r>
    <s v="STU_1398"/>
    <x v="0"/>
    <n v="56.4"/>
    <n v="6"/>
    <s v="EXPERIENCED"/>
    <n v="7.08"/>
    <n v="3"/>
    <n v="2"/>
    <n v="4.92"/>
    <s v="MEDIUM"/>
  </r>
  <r>
    <s v="STU_1399"/>
    <x v="3"/>
    <n v="67.2"/>
    <n v="5.25"/>
    <s v="EXPERIENCED"/>
    <n v="9.24"/>
    <n v="1"/>
    <n v="2"/>
    <n v="5.35"/>
    <s v="HIGH"/>
  </r>
  <r>
    <s v="STU_1400"/>
    <x v="2"/>
    <n v="73.55"/>
    <n v="8.25"/>
    <s v="NOT EXPERIENCED"/>
    <n v="9.51"/>
    <n v="2"/>
    <n v="0"/>
    <n v="11.39"/>
    <s v="HIGH"/>
  </r>
  <r>
    <s v="STU_1401"/>
    <x v="1"/>
    <n v="73.95"/>
    <n v="5"/>
    <s v="EXPERIENCED"/>
    <n v="9.39"/>
    <n v="2"/>
    <n v="3"/>
    <n v="4.42"/>
    <s v="HIGH"/>
  </r>
  <r>
    <s v="STU_1402"/>
    <x v="4"/>
    <n v="84.35"/>
    <n v="7.75"/>
    <s v="BEGINNER"/>
    <n v="9.8699999999999992"/>
    <n v="4"/>
    <n v="1"/>
    <n v="4.8600000000000003"/>
    <s v="HIGH"/>
  </r>
  <r>
    <s v="STU_1403"/>
    <x v="1"/>
    <n v="47.7"/>
    <n v="4.75"/>
    <s v="EXPERIENCED"/>
    <n v="5.14"/>
    <n v="2"/>
    <n v="2"/>
    <n v="11.59"/>
    <s v="LOW"/>
  </r>
  <r>
    <s v="STU_1404"/>
    <x v="0"/>
    <n v="66"/>
    <n v="4.75"/>
    <s v="BEGINNER"/>
    <n v="9.1999999999999993"/>
    <n v="1"/>
    <n v="1"/>
    <n v="5.16"/>
    <s v="HIGH"/>
  </r>
  <r>
    <s v="STU_1405"/>
    <x v="1"/>
    <n v="61.8"/>
    <n v="6"/>
    <s v="EXPERIENCED"/>
    <n v="8.76"/>
    <n v="2"/>
    <n v="2"/>
    <n v="0"/>
    <s v="HIGH"/>
  </r>
  <r>
    <s v="STU_1406"/>
    <x v="4"/>
    <n v="47.7"/>
    <n v="3"/>
    <s v="BEGINNER"/>
    <n v="6.14"/>
    <n v="0"/>
    <n v="1"/>
    <n v="0"/>
    <s v="LOW"/>
  </r>
  <r>
    <s v="STU_1407"/>
    <x v="0"/>
    <n v="62.9"/>
    <n v="7"/>
    <s v="NOT EXPERIENCED"/>
    <n v="9.7799999999999994"/>
    <n v="2"/>
    <n v="0"/>
    <n v="6.96"/>
    <s v="HIGH"/>
  </r>
  <r>
    <s v="STU_1408"/>
    <x v="1"/>
    <n v="68.7"/>
    <n v="5.75"/>
    <s v="EXPERIENCED"/>
    <n v="5.74"/>
    <n v="3"/>
    <n v="3"/>
    <n v="3.67"/>
    <s v="LOW"/>
  </r>
  <r>
    <s v="STU_1409"/>
    <x v="0"/>
    <n v="60"/>
    <n v="5.5"/>
    <s v="NOT EXPERIENCED"/>
    <n v="8.4"/>
    <n v="0"/>
    <n v="0"/>
    <n v="5.01"/>
    <s v="HIGH"/>
  </r>
  <r>
    <s v="STU_1410"/>
    <x v="3"/>
    <n v="55.6"/>
    <n v="5.75"/>
    <s v="BEGINNER"/>
    <n v="6.12"/>
    <n v="4"/>
    <n v="1"/>
    <n v="12.78"/>
    <s v="LOW"/>
  </r>
  <r>
    <s v="STU_1411"/>
    <x v="3"/>
    <n v="79.8"/>
    <n v="6.75"/>
    <s v="EXPERIENCED"/>
    <n v="7.16"/>
    <n v="3"/>
    <n v="3"/>
    <n v="6.88"/>
    <s v="MEDIUM"/>
  </r>
  <r>
    <s v="STU_1412"/>
    <x v="1"/>
    <n v="81"/>
    <n v="7.75"/>
    <s v="EXPERIENCED"/>
    <n v="8.6"/>
    <n v="1"/>
    <n v="3"/>
    <n v="5.12"/>
    <s v="HIGH"/>
  </r>
  <r>
    <s v="STU_1413"/>
    <x v="0"/>
    <n v="59.1"/>
    <n v="4.5"/>
    <s v="BEGINNER"/>
    <n v="7.82"/>
    <n v="1"/>
    <n v="1"/>
    <n v="14.36"/>
    <s v="MEDIUM"/>
  </r>
  <r>
    <s v="STU_1414"/>
    <x v="4"/>
    <n v="45.699999999999996"/>
    <n v="2.5"/>
    <s v="BEGINNER"/>
    <n v="7.14"/>
    <n v="1"/>
    <n v="1"/>
    <n v="3.89"/>
    <s v="MEDIUM"/>
  </r>
  <r>
    <s v="STU_1415"/>
    <x v="1"/>
    <n v="55.15"/>
    <n v="4"/>
    <s v="BEGINNER"/>
    <n v="6.63"/>
    <n v="3"/>
    <n v="1"/>
    <n v="4.5"/>
    <s v="MEDIUM"/>
  </r>
  <r>
    <s v="STU_1416"/>
    <x v="3"/>
    <n v="69"/>
    <n v="7"/>
    <s v="NOT EXPERIENCED"/>
    <n v="9.1999999999999993"/>
    <n v="3"/>
    <n v="0"/>
    <n v="3.52"/>
    <s v="HIGH"/>
  </r>
  <r>
    <s v="STU_1417"/>
    <x v="3"/>
    <n v="44.599999999999994"/>
    <n v="5.75"/>
    <s v="BEGINNER"/>
    <n v="5.72"/>
    <n v="3"/>
    <n v="1"/>
    <n v="4.68"/>
    <s v="LOW"/>
  </r>
  <r>
    <s v="STU_1418"/>
    <x v="1"/>
    <n v="56.75"/>
    <n v="5"/>
    <s v="BEGINNER"/>
    <n v="7.15"/>
    <n v="0"/>
    <n v="1"/>
    <n v="0"/>
    <s v="MEDIUM"/>
  </r>
  <r>
    <s v="STU_1419"/>
    <x v="0"/>
    <n v="92.6"/>
    <n v="6"/>
    <s v="EXPERIENCED"/>
    <n v="9.52"/>
    <n v="5"/>
    <n v="2"/>
    <n v="6.88"/>
    <s v="HIGH"/>
  </r>
  <r>
    <s v="STU_1420"/>
    <x v="3"/>
    <n v="68.150000000000006"/>
    <n v="6.5"/>
    <s v="EXPERIENCED"/>
    <n v="9.23"/>
    <n v="0"/>
    <n v="2"/>
    <n v="5.19"/>
    <s v="HIGH"/>
  </r>
  <r>
    <s v="STU_1421"/>
    <x v="0"/>
    <n v="58"/>
    <n v="5.5"/>
    <s v="EXPERIENCED"/>
    <n v="7"/>
    <n v="1"/>
    <n v="2"/>
    <n v="6.88"/>
    <s v="MEDIUM"/>
  </r>
  <r>
    <s v="STU_1422"/>
    <x v="3"/>
    <n v="79.099999999999994"/>
    <n v="7.5"/>
    <s v="NOT EXPERIENCED"/>
    <n v="8.82"/>
    <n v="5"/>
    <n v="0"/>
    <n v="0"/>
    <s v="HIGH"/>
  </r>
  <r>
    <s v="STU_1423"/>
    <x v="3"/>
    <n v="74.599999999999994"/>
    <n v="7"/>
    <s v="BEGINNER"/>
    <n v="9.1199999999999992"/>
    <n v="2"/>
    <n v="1"/>
    <n v="3.87"/>
    <s v="HIGH"/>
  </r>
  <r>
    <s v="STU_1424"/>
    <x v="2"/>
    <n v="54.199999999999996"/>
    <n v="6.5"/>
    <s v="NOT EXPERIENCED"/>
    <n v="9.44"/>
    <n v="1"/>
    <n v="0"/>
    <n v="4.1900000000000004"/>
    <s v="HIGH"/>
  </r>
  <r>
    <s v="STU_1425"/>
    <x v="3"/>
    <n v="65.599999999999994"/>
    <n v="6.25"/>
    <s v="BEGINNER"/>
    <n v="7.72"/>
    <n v="4"/>
    <n v="1"/>
    <n v="3.86"/>
    <s v="MEDIUM"/>
  </r>
  <r>
    <s v="STU_1426"/>
    <x v="4"/>
    <n v="47.099999999999994"/>
    <n v="5"/>
    <s v="BEGINNER"/>
    <n v="6.02"/>
    <n v="0"/>
    <n v="1"/>
    <n v="5.68"/>
    <s v="LOW"/>
  </r>
  <r>
    <s v="STU_1427"/>
    <x v="1"/>
    <n v="64.400000000000006"/>
    <n v="6.5"/>
    <s v="EXPERIENCED"/>
    <n v="6.28"/>
    <n v="3"/>
    <n v="2"/>
    <n v="4.1900000000000004"/>
    <s v="LOW"/>
  </r>
  <r>
    <s v="STU_1428"/>
    <x v="1"/>
    <n v="47.400000000000006"/>
    <n v="5.75"/>
    <s v="BEGINNER"/>
    <n v="6.48"/>
    <n v="0"/>
    <n v="1"/>
    <n v="0"/>
    <s v="LOW"/>
  </r>
  <r>
    <s v="STU_1429"/>
    <x v="0"/>
    <n v="66.849999999999994"/>
    <n v="5.5"/>
    <s v="NOT EXPERIENCED"/>
    <n v="7.97"/>
    <n v="3"/>
    <n v="0"/>
    <n v="4.5"/>
    <s v="MEDIUM"/>
  </r>
  <r>
    <s v="STU_1430"/>
    <x v="3"/>
    <n v="42.8"/>
    <n v="5.25"/>
    <s v="NOT EXPERIENCED"/>
    <n v="5.16"/>
    <n v="5"/>
    <n v="0"/>
    <n v="6.34"/>
    <s v="LOW"/>
  </r>
  <r>
    <s v="STU_1431"/>
    <x v="4"/>
    <n v="76.900000000000006"/>
    <n v="6.25"/>
    <s v="EXPERIENCED"/>
    <n v="8.18"/>
    <n v="4"/>
    <n v="2"/>
    <n v="3.85"/>
    <s v="HIGH"/>
  </r>
  <r>
    <s v="STU_1432"/>
    <x v="0"/>
    <n v="74.099999999999994"/>
    <n v="9.75"/>
    <s v="BEGINNER"/>
    <n v="6.82"/>
    <n v="5"/>
    <n v="1"/>
    <n v="12.56"/>
    <s v="MEDIUM"/>
  </r>
  <r>
    <s v="STU_1433"/>
    <x v="2"/>
    <n v="58.400000000000006"/>
    <n v="4.5"/>
    <s v="NOT EXPERIENCED"/>
    <n v="6.48"/>
    <n v="4"/>
    <n v="0"/>
    <n v="5.65"/>
    <s v="LOW"/>
  </r>
  <r>
    <s v="STU_1434"/>
    <x v="0"/>
    <n v="55"/>
    <n v="7"/>
    <s v="NOT EXPERIENCED"/>
    <n v="9.4"/>
    <n v="0"/>
    <n v="0"/>
    <n v="4.1900000000000004"/>
    <s v="HIGH"/>
  </r>
  <r>
    <s v="STU_1435"/>
    <x v="0"/>
    <n v="73.5"/>
    <n v="7"/>
    <s v="EXPERIENCED"/>
    <n v="7.3"/>
    <n v="3"/>
    <n v="2"/>
    <n v="11.75"/>
    <s v="MEDIUM"/>
  </r>
  <r>
    <s v="STU_1436"/>
    <x v="3"/>
    <n v="52.400000000000006"/>
    <n v="6.25"/>
    <s v="NOT EXPERIENCED"/>
    <n v="5.48"/>
    <n v="5"/>
    <n v="0"/>
    <n v="14.5"/>
    <s v="LOW"/>
  </r>
  <r>
    <s v="STU_1437"/>
    <x v="2"/>
    <n v="75.650000000000006"/>
    <n v="4.75"/>
    <s v="EXPERIENCED"/>
    <n v="9.1300000000000008"/>
    <n v="4"/>
    <n v="2"/>
    <n v="9.33"/>
    <s v="HIGH"/>
  </r>
  <r>
    <s v="STU_1438"/>
    <x v="0"/>
    <n v="53.2"/>
    <n v="5.75"/>
    <s v="EXPERIENCED"/>
    <n v="5.24"/>
    <n v="1"/>
    <n v="2"/>
    <n v="4.41"/>
    <s v="LOW"/>
  </r>
  <r>
    <s v="STU_1439"/>
    <x v="4"/>
    <n v="54.150000000000006"/>
    <n v="5.25"/>
    <s v="NOT EXPERIENCED"/>
    <n v="8.6300000000000008"/>
    <n v="1"/>
    <n v="0"/>
    <n v="4.3499999999999996"/>
    <s v="HIGH"/>
  </r>
  <r>
    <s v="STU_1440"/>
    <x v="4"/>
    <n v="65.349999999999994"/>
    <n v="5.5"/>
    <s v="NOT EXPERIENCED"/>
    <n v="8.8699999999999992"/>
    <n v="5"/>
    <n v="0"/>
    <n v="4.8600000000000003"/>
    <s v="HIGH"/>
  </r>
  <r>
    <s v="STU_1441"/>
    <x v="1"/>
    <n v="75.8"/>
    <n v="5"/>
    <s v="EXPERIENCED"/>
    <n v="6.76"/>
    <n v="3"/>
    <n v="3"/>
    <n v="0"/>
    <s v="MEDIUM"/>
  </r>
  <r>
    <s v="STU_1442"/>
    <x v="2"/>
    <n v="81.599999999999994"/>
    <n v="6.25"/>
    <s v="BEGINNER"/>
    <n v="9.1199999999999992"/>
    <n v="5"/>
    <n v="1"/>
    <n v="4.2"/>
    <s v="HIGH"/>
  </r>
  <r>
    <s v="STU_1443"/>
    <x v="2"/>
    <n v="44.9"/>
    <n v="3.75"/>
    <s v="BEGINNER"/>
    <n v="7.58"/>
    <n v="0"/>
    <n v="1"/>
    <n v="4.32"/>
    <s v="MEDIUM"/>
  </r>
  <r>
    <s v="STU_1444"/>
    <x v="1"/>
    <n v="72.599999999999994"/>
    <n v="8.75"/>
    <s v="EXPERIENCED"/>
    <n v="7.32"/>
    <n v="4"/>
    <n v="2"/>
    <n v="5.43"/>
    <s v="MEDIUM"/>
  </r>
  <r>
    <s v="STU_1445"/>
    <x v="0"/>
    <n v="59.150000000000006"/>
    <n v="5"/>
    <s v="EXPERIENCED"/>
    <n v="5.23"/>
    <n v="0"/>
    <n v="3"/>
    <n v="6.92"/>
    <s v="LOW"/>
  </r>
  <r>
    <s v="STU_1446"/>
    <x v="2"/>
    <n v="66.25"/>
    <n v="5.25"/>
    <s v="EXPERIENCED"/>
    <n v="6.45"/>
    <n v="1"/>
    <n v="3"/>
    <n v="4.8600000000000003"/>
    <s v="LOW"/>
  </r>
  <r>
    <s v="STU_1447"/>
    <x v="4"/>
    <n v="86.3"/>
    <n v="4.5"/>
    <s v="EXPERIENCED"/>
    <n v="9.66"/>
    <n v="4"/>
    <n v="2"/>
    <n v="0"/>
    <s v="HIGH"/>
  </r>
  <r>
    <s v="STU_1448"/>
    <x v="4"/>
    <n v="66.8"/>
    <n v="5"/>
    <s v="BEGINNER"/>
    <n v="6.96"/>
    <n v="5"/>
    <n v="1"/>
    <n v="0"/>
    <s v="MEDIUM"/>
  </r>
  <r>
    <s v="STU_1449"/>
    <x v="3"/>
    <n v="46.650000000000006"/>
    <n v="4"/>
    <s v="NOT EXPERIENCED"/>
    <n v="7.73"/>
    <n v="0"/>
    <n v="0"/>
    <n v="6.83"/>
    <s v="MEDIUM"/>
  </r>
  <r>
    <s v="STU_1450"/>
    <x v="2"/>
    <n v="70.3"/>
    <n v="4.25"/>
    <s v="EXPERIENCED"/>
    <n v="7.66"/>
    <n v="2"/>
    <n v="2"/>
    <n v="4.22"/>
    <s v="MEDIUM"/>
  </r>
  <r>
    <s v="STU_1451"/>
    <x v="0"/>
    <n v="59.75"/>
    <n v="4"/>
    <s v="BEGINNER"/>
    <n v="7.95"/>
    <n v="3"/>
    <n v="1"/>
    <n v="4.3499999999999996"/>
    <s v="MEDIUM"/>
  </r>
  <r>
    <s v="STU_1452"/>
    <x v="1"/>
    <n v="58.55"/>
    <n v="4"/>
    <s v="BEGINNER"/>
    <n v="5.31"/>
    <n v="3"/>
    <n v="1"/>
    <n v="5.15"/>
    <s v="LOW"/>
  </r>
  <r>
    <s v="STU_1453"/>
    <x v="1"/>
    <n v="59.05"/>
    <n v="4"/>
    <s v="EXPERIENCED"/>
    <n v="6.81"/>
    <n v="2"/>
    <n v="3"/>
    <n v="3.66"/>
    <s v="MEDIUM"/>
  </r>
  <r>
    <s v="STU_1454"/>
    <x v="0"/>
    <n v="50.099999999999994"/>
    <n v="3.5"/>
    <s v="NOT EXPERIENCED"/>
    <n v="8.6199999999999992"/>
    <n v="1"/>
    <n v="0"/>
    <n v="4.5"/>
    <s v="HIGH"/>
  </r>
  <r>
    <s v="STU_1455"/>
    <x v="3"/>
    <n v="61"/>
    <n v="7"/>
    <s v="BEGINNER"/>
    <n v="6"/>
    <n v="4"/>
    <n v="1"/>
    <n v="5.65"/>
    <s v="LOW"/>
  </r>
  <r>
    <s v="STU_1456"/>
    <x v="1"/>
    <n v="59.099999999999994"/>
    <n v="6.5"/>
    <s v="NOT EXPERIENCED"/>
    <n v="6.02"/>
    <n v="3"/>
    <n v="0"/>
    <n v="0"/>
    <s v="LOW"/>
  </r>
  <r>
    <s v="STU_1457"/>
    <x v="2"/>
    <n v="44.25"/>
    <n v="4.25"/>
    <s v="BEGINNER"/>
    <n v="5.05"/>
    <n v="2"/>
    <n v="1"/>
    <n v="5.19"/>
    <s v="LOW"/>
  </r>
  <r>
    <s v="STU_1458"/>
    <x v="3"/>
    <n v="70.95"/>
    <n v="7.5"/>
    <s v="NOT EXPERIENCED"/>
    <n v="7.19"/>
    <n v="5"/>
    <n v="0"/>
    <n v="9.39"/>
    <s v="MEDIUM"/>
  </r>
  <r>
    <s v="STU_1459"/>
    <x v="2"/>
    <n v="69.05"/>
    <n v="4.5"/>
    <s v="NOT EXPERIENCED"/>
    <n v="9.41"/>
    <n v="2"/>
    <n v="0"/>
    <n v="5.33"/>
    <s v="HIGH"/>
  </r>
  <r>
    <s v="STU_1460"/>
    <x v="4"/>
    <n v="47.3"/>
    <n v="6.75"/>
    <s v="NOT EXPERIENCED"/>
    <n v="5.26"/>
    <n v="1"/>
    <n v="0"/>
    <n v="5.6"/>
    <s v="LOW"/>
  </r>
  <r>
    <s v="STU_1461"/>
    <x v="3"/>
    <n v="51.8"/>
    <n v="5"/>
    <s v="BEGINNER"/>
    <n v="5.96"/>
    <n v="1"/>
    <n v="1"/>
    <n v="5.77"/>
    <s v="LOW"/>
  </r>
  <r>
    <s v="STU_1462"/>
    <x v="1"/>
    <n v="52.75"/>
    <n v="5.25"/>
    <s v="EXPERIENCED"/>
    <n v="6.55"/>
    <n v="0"/>
    <n v="2"/>
    <n v="4.5"/>
    <s v="MEDIUM"/>
  </r>
  <r>
    <s v="STU_1463"/>
    <x v="3"/>
    <n v="73.3"/>
    <n v="7"/>
    <s v="BEGINNER"/>
    <n v="8.66"/>
    <n v="3"/>
    <n v="1"/>
    <n v="4.8899999999999997"/>
    <s v="HIGH"/>
  </r>
  <r>
    <s v="STU_1464"/>
    <x v="3"/>
    <n v="64"/>
    <n v="5.5"/>
    <s v="EXPERIENCED"/>
    <n v="8.1999999999999993"/>
    <n v="0"/>
    <n v="3"/>
    <n v="6.33"/>
    <s v="HIGH"/>
  </r>
  <r>
    <s v="STU_1465"/>
    <x v="3"/>
    <n v="50.4"/>
    <n v="5.5"/>
    <s v="BEGINNER"/>
    <n v="7.08"/>
    <n v="2"/>
    <n v="1"/>
    <n v="0"/>
    <s v="MEDIUM"/>
  </r>
  <r>
    <s v="STU_1466"/>
    <x v="3"/>
    <n v="68"/>
    <n v="8"/>
    <s v="NOT EXPERIENCED"/>
    <n v="8.8000000000000007"/>
    <n v="4"/>
    <n v="0"/>
    <n v="5.2"/>
    <s v="HIGH"/>
  </r>
  <r>
    <s v="STU_1467"/>
    <x v="2"/>
    <n v="80.25"/>
    <n v="4.25"/>
    <s v="EXPERIENCED"/>
    <n v="8.0500000000000007"/>
    <n v="4"/>
    <n v="2"/>
    <n v="3.61"/>
    <s v="HIGH"/>
  </r>
  <r>
    <s v="STU_1468"/>
    <x v="4"/>
    <n v="52.400000000000006"/>
    <n v="4"/>
    <s v="NOT EXPERIENCED"/>
    <n v="9.48"/>
    <n v="1"/>
    <n v="0"/>
    <n v="6.96"/>
    <s v="HIGH"/>
  </r>
  <r>
    <s v="STU_1469"/>
    <x v="0"/>
    <n v="92.45"/>
    <n v="6.75"/>
    <s v="EXPERIENCED"/>
    <n v="9.09"/>
    <n v="4"/>
    <n v="3"/>
    <n v="5.43"/>
    <s v="HIGH"/>
  </r>
  <r>
    <s v="STU_1470"/>
    <x v="3"/>
    <n v="57.3"/>
    <n v="5.25"/>
    <s v="NOT EXPERIENCED"/>
    <n v="6.26"/>
    <n v="4"/>
    <n v="0"/>
    <n v="0"/>
    <s v="LOW"/>
  </r>
  <r>
    <s v="STU_1471"/>
    <x v="1"/>
    <n v="78.8"/>
    <n v="7.5"/>
    <s v="EXPERIENCED"/>
    <n v="6.36"/>
    <n v="4"/>
    <n v="3"/>
    <n v="4.1100000000000003"/>
    <s v="LOW"/>
  </r>
  <r>
    <s v="STU_1472"/>
    <x v="3"/>
    <n v="52.15"/>
    <n v="7.5"/>
    <s v="NOT EXPERIENCED"/>
    <n v="5.63"/>
    <n v="2"/>
    <n v="0"/>
    <n v="6.11"/>
    <s v="LOW"/>
  </r>
  <r>
    <s v="STU_1473"/>
    <x v="1"/>
    <n v="75.400000000000006"/>
    <n v="6.5"/>
    <s v="EXPERIENCED"/>
    <n v="6.68"/>
    <n v="4"/>
    <n v="2"/>
    <n v="5.33"/>
    <s v="MEDIUM"/>
  </r>
  <r>
    <s v="STU_1474"/>
    <x v="2"/>
    <n v="88"/>
    <n v="5.25"/>
    <s v="BEGINNER"/>
    <n v="10"/>
    <n v="5"/>
    <n v="1"/>
    <n v="4.34"/>
    <s v="HIGH"/>
  </r>
  <r>
    <s v="STU_1475"/>
    <x v="1"/>
    <n v="82.15"/>
    <n v="6.75"/>
    <s v="EXPERIENCED"/>
    <n v="7.03"/>
    <n v="4"/>
    <n v="3"/>
    <n v="4.3499999999999996"/>
    <s v="MEDIUM"/>
  </r>
  <r>
    <s v="STU_1476"/>
    <x v="0"/>
    <n v="48.5"/>
    <n v="4.5"/>
    <s v="NOT EXPERIENCED"/>
    <n v="6.1"/>
    <n v="4"/>
    <n v="0"/>
    <n v="11.75"/>
    <s v="LOW"/>
  </r>
  <r>
    <s v="STU_1477"/>
    <x v="4"/>
    <n v="59.050000000000004"/>
    <n v="7"/>
    <s v="BEGINNER"/>
    <n v="8.81"/>
    <n v="0"/>
    <n v="1"/>
    <n v="6.85"/>
    <s v="HIGH"/>
  </r>
  <r>
    <s v="STU_1478"/>
    <x v="1"/>
    <n v="75.55"/>
    <n v="7.25"/>
    <s v="EXPERIENCED"/>
    <n v="7.71"/>
    <n v="2"/>
    <n v="3"/>
    <n v="13.6"/>
    <s v="MEDIUM"/>
  </r>
  <r>
    <s v="STU_1479"/>
    <x v="1"/>
    <n v="52.75"/>
    <n v="7.25"/>
    <s v="BEGINNER"/>
    <n v="5.75"/>
    <n v="1"/>
    <n v="1"/>
    <n v="4.1100000000000003"/>
    <s v="LOW"/>
  </r>
  <r>
    <s v="STU_1480"/>
    <x v="4"/>
    <n v="47.5"/>
    <n v="6"/>
    <s v="BEGINNER"/>
    <n v="6.9"/>
    <n v="0"/>
    <n v="1"/>
    <n v="0"/>
    <s v="MEDIUM"/>
  </r>
  <r>
    <s v="STU_1481"/>
    <x v="0"/>
    <n v="51.35"/>
    <n v="5.75"/>
    <s v="BEGINNER"/>
    <n v="7.07"/>
    <n v="3"/>
    <n v="1"/>
    <n v="4.37"/>
    <s v="MEDIUM"/>
  </r>
  <r>
    <s v="STU_1482"/>
    <x v="3"/>
    <n v="56.849999999999994"/>
    <n v="3.75"/>
    <s v="BEGINNER"/>
    <n v="8.77"/>
    <n v="2"/>
    <n v="1"/>
    <n v="9.25"/>
    <s v="HIGH"/>
  </r>
  <r>
    <s v="STU_1483"/>
    <x v="1"/>
    <n v="53.5"/>
    <n v="6"/>
    <s v="BEGINNER"/>
    <n v="5.0999999999999996"/>
    <n v="5"/>
    <n v="1"/>
    <n v="3.56"/>
    <s v="LOW"/>
  </r>
  <r>
    <s v="STU_1484"/>
    <x v="4"/>
    <n v="54.75"/>
    <n v="6.25"/>
    <s v="BEGINNER"/>
    <n v="6.35"/>
    <n v="2"/>
    <n v="1"/>
    <n v="5.72"/>
    <s v="LOW"/>
  </r>
  <r>
    <s v="STU_1485"/>
    <x v="2"/>
    <n v="77.95"/>
    <n v="5.75"/>
    <s v="EXPERIENCED"/>
    <n v="7.59"/>
    <n v="3"/>
    <n v="3"/>
    <n v="3.87"/>
    <s v="MEDIUM"/>
  </r>
  <r>
    <s v="STU_1486"/>
    <x v="4"/>
    <n v="52.7"/>
    <n v="2.5"/>
    <s v="NOT EXPERIENCED"/>
    <n v="6.34"/>
    <n v="3"/>
    <n v="0"/>
    <n v="6.86"/>
    <s v="LOW"/>
  </r>
  <r>
    <s v="STU_1487"/>
    <x v="2"/>
    <n v="67.7"/>
    <n v="6"/>
    <s v="NOT EXPERIENCED"/>
    <n v="8.14"/>
    <n v="3"/>
    <n v="0"/>
    <n v="4.1900000000000004"/>
    <s v="HIGH"/>
  </r>
  <r>
    <s v="STU_1488"/>
    <x v="0"/>
    <n v="73.05"/>
    <n v="3.75"/>
    <s v="EXPERIENCED"/>
    <n v="7.41"/>
    <n v="1"/>
    <n v="3"/>
    <n v="4.42"/>
    <s v="MEDIUM"/>
  </r>
  <r>
    <s v="STU_1489"/>
    <x v="3"/>
    <n v="60.05"/>
    <n v="4.5"/>
    <s v="EXPERIENCED"/>
    <n v="6.81"/>
    <n v="4"/>
    <n v="2"/>
    <n v="0"/>
    <s v="MEDIUM"/>
  </r>
  <r>
    <s v="STU_1490"/>
    <x v="4"/>
    <n v="79.75"/>
    <n v="4.75"/>
    <s v="BEGINNER"/>
    <n v="9.75"/>
    <n v="2"/>
    <n v="1"/>
    <n v="5.4"/>
    <s v="HIGH"/>
  </r>
  <r>
    <s v="STU_1491"/>
    <x v="1"/>
    <n v="59.8"/>
    <n v="4.25"/>
    <s v="BEGINNER"/>
    <n v="8.16"/>
    <n v="4"/>
    <n v="1"/>
    <n v="4.1100000000000003"/>
    <s v="HIGH"/>
  </r>
  <r>
    <s v="STU_1492"/>
    <x v="0"/>
    <n v="44.25"/>
    <n v="4"/>
    <s v="NOT EXPERIENCED"/>
    <n v="5.65"/>
    <n v="4"/>
    <n v="0"/>
    <n v="4.67"/>
    <s v="LOW"/>
  </r>
  <r>
    <s v="STU_1493"/>
    <x v="4"/>
    <n v="64"/>
    <n v="5.75"/>
    <s v="NOT EXPERIENCED"/>
    <n v="7.8"/>
    <n v="5"/>
    <n v="0"/>
    <n v="3.89"/>
    <s v="MEDIUM"/>
  </r>
  <r>
    <s v="STU_1494"/>
    <x v="1"/>
    <n v="66.5"/>
    <n v="3.75"/>
    <s v="BEGINNER"/>
    <n v="8.9"/>
    <n v="3"/>
    <n v="1"/>
    <n v="5.33"/>
    <s v="HIGH"/>
  </r>
  <r>
    <s v="STU_1495"/>
    <x v="4"/>
    <n v="58.699999999999996"/>
    <n v="5.5"/>
    <s v="BEGINNER"/>
    <n v="8.5399999999999991"/>
    <n v="1"/>
    <n v="1"/>
    <n v="4.68"/>
    <s v="HIGH"/>
  </r>
  <r>
    <s v="STU_1496"/>
    <x v="2"/>
    <n v="67.3"/>
    <n v="7.25"/>
    <s v="BEGINNER"/>
    <n v="5.86"/>
    <n v="5"/>
    <n v="1"/>
    <n v="5.49"/>
    <s v="LOW"/>
  </r>
  <r>
    <s v="STU_1497"/>
    <x v="4"/>
    <n v="65.3"/>
    <n v="8.5"/>
    <s v="NOT EXPERIENCED"/>
    <n v="9.86"/>
    <n v="0"/>
    <n v="0"/>
    <n v="4.4000000000000004"/>
    <s v="HIGH"/>
  </r>
  <r>
    <s v="STU_1498"/>
    <x v="4"/>
    <n v="66.2"/>
    <n v="5"/>
    <s v="EXPERIENCED"/>
    <n v="7.24"/>
    <n v="1"/>
    <n v="3"/>
    <n v="4.12"/>
    <s v="MEDIUM"/>
  </r>
  <r>
    <s v="STU_1499"/>
    <x v="4"/>
    <n v="58"/>
    <n v="3.5"/>
    <s v="EXPERIENCED"/>
    <n v="5.8"/>
    <n v="4"/>
    <n v="3"/>
    <n v="5.19"/>
    <s v="LOW"/>
  </r>
  <r>
    <s v="STU_1500"/>
    <x v="0"/>
    <n v="41.5"/>
    <n v="5.5"/>
    <s v="BEGINNER"/>
    <n v="5.9"/>
    <n v="1"/>
    <n v="1"/>
    <n v="4.32"/>
    <s v="LOW"/>
  </r>
  <r>
    <s v="STU_1501"/>
    <x v="4"/>
    <n v="53.45"/>
    <n v="3.75"/>
    <s v="BEGINNER"/>
    <n v="5.49"/>
    <n v="3"/>
    <n v="1"/>
    <n v="6.03"/>
    <s v="LOW"/>
  </r>
  <r>
    <s v="STU_1502"/>
    <x v="1"/>
    <n v="54.099999999999994"/>
    <n v="2"/>
    <s v="BEGINNER"/>
    <n v="9.02"/>
    <n v="0"/>
    <n v="1"/>
    <n v="4.8899999999999997"/>
    <s v="HIGH"/>
  </r>
  <r>
    <s v="STU_1503"/>
    <x v="2"/>
    <n v="67.05"/>
    <n v="5.75"/>
    <s v="EXPERIENCED"/>
    <n v="5.61"/>
    <n v="3"/>
    <n v="2"/>
    <n v="3.92"/>
    <s v="LOW"/>
  </r>
  <r>
    <s v="STU_1504"/>
    <x v="2"/>
    <n v="43.15"/>
    <n v="6.5"/>
    <s v="BEGINNER"/>
    <n v="5.63"/>
    <n v="0"/>
    <n v="1"/>
    <n v="4.3600000000000003"/>
    <s v="LOW"/>
  </r>
  <r>
    <s v="STU_1505"/>
    <x v="4"/>
    <n v="71.25"/>
    <n v="5"/>
    <s v="NOT EXPERIENCED"/>
    <n v="9.25"/>
    <n v="5"/>
    <n v="0"/>
    <n v="6.33"/>
    <s v="HIGH"/>
  </r>
  <r>
    <s v="STU_1506"/>
    <x v="0"/>
    <n v="72.599999999999994"/>
    <n v="3.5"/>
    <s v="EXPERIENCED"/>
    <n v="6.72"/>
    <n v="4"/>
    <n v="3"/>
    <n v="4.1900000000000004"/>
    <s v="MEDIUM"/>
  </r>
  <r>
    <s v="STU_1507"/>
    <x v="0"/>
    <n v="47.75"/>
    <n v="4.75"/>
    <s v="EXPERIENCED"/>
    <n v="5.15"/>
    <n v="0"/>
    <n v="2"/>
    <n v="0"/>
    <s v="LOW"/>
  </r>
  <r>
    <s v="STU_1508"/>
    <x v="1"/>
    <n v="53.3"/>
    <n v="5.25"/>
    <s v="EXPERIENCED"/>
    <n v="5.26"/>
    <n v="0"/>
    <n v="3"/>
    <n v="4.1100000000000003"/>
    <s v="LOW"/>
  </r>
  <r>
    <s v="STU_1509"/>
    <x v="4"/>
    <n v="42.55"/>
    <n v="6.25"/>
    <s v="EXPERIENCED"/>
    <n v="5.71"/>
    <n v="0"/>
    <n v="2"/>
    <n v="6.84"/>
    <s v="LOW"/>
  </r>
  <r>
    <s v="STU_1510"/>
    <x v="2"/>
    <n v="58.35"/>
    <n v="6.5"/>
    <s v="BEGINNER"/>
    <n v="6.07"/>
    <n v="1"/>
    <n v="1"/>
    <n v="0"/>
    <s v="LOW"/>
  </r>
  <r>
    <s v="STU_1511"/>
    <x v="0"/>
    <n v="67.650000000000006"/>
    <n v="5"/>
    <s v="BEGINNER"/>
    <n v="8.33"/>
    <n v="5"/>
    <n v="1"/>
    <n v="0"/>
    <s v="HIGH"/>
  </r>
  <r>
    <s v="STU_1512"/>
    <x v="4"/>
    <n v="58.95"/>
    <n v="5.25"/>
    <s v="EXPERIENCED"/>
    <n v="5.79"/>
    <n v="1"/>
    <n v="3"/>
    <n v="6.59"/>
    <s v="LOW"/>
  </r>
  <r>
    <s v="STU_1513"/>
    <x v="0"/>
    <n v="65.95"/>
    <n v="6.25"/>
    <s v="EXPERIENCED"/>
    <n v="5.59"/>
    <n v="4"/>
    <n v="2"/>
    <n v="4.34"/>
    <s v="LOW"/>
  </r>
  <r>
    <s v="STU_1514"/>
    <x v="0"/>
    <n v="46.1"/>
    <n v="3.25"/>
    <s v="NOT EXPERIENCED"/>
    <n v="8.82"/>
    <n v="0"/>
    <n v="0"/>
    <n v="4.5"/>
    <s v="HIGH"/>
  </r>
  <r>
    <s v="STU_1515"/>
    <x v="2"/>
    <n v="58.8"/>
    <n v="5.25"/>
    <s v="NOT EXPERIENCED"/>
    <n v="8.36"/>
    <n v="5"/>
    <n v="0"/>
    <n v="6.06"/>
    <s v="HIGH"/>
  </r>
  <r>
    <s v="STU_1516"/>
    <x v="3"/>
    <n v="59.9"/>
    <n v="4.5"/>
    <s v="BEGINNER"/>
    <n v="7.18"/>
    <n v="5"/>
    <n v="1"/>
    <n v="4.12"/>
    <s v="MEDIUM"/>
  </r>
  <r>
    <s v="STU_1517"/>
    <x v="1"/>
    <n v="66.75"/>
    <n v="4.75"/>
    <s v="EXPERIENCED"/>
    <n v="7.75"/>
    <n v="2"/>
    <n v="2"/>
    <n v="4.5599999999999996"/>
    <s v="MEDIUM"/>
  </r>
  <r>
    <s v="STU_1518"/>
    <x v="1"/>
    <n v="77.8"/>
    <n v="5.25"/>
    <s v="EXPERIENCED"/>
    <n v="6.56"/>
    <n v="4"/>
    <n v="3"/>
    <n v="0"/>
    <s v="MEDIUM"/>
  </r>
  <r>
    <s v="STU_1519"/>
    <x v="2"/>
    <n v="60.05"/>
    <n v="6.5"/>
    <s v="NOT EXPERIENCED"/>
    <n v="7.41"/>
    <n v="5"/>
    <n v="0"/>
    <n v="0"/>
    <s v="MEDIUM"/>
  </r>
  <r>
    <s v="STU_1520"/>
    <x v="0"/>
    <n v="48.65"/>
    <n v="5"/>
    <s v="BEGINNER"/>
    <n v="7.53"/>
    <n v="0"/>
    <n v="1"/>
    <n v="13.75"/>
    <s v="MEDIUM"/>
  </r>
  <r>
    <s v="STU_1521"/>
    <x v="4"/>
    <n v="55.7"/>
    <n v="5.75"/>
    <s v="BEGINNER"/>
    <n v="6.94"/>
    <n v="0"/>
    <n v="1"/>
    <n v="4.1100000000000003"/>
    <s v="MEDIUM"/>
  </r>
  <r>
    <s v="STU_1522"/>
    <x v="0"/>
    <n v="97.65"/>
    <n v="6"/>
    <s v="EXPERIENCED"/>
    <n v="9.5299999999999994"/>
    <n v="5"/>
    <n v="3"/>
    <n v="5.13"/>
    <s v="HIGH"/>
  </r>
  <r>
    <s v="STU_1523"/>
    <x v="2"/>
    <n v="56.4"/>
    <n v="6.25"/>
    <s v="EXPERIENCED"/>
    <n v="5.08"/>
    <n v="1"/>
    <n v="2"/>
    <n v="3.98"/>
    <s v="LOW"/>
  </r>
  <r>
    <s v="STU_1524"/>
    <x v="1"/>
    <n v="76.55"/>
    <n v="7.75"/>
    <s v="EXPERIENCED"/>
    <n v="8.91"/>
    <n v="4"/>
    <n v="2"/>
    <n v="4.41"/>
    <s v="HIGH"/>
  </r>
  <r>
    <s v="STU_1525"/>
    <x v="0"/>
    <n v="51.1"/>
    <n v="7.25"/>
    <s v="BEGINNER"/>
    <n v="5.62"/>
    <n v="0"/>
    <n v="1"/>
    <n v="3.56"/>
    <s v="LOW"/>
  </r>
  <r>
    <s v="STU_1526"/>
    <x v="1"/>
    <n v="68.95"/>
    <n v="6"/>
    <s v="BEGINNER"/>
    <n v="8.99"/>
    <n v="5"/>
    <n v="1"/>
    <n v="5.13"/>
    <s v="HIGH"/>
  </r>
  <r>
    <s v="STU_1527"/>
    <x v="4"/>
    <n v="46.4"/>
    <n v="4.5"/>
    <s v="NOT EXPERIENCED"/>
    <n v="8.08"/>
    <n v="0"/>
    <n v="0"/>
    <n v="5.03"/>
    <s v="HIGH"/>
  </r>
  <r>
    <s v="STU_1528"/>
    <x v="1"/>
    <n v="75.099999999999994"/>
    <n v="7.25"/>
    <s v="NOT EXPERIENCED"/>
    <n v="9.2200000000000006"/>
    <n v="5"/>
    <n v="0"/>
    <n v="5.12"/>
    <s v="HIGH"/>
  </r>
  <r>
    <s v="STU_1529"/>
    <x v="1"/>
    <n v="63.45"/>
    <n v="6.75"/>
    <s v="EXPERIENCED"/>
    <n v="5.49"/>
    <n v="4"/>
    <n v="2"/>
    <n v="4.4000000000000004"/>
    <s v="LOW"/>
  </r>
  <r>
    <s v="STU_1530"/>
    <x v="3"/>
    <n v="75.95"/>
    <n v="5.25"/>
    <s v="EXPERIENCED"/>
    <n v="7.79"/>
    <n v="5"/>
    <n v="2"/>
    <n v="0"/>
    <s v="MEDIUM"/>
  </r>
  <r>
    <s v="STU_1531"/>
    <x v="3"/>
    <n v="70.55"/>
    <n v="5.5"/>
    <s v="EXPERIENCED"/>
    <n v="7.51"/>
    <n v="2"/>
    <n v="3"/>
    <n v="0"/>
    <s v="MEDIUM"/>
  </r>
  <r>
    <s v="STU_1532"/>
    <x v="3"/>
    <n v="76.650000000000006"/>
    <n v="5.75"/>
    <s v="EXPERIENCED"/>
    <n v="8.5299999999999994"/>
    <n v="5"/>
    <n v="3"/>
    <n v="3.95"/>
    <s v="HIGH"/>
  </r>
  <r>
    <s v="STU_1533"/>
    <x v="1"/>
    <n v="78.349999999999994"/>
    <n v="7"/>
    <s v="BEGINNER"/>
    <n v="7.67"/>
    <n v="5"/>
    <n v="1"/>
    <n v="5.65"/>
    <s v="MEDIUM"/>
  </r>
  <r>
    <s v="STU_1534"/>
    <x v="2"/>
    <n v="72.5"/>
    <n v="7.5"/>
    <s v="EXPERIENCED"/>
    <n v="7.7"/>
    <n v="4"/>
    <n v="2"/>
    <n v="4.4000000000000004"/>
    <s v="MEDIUM"/>
  </r>
  <r>
    <s v="STU_1535"/>
    <x v="1"/>
    <n v="73.75"/>
    <n v="4"/>
    <s v="EXPERIENCED"/>
    <n v="7.15"/>
    <n v="5"/>
    <n v="3"/>
    <n v="0"/>
    <s v="MEDIUM"/>
  </r>
  <r>
    <s v="STU_1536"/>
    <x v="2"/>
    <n v="60.7"/>
    <n v="6"/>
    <s v="EXPERIENCED"/>
    <n v="6.54"/>
    <n v="4"/>
    <n v="2"/>
    <n v="0"/>
    <s v="MEDIUM"/>
  </r>
  <r>
    <s v="STU_1537"/>
    <x v="2"/>
    <n v="47.05"/>
    <n v="6.25"/>
    <s v="NOT EXPERIENCED"/>
    <n v="7.41"/>
    <n v="2"/>
    <n v="0"/>
    <n v="4.5599999999999996"/>
    <s v="MEDIUM"/>
  </r>
  <r>
    <s v="STU_1538"/>
    <x v="3"/>
    <n v="46.95"/>
    <n v="5.75"/>
    <s v="BEGINNER"/>
    <n v="5.59"/>
    <n v="4"/>
    <n v="1"/>
    <n v="0"/>
    <s v="LOW"/>
  </r>
  <r>
    <s v="STU_1539"/>
    <x v="0"/>
    <n v="59.050000000000004"/>
    <n v="4.5"/>
    <s v="NOT EXPERIENCED"/>
    <n v="9.81"/>
    <n v="0"/>
    <n v="0"/>
    <n v="4.33"/>
    <s v="HIGH"/>
  </r>
  <r>
    <s v="STU_1540"/>
    <x v="4"/>
    <n v="73.849999999999994"/>
    <n v="3.25"/>
    <s v="EXPERIENCED"/>
    <n v="8.57"/>
    <n v="4"/>
    <n v="3"/>
    <n v="4.67"/>
    <s v="HIGH"/>
  </r>
  <r>
    <s v="STU_1541"/>
    <x v="3"/>
    <n v="63.8"/>
    <n v="6.25"/>
    <s v="BEGINNER"/>
    <n v="9.76"/>
    <n v="2"/>
    <n v="1"/>
    <n v="4.3499999999999996"/>
    <s v="HIGH"/>
  </r>
  <r>
    <s v="STU_1542"/>
    <x v="3"/>
    <n v="53.65"/>
    <n v="6"/>
    <s v="NOT EXPERIENCED"/>
    <n v="6.13"/>
    <n v="3"/>
    <n v="0"/>
    <n v="9.34"/>
    <s v="LOW"/>
  </r>
  <r>
    <s v="STU_1543"/>
    <x v="0"/>
    <n v="83"/>
    <n v="6.25"/>
    <s v="BEGINNER"/>
    <n v="9.4"/>
    <n v="5"/>
    <n v="1"/>
    <n v="4.5999999999999996"/>
    <s v="HIGH"/>
  </r>
  <r>
    <s v="STU_1544"/>
    <x v="4"/>
    <n v="82.199999999999989"/>
    <n v="8.25"/>
    <s v="BEGINNER"/>
    <n v="9.0399999999999991"/>
    <n v="4"/>
    <n v="1"/>
    <n v="4.12"/>
    <s v="HIGH"/>
  </r>
  <r>
    <s v="STU_1545"/>
    <x v="1"/>
    <n v="77.95"/>
    <n v="6.25"/>
    <s v="BEGINNER"/>
    <n v="8.39"/>
    <n v="5"/>
    <n v="1"/>
    <n v="5.13"/>
    <s v="HIGH"/>
  </r>
  <r>
    <s v="STU_1546"/>
    <x v="1"/>
    <n v="51.650000000000006"/>
    <n v="5.5"/>
    <s v="NOT EXPERIENCED"/>
    <n v="8.1300000000000008"/>
    <n v="1"/>
    <n v="0"/>
    <n v="9.25"/>
    <s v="HIGH"/>
  </r>
  <r>
    <s v="STU_1547"/>
    <x v="3"/>
    <n v="39.9"/>
    <n v="4"/>
    <s v="BEGINNER"/>
    <n v="6.58"/>
    <n v="0"/>
    <n v="1"/>
    <n v="0"/>
    <s v="MEDIUM"/>
  </r>
  <r>
    <s v="STU_1548"/>
    <x v="4"/>
    <n v="64.400000000000006"/>
    <n v="4.75"/>
    <s v="BEGINNER"/>
    <n v="9.08"/>
    <n v="0"/>
    <n v="1"/>
    <n v="3.87"/>
    <s v="HIGH"/>
  </r>
  <r>
    <s v="STU_1549"/>
    <x v="3"/>
    <n v="52.55"/>
    <n v="2.5"/>
    <s v="EXPERIENCED"/>
    <n v="7.51"/>
    <n v="1"/>
    <n v="2"/>
    <n v="4.2"/>
    <s v="MEDIUM"/>
  </r>
  <r>
    <s v="STU_1550"/>
    <x v="2"/>
    <n v="42.75"/>
    <n v="4.5"/>
    <s v="BEGINNER"/>
    <n v="5.35"/>
    <n v="1"/>
    <n v="1"/>
    <n v="4.68"/>
    <s v="LOW"/>
  </r>
  <r>
    <s v="STU_1551"/>
    <x v="3"/>
    <n v="70.8"/>
    <n v="6.75"/>
    <s v="EXPERIENCED"/>
    <n v="6.56"/>
    <n v="4"/>
    <n v="2"/>
    <n v="0"/>
    <s v="MEDIUM"/>
  </r>
  <r>
    <s v="STU_1552"/>
    <x v="3"/>
    <n v="60.4"/>
    <n v="4.5"/>
    <s v="BEGINNER"/>
    <n v="9.68"/>
    <n v="1"/>
    <n v="1"/>
    <n v="5.14"/>
    <s v="HIGH"/>
  </r>
  <r>
    <s v="STU_1553"/>
    <x v="1"/>
    <n v="72.25"/>
    <n v="4.25"/>
    <s v="BEGINNER"/>
    <n v="9.25"/>
    <n v="3"/>
    <n v="1"/>
    <n v="0"/>
    <s v="HIGH"/>
  </r>
  <r>
    <s v="STU_1554"/>
    <x v="1"/>
    <n v="86.55"/>
    <n v="4.75"/>
    <s v="EXPERIENCED"/>
    <n v="9.91"/>
    <n v="5"/>
    <n v="2"/>
    <n v="0"/>
    <s v="HIGH"/>
  </r>
  <r>
    <s v="STU_1555"/>
    <x v="1"/>
    <n v="78.7"/>
    <n v="5.5"/>
    <s v="BEGINNER"/>
    <n v="8.14"/>
    <n v="5"/>
    <n v="1"/>
    <n v="4.1900000000000004"/>
    <s v="HIGH"/>
  </r>
  <r>
    <s v="STU_1556"/>
    <x v="2"/>
    <n v="47.2"/>
    <n v="5.5"/>
    <s v="NOT EXPERIENCED"/>
    <n v="6.24"/>
    <n v="2"/>
    <n v="0"/>
    <n v="3.99"/>
    <s v="LOW"/>
  </r>
  <r>
    <s v="STU_1557"/>
    <x v="1"/>
    <n v="52.05"/>
    <n v="7.5"/>
    <s v="NOT EXPERIENCED"/>
    <n v="5.81"/>
    <n v="1"/>
    <n v="0"/>
    <n v="5.15"/>
    <s v="LOW"/>
  </r>
  <r>
    <s v="STU_1558"/>
    <x v="4"/>
    <n v="50.65"/>
    <n v="6.25"/>
    <s v="EXPERIENCED"/>
    <n v="5.93"/>
    <n v="1"/>
    <n v="2"/>
    <n v="3.92"/>
    <s v="LOW"/>
  </r>
  <r>
    <s v="STU_1559"/>
    <x v="0"/>
    <n v="49.5"/>
    <n v="6.75"/>
    <s v="BEGINNER"/>
    <n v="5.0999999999999996"/>
    <n v="3"/>
    <n v="1"/>
    <n v="4.24"/>
    <s v="LOW"/>
  </r>
  <r>
    <s v="STU_1560"/>
    <x v="4"/>
    <n v="64.75"/>
    <n v="7.75"/>
    <s v="EXPERIENCED"/>
    <n v="6.95"/>
    <n v="0"/>
    <n v="2"/>
    <n v="5.19"/>
    <s v="MEDIUM"/>
  </r>
  <r>
    <s v="STU_1561"/>
    <x v="4"/>
    <n v="39.799999999999997"/>
    <n v="5.25"/>
    <s v="NOT EXPERIENCED"/>
    <n v="5.96"/>
    <n v="0"/>
    <n v="0"/>
    <n v="0"/>
    <s v="LOW"/>
  </r>
  <r>
    <s v="STU_1562"/>
    <x v="1"/>
    <n v="66.3"/>
    <n v="5.25"/>
    <s v="NOT EXPERIENCED"/>
    <n v="7.06"/>
    <n v="5"/>
    <n v="0"/>
    <n v="4.5599999999999996"/>
    <s v="MEDIUM"/>
  </r>
  <r>
    <s v="STU_1563"/>
    <x v="0"/>
    <n v="83.35"/>
    <n v="8.5"/>
    <s v="NOT EXPERIENCED"/>
    <n v="9.67"/>
    <n v="5"/>
    <n v="0"/>
    <n v="8.4"/>
    <s v="HIGH"/>
  </r>
  <r>
    <s v="STU_1564"/>
    <x v="0"/>
    <n v="68.75"/>
    <n v="5.5"/>
    <s v="BEGINNER"/>
    <n v="7.15"/>
    <n v="4"/>
    <n v="1"/>
    <n v="0"/>
    <s v="MEDIUM"/>
  </r>
  <r>
    <s v="STU_1565"/>
    <x v="0"/>
    <n v="64.95"/>
    <n v="4.5"/>
    <s v="BEGINNER"/>
    <n v="9.39"/>
    <n v="3"/>
    <n v="1"/>
    <n v="4.8600000000000003"/>
    <s v="HIGH"/>
  </r>
  <r>
    <s v="STU_1566"/>
    <x v="2"/>
    <n v="65.150000000000006"/>
    <n v="7.25"/>
    <s v="BEGINNER"/>
    <n v="8.0299999999999994"/>
    <n v="2"/>
    <n v="1"/>
    <n v="6.84"/>
    <s v="HIGH"/>
  </r>
  <r>
    <s v="STU_1567"/>
    <x v="1"/>
    <n v="58.2"/>
    <n v="4.25"/>
    <s v="BEGINNER"/>
    <n v="6.24"/>
    <n v="2"/>
    <n v="1"/>
    <n v="5.78"/>
    <s v="LOW"/>
  </r>
  <r>
    <s v="STU_1568"/>
    <x v="0"/>
    <n v="69.900000000000006"/>
    <n v="6.25"/>
    <s v="EXPERIENCED"/>
    <n v="6.78"/>
    <n v="3"/>
    <n v="3"/>
    <n v="5.03"/>
    <s v="MEDIUM"/>
  </r>
  <r>
    <s v="STU_1569"/>
    <x v="2"/>
    <n v="48.1"/>
    <n v="6.5"/>
    <s v="BEGINNER"/>
    <n v="5.42"/>
    <n v="2"/>
    <n v="1"/>
    <n v="4.1900000000000004"/>
    <s v="LOW"/>
  </r>
  <r>
    <s v="STU_1570"/>
    <x v="3"/>
    <n v="56.35"/>
    <n v="6.5"/>
    <s v="BEGINNER"/>
    <n v="6.67"/>
    <n v="0"/>
    <n v="1"/>
    <n v="4.5599999999999996"/>
    <s v="MEDIUM"/>
  </r>
  <r>
    <s v="STU_1571"/>
    <x v="3"/>
    <n v="63.95"/>
    <n v="6"/>
    <s v="EXPERIENCED"/>
    <n v="8.39"/>
    <n v="2"/>
    <n v="2"/>
    <n v="3.89"/>
    <s v="HIGH"/>
  </r>
  <r>
    <s v="STU_1572"/>
    <x v="2"/>
    <n v="57.8"/>
    <n v="4.75"/>
    <s v="BEGINNER"/>
    <n v="5.36"/>
    <n v="2"/>
    <n v="1"/>
    <n v="0"/>
    <s v="LOW"/>
  </r>
  <r>
    <s v="STU_1573"/>
    <x v="2"/>
    <n v="52.150000000000006"/>
    <n v="6"/>
    <s v="BEGINNER"/>
    <n v="6.03"/>
    <n v="3"/>
    <n v="1"/>
    <n v="0"/>
    <s v="LOW"/>
  </r>
  <r>
    <s v="STU_1574"/>
    <x v="1"/>
    <n v="71.55"/>
    <n v="7"/>
    <s v="EXPERIENCED"/>
    <n v="6.91"/>
    <n v="3"/>
    <n v="2"/>
    <n v="4.2"/>
    <s v="MEDIUM"/>
  </r>
  <r>
    <s v="STU_1575"/>
    <x v="1"/>
    <n v="82.55"/>
    <n v="5.75"/>
    <s v="EXPERIENCED"/>
    <n v="9.91"/>
    <n v="2"/>
    <n v="3"/>
    <n v="5.49"/>
    <s v="HIGH"/>
  </r>
  <r>
    <s v="STU_1576"/>
    <x v="3"/>
    <n v="63.6"/>
    <n v="4.5"/>
    <s v="NOT EXPERIENCED"/>
    <n v="8.92"/>
    <n v="1"/>
    <n v="0"/>
    <n v="4.4000000000000004"/>
    <s v="HIGH"/>
  </r>
  <r>
    <s v="STU_1577"/>
    <x v="0"/>
    <n v="81.349999999999994"/>
    <n v="5.75"/>
    <s v="EXPERIENCED"/>
    <n v="8.67"/>
    <n v="3"/>
    <n v="3"/>
    <n v="0"/>
    <s v="HIGH"/>
  </r>
  <r>
    <s v="STU_1578"/>
    <x v="3"/>
    <n v="48.9"/>
    <n v="7.25"/>
    <s v="BEGINNER"/>
    <n v="5.58"/>
    <n v="4"/>
    <n v="1"/>
    <n v="0"/>
    <s v="LOW"/>
  </r>
  <r>
    <s v="STU_1579"/>
    <x v="0"/>
    <n v="62.5"/>
    <n v="2.75"/>
    <s v="NOT EXPERIENCED"/>
    <n v="8.9"/>
    <n v="4"/>
    <n v="0"/>
    <n v="4.8600000000000003"/>
    <s v="HIGH"/>
  </r>
  <r>
    <s v="STU_1580"/>
    <x v="0"/>
    <n v="51.65"/>
    <n v="5.25"/>
    <s v="BEGINNER"/>
    <n v="8.93"/>
    <n v="0"/>
    <n v="1"/>
    <n v="6.86"/>
    <s v="HIGH"/>
  </r>
  <r>
    <s v="STU_1581"/>
    <x v="1"/>
    <n v="79.05"/>
    <n v="7"/>
    <s v="EXPERIENCED"/>
    <n v="8.01"/>
    <n v="2"/>
    <n v="3"/>
    <n v="5.13"/>
    <s v="HIGH"/>
  </r>
  <r>
    <s v="STU_1582"/>
    <x v="4"/>
    <n v="71.75"/>
    <n v="4.5"/>
    <s v="BEGINNER"/>
    <n v="9.9499999999999993"/>
    <n v="1"/>
    <n v="1"/>
    <n v="4.3499999999999996"/>
    <s v="HIGH"/>
  </r>
  <r>
    <s v="STU_1583"/>
    <x v="4"/>
    <n v="40.15"/>
    <n v="5.5"/>
    <s v="BEGINNER"/>
    <n v="6.63"/>
    <n v="0"/>
    <n v="1"/>
    <n v="4.8600000000000003"/>
    <s v="MEDIUM"/>
  </r>
  <r>
    <s v="STU_1584"/>
    <x v="2"/>
    <n v="65.550000000000011"/>
    <n v="5.5"/>
    <s v="BEGINNER"/>
    <n v="9.7100000000000009"/>
    <n v="2"/>
    <n v="1"/>
    <n v="6.01"/>
    <s v="HIGH"/>
  </r>
  <r>
    <s v="STU_1585"/>
    <x v="1"/>
    <n v="64.849999999999994"/>
    <n v="4.75"/>
    <s v="NOT EXPERIENCED"/>
    <n v="9.57"/>
    <n v="3"/>
    <n v="0"/>
    <n v="4.5"/>
    <s v="HIGH"/>
  </r>
  <r>
    <s v="STU_1586"/>
    <x v="0"/>
    <n v="45.3"/>
    <n v="7"/>
    <s v="NOT EXPERIENCED"/>
    <n v="5.0599999999999996"/>
    <n v="4"/>
    <n v="0"/>
    <n v="4.5999999999999996"/>
    <s v="LOW"/>
  </r>
  <r>
    <s v="STU_1587"/>
    <x v="4"/>
    <n v="61.25"/>
    <n v="6.25"/>
    <s v="NOT EXPERIENCED"/>
    <n v="7.25"/>
    <n v="5"/>
    <n v="0"/>
    <n v="4.1100000000000003"/>
    <s v="MEDIUM"/>
  </r>
  <r>
    <s v="STU_1588"/>
    <x v="0"/>
    <n v="58.45"/>
    <n v="2.75"/>
    <s v="NOT EXPERIENCED"/>
    <n v="9.89"/>
    <n v="1"/>
    <n v="0"/>
    <n v="4.3"/>
    <s v="HIGH"/>
  </r>
  <r>
    <s v="STU_1589"/>
    <x v="4"/>
    <n v="48.599999999999994"/>
    <n v="4.25"/>
    <s v="NOT EXPERIENCED"/>
    <n v="5.52"/>
    <n v="5"/>
    <n v="0"/>
    <n v="0"/>
    <s v="LOW"/>
  </r>
  <r>
    <s v="STU_1590"/>
    <x v="4"/>
    <n v="52.7"/>
    <n v="4.75"/>
    <s v="NOT EXPERIENCED"/>
    <n v="7.74"/>
    <n v="4"/>
    <n v="0"/>
    <n v="5.15"/>
    <s v="MEDIUM"/>
  </r>
  <r>
    <s v="STU_1591"/>
    <x v="4"/>
    <n v="83.45"/>
    <n v="3.75"/>
    <s v="BEGINNER"/>
    <n v="9.89"/>
    <n v="5"/>
    <n v="1"/>
    <n v="0"/>
    <s v="HIGH"/>
  </r>
  <r>
    <s v="STU_1592"/>
    <x v="1"/>
    <n v="67.900000000000006"/>
    <n v="6.25"/>
    <s v="NOT EXPERIENCED"/>
    <n v="7.78"/>
    <n v="3"/>
    <n v="0"/>
    <n v="4.32"/>
    <s v="MEDIUM"/>
  </r>
  <r>
    <s v="STU_1593"/>
    <x v="3"/>
    <n v="42.75"/>
    <n v="4.75"/>
    <s v="BEGINNER"/>
    <n v="5.95"/>
    <n v="2"/>
    <n v="1"/>
    <n v="3.95"/>
    <s v="LOW"/>
  </r>
  <r>
    <s v="STU_1594"/>
    <x v="0"/>
    <n v="62.55"/>
    <n v="5.5"/>
    <s v="EXPERIENCED"/>
    <n v="7.91"/>
    <n v="3"/>
    <n v="2"/>
    <n v="5.33"/>
    <s v="MEDIUM"/>
  </r>
  <r>
    <s v="STU_1595"/>
    <x v="1"/>
    <n v="58.099999999999994"/>
    <n v="5"/>
    <s v="BEGINNER"/>
    <n v="6.02"/>
    <n v="5"/>
    <n v="1"/>
    <n v="4.12"/>
    <s v="LOW"/>
  </r>
  <r>
    <s v="STU_1596"/>
    <x v="1"/>
    <n v="60"/>
    <n v="3.25"/>
    <s v="BEGINNER"/>
    <n v="7.6"/>
    <n v="3"/>
    <n v="1"/>
    <n v="13.25"/>
    <s v="MEDIUM"/>
  </r>
  <r>
    <s v="STU_1597"/>
    <x v="1"/>
    <n v="48.85"/>
    <n v="6"/>
    <s v="NOT EXPERIENCED"/>
    <n v="5.37"/>
    <n v="4"/>
    <n v="0"/>
    <n v="6.84"/>
    <s v="LOW"/>
  </r>
  <r>
    <s v="STU_1598"/>
    <x v="1"/>
    <n v="47.15"/>
    <n v="3.25"/>
    <s v="NOT EXPERIENCED"/>
    <n v="8.0299999999999994"/>
    <n v="1"/>
    <n v="0"/>
    <n v="3.95"/>
    <s v="HIGH"/>
  </r>
  <r>
    <s v="STU_1599"/>
    <x v="1"/>
    <n v="54.9"/>
    <n v="4.25"/>
    <s v="NOT EXPERIENCED"/>
    <n v="7.58"/>
    <n v="3"/>
    <n v="0"/>
    <n v="0"/>
    <s v="MEDIUM"/>
  </r>
  <r>
    <s v="STU_1600"/>
    <x v="2"/>
    <n v="57.5"/>
    <n v="3.75"/>
    <s v="NOT EXPERIENCED"/>
    <n v="8.6999999999999993"/>
    <n v="4"/>
    <n v="0"/>
    <n v="13.62"/>
    <s v="HIGH"/>
  </r>
  <r>
    <s v="STU_1601"/>
    <x v="0"/>
    <n v="47.75"/>
    <n v="4.5"/>
    <s v="NOT EXPERIENCED"/>
    <n v="8.15"/>
    <n v="1"/>
    <n v="0"/>
    <n v="4.5599999999999996"/>
    <s v="HIGH"/>
  </r>
  <r>
    <s v="STU_1602"/>
    <x v="1"/>
    <n v="46.75"/>
    <n v="4.25"/>
    <s v="NOT EXPERIENCED"/>
    <n v="7.75"/>
    <n v="2"/>
    <n v="0"/>
    <n v="0"/>
    <s v="MEDIUM"/>
  </r>
  <r>
    <s v="STU_1603"/>
    <x v="0"/>
    <n v="77.25"/>
    <n v="6"/>
    <s v="NOT EXPERIENCED"/>
    <n v="8.4499999999999993"/>
    <n v="5"/>
    <n v="0"/>
    <n v="5.13"/>
    <s v="HIGH"/>
  </r>
  <r>
    <s v="STU_1604"/>
    <x v="2"/>
    <n v="54.599999999999994"/>
    <n v="7.75"/>
    <s v="NOT EXPERIENCED"/>
    <n v="5.72"/>
    <n v="2"/>
    <n v="0"/>
    <n v="0"/>
    <s v="LOW"/>
  </r>
  <r>
    <s v="STU_1605"/>
    <x v="2"/>
    <n v="52.900000000000006"/>
    <n v="6"/>
    <s v="BEGINNER"/>
    <n v="7.98"/>
    <n v="0"/>
    <n v="1"/>
    <n v="5.03"/>
    <s v="MEDIUM"/>
  </r>
  <r>
    <s v="STU_1606"/>
    <x v="0"/>
    <n v="49.3"/>
    <n v="5.5"/>
    <s v="NOT EXPERIENCED"/>
    <n v="5.86"/>
    <n v="4"/>
    <n v="0"/>
    <n v="4.3"/>
    <s v="LOW"/>
  </r>
  <r>
    <s v="STU_1607"/>
    <x v="4"/>
    <n v="70.150000000000006"/>
    <n v="6.25"/>
    <s v="BEGINNER"/>
    <n v="9.6300000000000008"/>
    <n v="1"/>
    <n v="1"/>
    <n v="0"/>
    <s v="HIGH"/>
  </r>
  <r>
    <s v="STU_1608"/>
    <x v="3"/>
    <n v="60.7"/>
    <n v="6.5"/>
    <s v="BEGINNER"/>
    <n v="5.34"/>
    <n v="3"/>
    <n v="1"/>
    <n v="5.65"/>
    <s v="LOW"/>
  </r>
  <r>
    <s v="STU_1609"/>
    <x v="4"/>
    <n v="64.75"/>
    <n v="7.25"/>
    <s v="BEGINNER"/>
    <n v="7.15"/>
    <n v="2"/>
    <n v="1"/>
    <n v="5.43"/>
    <s v="MEDIUM"/>
  </r>
  <r>
    <s v="STU_1610"/>
    <x v="4"/>
    <n v="63.400000000000006"/>
    <n v="8"/>
    <s v="NOT EXPERIENCED"/>
    <n v="8.48"/>
    <n v="1"/>
    <n v="0"/>
    <n v="4.5599999999999996"/>
    <s v="HIGH"/>
  </r>
  <r>
    <s v="STU_1611"/>
    <x v="4"/>
    <n v="68.45"/>
    <n v="4.25"/>
    <s v="EXPERIENCED"/>
    <n v="7.29"/>
    <n v="4"/>
    <n v="2"/>
    <n v="4.3499999999999996"/>
    <s v="MEDIUM"/>
  </r>
  <r>
    <s v="STU_1612"/>
    <x v="1"/>
    <n v="52.3"/>
    <n v="6"/>
    <s v="BEGINNER"/>
    <n v="5.46"/>
    <n v="0"/>
    <n v="1"/>
    <n v="4.59"/>
    <s v="LOW"/>
  </r>
  <r>
    <s v="STU_1613"/>
    <x v="2"/>
    <n v="46.849999999999994"/>
    <n v="3.5"/>
    <s v="NOT EXPERIENCED"/>
    <n v="7.77"/>
    <n v="2"/>
    <n v="0"/>
    <n v="4.1900000000000004"/>
    <s v="MEDIUM"/>
  </r>
  <r>
    <s v="STU_1614"/>
    <x v="4"/>
    <n v="68.050000000000011"/>
    <n v="4.5"/>
    <s v="EXPERIENCED"/>
    <n v="8.2100000000000009"/>
    <n v="5"/>
    <n v="2"/>
    <n v="0"/>
    <s v="HIGH"/>
  </r>
  <r>
    <s v="STU_1615"/>
    <x v="2"/>
    <n v="72.599999999999994"/>
    <n v="5.75"/>
    <s v="EXPERIENCED"/>
    <n v="8.52"/>
    <n v="1"/>
    <n v="3"/>
    <n v="5.2"/>
    <s v="HIGH"/>
  </r>
  <r>
    <s v="STU_1616"/>
    <x v="0"/>
    <n v="53.35"/>
    <n v="7.25"/>
    <s v="NOT EXPERIENCED"/>
    <n v="6.87"/>
    <n v="5"/>
    <n v="0"/>
    <n v="0"/>
    <s v="MEDIUM"/>
  </r>
  <r>
    <s v="STU_1617"/>
    <x v="3"/>
    <n v="58.1"/>
    <n v="4.25"/>
    <s v="NOT EXPERIENCED"/>
    <n v="7.82"/>
    <n v="1"/>
    <n v="0"/>
    <n v="3.92"/>
    <s v="MEDIUM"/>
  </r>
  <r>
    <s v="STU_1618"/>
    <x v="0"/>
    <n v="67.25"/>
    <n v="7"/>
    <s v="EXPERIENCED"/>
    <n v="7.25"/>
    <n v="1"/>
    <n v="2"/>
    <n v="0"/>
    <s v="MEDIUM"/>
  </r>
  <r>
    <s v="STU_1619"/>
    <x v="0"/>
    <n v="71.8"/>
    <n v="6.5"/>
    <s v="EXPERIENCED"/>
    <n v="8.36"/>
    <n v="4"/>
    <n v="2"/>
    <n v="6.88"/>
    <s v="HIGH"/>
  </r>
  <r>
    <s v="STU_1620"/>
    <x v="1"/>
    <n v="61.6"/>
    <n v="4.5"/>
    <s v="NOT EXPERIENCED"/>
    <n v="7.92"/>
    <n v="4"/>
    <n v="0"/>
    <n v="3.92"/>
    <s v="MEDIUM"/>
  </r>
  <r>
    <s v="STU_1621"/>
    <x v="3"/>
    <n v="66.150000000000006"/>
    <n v="5.5"/>
    <s v="NOT EXPERIENCED"/>
    <n v="7.63"/>
    <n v="4"/>
    <n v="0"/>
    <n v="4.5"/>
    <s v="MEDIUM"/>
  </r>
  <r>
    <s v="STU_1622"/>
    <x v="0"/>
    <n v="51.25"/>
    <n v="3.25"/>
    <s v="BEGINNER"/>
    <n v="6.25"/>
    <n v="3"/>
    <n v="1"/>
    <n v="0"/>
    <s v="LOW"/>
  </r>
  <r>
    <s v="STU_1623"/>
    <x v="0"/>
    <n v="43.05"/>
    <n v="6.25"/>
    <s v="BEGINNER"/>
    <n v="5.01"/>
    <n v="1"/>
    <n v="1"/>
    <n v="0"/>
    <s v="LOW"/>
  </r>
  <r>
    <s v="STU_1624"/>
    <x v="3"/>
    <n v="46.35"/>
    <n v="3.75"/>
    <s v="BEGINNER"/>
    <n v="5.87"/>
    <n v="2"/>
    <n v="1"/>
    <n v="4.5"/>
    <s v="LOW"/>
  </r>
  <r>
    <s v="STU_1625"/>
    <x v="3"/>
    <n v="67.95"/>
    <n v="8.75"/>
    <s v="BEGINNER"/>
    <n v="5.59"/>
    <n v="5"/>
    <n v="1"/>
    <n v="0"/>
    <s v="LOW"/>
  </r>
  <r>
    <s v="STU_1626"/>
    <x v="0"/>
    <n v="59.25"/>
    <n v="5.25"/>
    <s v="BEGINNER"/>
    <n v="7.25"/>
    <n v="4"/>
    <n v="1"/>
    <n v="5.33"/>
    <s v="MEDIUM"/>
  </r>
  <r>
    <s v="STU_1627"/>
    <x v="3"/>
    <n v="68.300000000000011"/>
    <n v="3"/>
    <s v="EXPERIENCED"/>
    <n v="8.06"/>
    <n v="4"/>
    <n v="2"/>
    <n v="5.65"/>
    <s v="HIGH"/>
  </r>
  <r>
    <s v="STU_1628"/>
    <x v="0"/>
    <n v="59.35"/>
    <n v="5.25"/>
    <s v="NOT EXPERIENCED"/>
    <n v="6.07"/>
    <n v="5"/>
    <n v="0"/>
    <n v="5.03"/>
    <s v="LOW"/>
  </r>
  <r>
    <s v="STU_1629"/>
    <x v="0"/>
    <n v="77.5"/>
    <n v="6.75"/>
    <s v="NOT EXPERIENCED"/>
    <n v="9.6999999999999993"/>
    <n v="5"/>
    <n v="0"/>
    <n v="0"/>
    <s v="HIGH"/>
  </r>
  <r>
    <s v="STU_1630"/>
    <x v="1"/>
    <n v="52.150000000000006"/>
    <n v="6.25"/>
    <s v="EXPERIENCED"/>
    <n v="5.03"/>
    <n v="1"/>
    <n v="2"/>
    <n v="4.3499999999999996"/>
    <s v="LOW"/>
  </r>
  <r>
    <s v="STU_1631"/>
    <x v="4"/>
    <n v="86.3"/>
    <n v="5.25"/>
    <s v="EXPERIENCED"/>
    <n v="8.86"/>
    <n v="4"/>
    <n v="2"/>
    <n v="4.1900000000000004"/>
    <s v="HIGH"/>
  </r>
  <r>
    <s v="STU_1632"/>
    <x v="0"/>
    <n v="76.650000000000006"/>
    <n v="7.75"/>
    <s v="BEGINNER"/>
    <n v="8.1300000000000008"/>
    <n v="5"/>
    <n v="1"/>
    <n v="4.5599999999999996"/>
    <s v="HIGH"/>
  </r>
  <r>
    <s v="STU_1633"/>
    <x v="2"/>
    <n v="58.35"/>
    <n v="3.5"/>
    <s v="BEGINNER"/>
    <n v="6.87"/>
    <n v="3"/>
    <n v="1"/>
    <n v="5.13"/>
    <s v="MEDIUM"/>
  </r>
  <r>
    <s v="STU_1634"/>
    <x v="4"/>
    <n v="45.25"/>
    <n v="7.5"/>
    <s v="NOT EXPERIENCED"/>
    <n v="5.25"/>
    <n v="3"/>
    <n v="0"/>
    <n v="3.61"/>
    <s v="LOW"/>
  </r>
  <r>
    <s v="STU_1635"/>
    <x v="4"/>
    <n v="65.7"/>
    <n v="7.25"/>
    <s v="BEGINNER"/>
    <n v="8.14"/>
    <n v="4"/>
    <n v="1"/>
    <n v="4.1900000000000004"/>
    <s v="HIGH"/>
  </r>
  <r>
    <s v="STU_1636"/>
    <x v="4"/>
    <n v="68.650000000000006"/>
    <n v="6.25"/>
    <s v="BEGINNER"/>
    <n v="6.93"/>
    <n v="5"/>
    <n v="1"/>
    <n v="5.19"/>
    <s v="MEDIUM"/>
  </r>
  <r>
    <s v="STU_1637"/>
    <x v="1"/>
    <n v="71.400000000000006"/>
    <n v="8.5"/>
    <s v="NOT EXPERIENCED"/>
    <n v="9.68"/>
    <n v="1"/>
    <n v="0"/>
    <n v="0"/>
    <s v="HIGH"/>
  </r>
  <r>
    <s v="STU_1638"/>
    <x v="0"/>
    <n v="49.55"/>
    <n v="4.75"/>
    <s v="NOT EXPERIENCED"/>
    <n v="7.71"/>
    <n v="1"/>
    <n v="0"/>
    <n v="4.5"/>
    <s v="MEDIUM"/>
  </r>
  <r>
    <s v="STU_1639"/>
    <x v="1"/>
    <n v="60.5"/>
    <n v="5.25"/>
    <s v="BEGINNER"/>
    <n v="9.6999999999999993"/>
    <n v="1"/>
    <n v="1"/>
    <n v="5.03"/>
    <s v="HIGH"/>
  </r>
  <r>
    <s v="STU_1640"/>
    <x v="0"/>
    <n v="38.5"/>
    <n v="4"/>
    <s v="NOT EXPERIENCED"/>
    <n v="6.1"/>
    <n v="0"/>
    <n v="0"/>
    <n v="4.5599999999999996"/>
    <s v="LOW"/>
  </r>
  <r>
    <s v="STU_1641"/>
    <x v="1"/>
    <n v="76.150000000000006"/>
    <n v="7.5"/>
    <s v="BEGINNER"/>
    <n v="8.6300000000000008"/>
    <n v="4"/>
    <n v="1"/>
    <n v="4.3"/>
    <s v="HIGH"/>
  </r>
  <r>
    <s v="STU_1642"/>
    <x v="1"/>
    <n v="61.45"/>
    <n v="5.25"/>
    <s v="NOT EXPERIENCED"/>
    <n v="8.09"/>
    <n v="1"/>
    <n v="0"/>
    <n v="0"/>
    <s v="HIGH"/>
  </r>
  <r>
    <s v="STU_1643"/>
    <x v="2"/>
    <n v="63.5"/>
    <n v="3.75"/>
    <s v="BEGINNER"/>
    <n v="8.6999999999999993"/>
    <n v="3"/>
    <n v="1"/>
    <n v="4.1100000000000003"/>
    <s v="HIGH"/>
  </r>
  <r>
    <s v="STU_1644"/>
    <x v="1"/>
    <n v="59.35"/>
    <n v="3.25"/>
    <s v="NOT EXPERIENCED"/>
    <n v="6.07"/>
    <n v="5"/>
    <n v="0"/>
    <n v="0"/>
    <s v="LOW"/>
  </r>
  <r>
    <s v="STU_1645"/>
    <x v="3"/>
    <n v="75.599999999999994"/>
    <n v="7.75"/>
    <s v="EXPERIENCED"/>
    <n v="8.32"/>
    <n v="2"/>
    <n v="2"/>
    <n v="5.88"/>
    <s v="HIGH"/>
  </r>
  <r>
    <s v="STU_1646"/>
    <x v="2"/>
    <n v="56.45"/>
    <n v="5.5"/>
    <s v="BEGINNER"/>
    <n v="7.49"/>
    <n v="2"/>
    <n v="1"/>
    <n v="0"/>
    <s v="MEDIUM"/>
  </r>
  <r>
    <s v="STU_1647"/>
    <x v="1"/>
    <n v="71.550000000000011"/>
    <n v="6.5"/>
    <s v="BEGINNER"/>
    <n v="8.7100000000000009"/>
    <n v="1"/>
    <n v="1"/>
    <n v="4.33"/>
    <s v="HIGH"/>
  </r>
  <r>
    <s v="STU_1648"/>
    <x v="4"/>
    <n v="55.199999999999996"/>
    <n v="5.25"/>
    <s v="EXPERIENCED"/>
    <n v="6.64"/>
    <n v="2"/>
    <n v="2"/>
    <n v="5.03"/>
    <s v="MEDIUM"/>
  </r>
  <r>
    <s v="STU_1649"/>
    <x v="3"/>
    <n v="68.25"/>
    <n v="5.75"/>
    <s v="BEGINNER"/>
    <n v="9.4499999999999993"/>
    <n v="2"/>
    <n v="1"/>
    <n v="4.1900000000000004"/>
    <s v="HIGH"/>
  </r>
  <r>
    <s v="STU_1650"/>
    <x v="3"/>
    <n v="29.1"/>
    <n v="3"/>
    <s v="NOT EXPERIENCED"/>
    <n v="5.42"/>
    <n v="0"/>
    <n v="0"/>
    <n v="0"/>
    <s v="LOW"/>
  </r>
  <r>
    <s v="STU_1651"/>
    <x v="3"/>
    <n v="65.199999999999989"/>
    <n v="5.5"/>
    <s v="BEGINNER"/>
    <n v="9.0399999999999991"/>
    <n v="3"/>
    <n v="1"/>
    <n v="5.43"/>
    <s v="HIGH"/>
  </r>
  <r>
    <s v="STU_1652"/>
    <x v="2"/>
    <n v="76.550000000000011"/>
    <n v="7.25"/>
    <s v="BEGINNER"/>
    <n v="9.31"/>
    <n v="3"/>
    <n v="1"/>
    <n v="4.32"/>
    <s v="HIGH"/>
  </r>
  <r>
    <s v="STU_1653"/>
    <x v="1"/>
    <n v="71.45"/>
    <n v="5.5"/>
    <s v="EXPERIENCED"/>
    <n v="9.09"/>
    <n v="0"/>
    <n v="2"/>
    <n v="4.1900000000000004"/>
    <s v="HIGH"/>
  </r>
  <r>
    <s v="STU_1654"/>
    <x v="1"/>
    <n v="50.8"/>
    <n v="4.5"/>
    <s v="BEGINNER"/>
    <n v="7.56"/>
    <n v="0"/>
    <n v="1"/>
    <n v="4.3"/>
    <s v="MEDIUM"/>
  </r>
  <r>
    <s v="STU_1655"/>
    <x v="4"/>
    <n v="45.95"/>
    <n v="3.5"/>
    <s v="NOT EXPERIENCED"/>
    <n v="7.19"/>
    <n v="2"/>
    <n v="0"/>
    <n v="0"/>
    <s v="MEDIUM"/>
  </r>
  <r>
    <s v="STU_1656"/>
    <x v="4"/>
    <n v="77.900000000000006"/>
    <n v="6"/>
    <s v="NOT EXPERIENCED"/>
    <n v="9.98"/>
    <n v="4"/>
    <n v="0"/>
    <n v="5.19"/>
    <s v="HIGH"/>
  </r>
  <r>
    <s v="STU_1657"/>
    <x v="3"/>
    <n v="66.75"/>
    <n v="7.25"/>
    <s v="BEGINNER"/>
    <n v="6.15"/>
    <n v="5"/>
    <n v="1"/>
    <n v="0"/>
    <s v="LOW"/>
  </r>
  <r>
    <s v="STU_1658"/>
    <x v="4"/>
    <n v="78.650000000000006"/>
    <n v="7.5"/>
    <s v="BEGINNER"/>
    <n v="7.73"/>
    <n v="5"/>
    <n v="1"/>
    <n v="5.13"/>
    <s v="MEDIUM"/>
  </r>
  <r>
    <s v="STU_1659"/>
    <x v="2"/>
    <n v="60.75"/>
    <n v="5"/>
    <s v="BEGINNER"/>
    <n v="8.35"/>
    <n v="2"/>
    <n v="1"/>
    <n v="0"/>
    <s v="HIGH"/>
  </r>
  <r>
    <s v="STU_1660"/>
    <x v="1"/>
    <n v="68.5"/>
    <n v="6.5"/>
    <s v="BEGINNER"/>
    <n v="8.5"/>
    <n v="5"/>
    <n v="1"/>
    <n v="4.5"/>
    <s v="HIGH"/>
  </r>
  <r>
    <s v="STU_1661"/>
    <x v="3"/>
    <n v="49.099999999999994"/>
    <n v="5"/>
    <s v="EXPERIENCED"/>
    <n v="6.02"/>
    <n v="0"/>
    <n v="3"/>
    <n v="4.32"/>
    <s v="LOW"/>
  </r>
  <r>
    <s v="STU_1662"/>
    <x v="4"/>
    <n v="73.349999999999994"/>
    <n v="5.75"/>
    <s v="BEGINNER"/>
    <n v="8.27"/>
    <n v="3"/>
    <n v="1"/>
    <n v="0"/>
    <s v="HIGH"/>
  </r>
  <r>
    <s v="STU_1663"/>
    <x v="2"/>
    <n v="62.45"/>
    <n v="3.75"/>
    <s v="NOT EXPERIENCED"/>
    <n v="9.09"/>
    <n v="5"/>
    <n v="0"/>
    <n v="4.5599999999999996"/>
    <s v="HIGH"/>
  </r>
  <r>
    <s v="STU_1664"/>
    <x v="2"/>
    <n v="46.25"/>
    <n v="6.75"/>
    <s v="NOT EXPERIENCED"/>
    <n v="5.25"/>
    <n v="2"/>
    <n v="0"/>
    <n v="0"/>
    <s v="LOW"/>
  </r>
  <r>
    <s v="STU_1665"/>
    <x v="4"/>
    <n v="69.800000000000011"/>
    <n v="6.25"/>
    <s v="NOT EXPERIENCED"/>
    <n v="9.56"/>
    <n v="4"/>
    <n v="0"/>
    <n v="5.13"/>
    <s v="HIGH"/>
  </r>
  <r>
    <s v="STU_1666"/>
    <x v="1"/>
    <n v="47.75"/>
    <n v="6.25"/>
    <s v="NOT EXPERIENCED"/>
    <n v="5.15"/>
    <n v="2"/>
    <n v="0"/>
    <n v="4.5"/>
    <s v="LOW"/>
  </r>
  <r>
    <s v="STU_1667"/>
    <x v="4"/>
    <n v="44.9"/>
    <n v="6.25"/>
    <s v="NOT EXPERIENCED"/>
    <n v="6.78"/>
    <n v="1"/>
    <n v="0"/>
    <n v="0"/>
    <s v="MEDIUM"/>
  </r>
  <r>
    <s v="STU_1668"/>
    <x v="3"/>
    <n v="45.4"/>
    <n v="7"/>
    <s v="NOT EXPERIENCED"/>
    <n v="5.08"/>
    <n v="2"/>
    <n v="0"/>
    <n v="0"/>
    <s v="LOW"/>
  </r>
  <r>
    <s v="STU_1669"/>
    <x v="4"/>
    <n v="36.950000000000003"/>
    <n v="4.75"/>
    <s v="NOT EXPERIENCED"/>
    <n v="5.39"/>
    <n v="0"/>
    <n v="0"/>
    <n v="5.43"/>
    <s v="LOW"/>
  </r>
  <r>
    <s v="STU_1670"/>
    <x v="2"/>
    <n v="66.800000000000011"/>
    <n v="6"/>
    <s v="NOT EXPERIENCED"/>
    <n v="9.56"/>
    <n v="3"/>
    <n v="0"/>
    <n v="9.33"/>
    <s v="HIGH"/>
  </r>
  <r>
    <s v="STU_1671"/>
    <x v="4"/>
    <n v="70.849999999999994"/>
    <n v="4"/>
    <s v="EXPERIENCED"/>
    <n v="6.77"/>
    <n v="3"/>
    <n v="2"/>
    <n v="0"/>
    <s v="MEDIUM"/>
  </r>
  <r>
    <s v="STU_1672"/>
    <x v="1"/>
    <n v="68.599999999999994"/>
    <n v="5.75"/>
    <s v="NOT EXPERIENCED"/>
    <n v="7.12"/>
    <n v="5"/>
    <n v="0"/>
    <n v="5.49"/>
    <s v="MEDIUM"/>
  </r>
  <r>
    <s v="STU_1673"/>
    <x v="0"/>
    <n v="53.4"/>
    <n v="6.5"/>
    <s v="BEGINNER"/>
    <n v="6.08"/>
    <n v="0"/>
    <n v="1"/>
    <n v="4.5"/>
    <s v="LOW"/>
  </r>
  <r>
    <s v="STU_1674"/>
    <x v="4"/>
    <n v="59.95"/>
    <n v="4.75"/>
    <s v="BEGINNER"/>
    <n v="7.99"/>
    <n v="1"/>
    <n v="1"/>
    <n v="5.03"/>
    <s v="MEDIUM"/>
  </r>
  <r>
    <s v="STU_1675"/>
    <x v="1"/>
    <n v="66.849999999999994"/>
    <n v="5"/>
    <s v="EXPERIENCED"/>
    <n v="7.97"/>
    <n v="0"/>
    <n v="3"/>
    <n v="5.43"/>
    <s v="MEDIUM"/>
  </r>
  <r>
    <s v="STU_1676"/>
    <x v="1"/>
    <n v="50.300000000000004"/>
    <n v="5.25"/>
    <s v="NOT EXPERIENCED"/>
    <n v="6.86"/>
    <n v="2"/>
    <n v="0"/>
    <n v="0"/>
    <s v="MEDIUM"/>
  </r>
  <r>
    <s v="STU_1677"/>
    <x v="2"/>
    <n v="56.35"/>
    <n v="3.75"/>
    <s v="BEGINNER"/>
    <n v="6.67"/>
    <n v="0"/>
    <n v="1"/>
    <n v="0"/>
    <s v="MEDIUM"/>
  </r>
  <r>
    <s v="STU_1678"/>
    <x v="1"/>
    <n v="82.1"/>
    <n v="7.25"/>
    <s v="EXPERIENCED"/>
    <n v="9.42"/>
    <n v="0"/>
    <n v="3"/>
    <n v="0"/>
    <s v="HIGH"/>
  </r>
  <r>
    <s v="STU_1679"/>
    <x v="1"/>
    <n v="63.6"/>
    <n v="6.25"/>
    <s v="EXPERIENCED"/>
    <n v="6.92"/>
    <n v="1"/>
    <n v="2"/>
    <n v="4.32"/>
    <s v="MEDIUM"/>
  </r>
  <r>
    <s v="STU_1680"/>
    <x v="1"/>
    <n v="67.349999999999994"/>
    <n v="3.25"/>
    <s v="EXPERIENCED"/>
    <n v="7.47"/>
    <n v="2"/>
    <n v="2"/>
    <n v="5.15"/>
    <s v="MEDIUM"/>
  </r>
  <r>
    <s v="STU_1681"/>
    <x v="1"/>
    <n v="58.1"/>
    <n v="5.5"/>
    <s v="NOT EXPERIENCED"/>
    <n v="6.42"/>
    <n v="4"/>
    <n v="0"/>
    <n v="4.5"/>
    <s v="LOW"/>
  </r>
  <r>
    <s v="STU_1682"/>
    <x v="3"/>
    <n v="68.650000000000006"/>
    <n v="5.25"/>
    <s v="NOT EXPERIENCED"/>
    <n v="8.93"/>
    <n v="4"/>
    <n v="0"/>
    <n v="5.4"/>
    <s v="HIGH"/>
  </r>
  <r>
    <s v="STU_1683"/>
    <x v="3"/>
    <n v="58.95"/>
    <n v="7.5"/>
    <s v="BEGINNER"/>
    <n v="6.99"/>
    <n v="3"/>
    <n v="1"/>
    <n v="4.5599999999999996"/>
    <s v="MEDIUM"/>
  </r>
  <r>
    <s v="STU_1684"/>
    <x v="2"/>
    <n v="75.849999999999994"/>
    <n v="5"/>
    <s v="EXPERIENCED"/>
    <n v="7.57"/>
    <n v="5"/>
    <n v="3"/>
    <n v="5.03"/>
    <s v="MEDIUM"/>
  </r>
  <r>
    <s v="STU_1685"/>
    <x v="4"/>
    <n v="42.349999999999994"/>
    <n v="3.75"/>
    <s v="BEGINNER"/>
    <n v="6.27"/>
    <n v="0"/>
    <n v="1"/>
    <n v="3.61"/>
    <s v="LOW"/>
  </r>
  <r>
    <s v="STU_1686"/>
    <x v="1"/>
    <n v="69.699999999999989"/>
    <n v="5.75"/>
    <s v="BEGINNER"/>
    <n v="9.94"/>
    <n v="3"/>
    <n v="1"/>
    <n v="4.33"/>
    <s v="HIGH"/>
  </r>
  <r>
    <s v="STU_1687"/>
    <x v="4"/>
    <n v="47.3"/>
    <n v="6.5"/>
    <s v="NOT EXPERIENCED"/>
    <n v="6.46"/>
    <n v="1"/>
    <n v="0"/>
    <n v="3.95"/>
    <s v="LOW"/>
  </r>
  <r>
    <s v="STU_1688"/>
    <x v="4"/>
    <n v="74.25"/>
    <n v="4.25"/>
    <s v="EXPERIENCED"/>
    <n v="8.85"/>
    <n v="4"/>
    <n v="2"/>
    <n v="4.32"/>
    <s v="HIGH"/>
  </r>
  <r>
    <s v="STU_1689"/>
    <x v="2"/>
    <n v="47.699999999999996"/>
    <n v="4"/>
    <s v="NOT EXPERIENCED"/>
    <n v="7.14"/>
    <n v="0"/>
    <n v="0"/>
    <n v="4.1900000000000004"/>
    <s v="MEDIUM"/>
  </r>
  <r>
    <s v="STU_1690"/>
    <x v="1"/>
    <n v="44.150000000000006"/>
    <n v="4.25"/>
    <s v="BEGINNER"/>
    <n v="6.03"/>
    <n v="1"/>
    <n v="1"/>
    <n v="0"/>
    <s v="LOW"/>
  </r>
  <r>
    <s v="STU_1691"/>
    <x v="1"/>
    <n v="73"/>
    <n v="5.25"/>
    <s v="BEGINNER"/>
    <n v="9"/>
    <n v="5"/>
    <n v="1"/>
    <n v="13.62"/>
    <s v="HIGH"/>
  </r>
  <r>
    <s v="STU_1692"/>
    <x v="0"/>
    <n v="59.35"/>
    <n v="5.75"/>
    <s v="BEGINNER"/>
    <n v="6.67"/>
    <n v="1"/>
    <n v="1"/>
    <n v="0"/>
    <s v="MEDIUM"/>
  </r>
  <r>
    <s v="STU_1693"/>
    <x v="4"/>
    <n v="56.65"/>
    <n v="5.75"/>
    <s v="NOT EXPERIENCED"/>
    <n v="9.33"/>
    <n v="0"/>
    <n v="0"/>
    <n v="0"/>
    <s v="HIGH"/>
  </r>
  <r>
    <s v="STU_1694"/>
    <x v="4"/>
    <n v="76.900000000000006"/>
    <n v="3.5"/>
    <s v="NOT EXPERIENCED"/>
    <n v="9.58"/>
    <n v="5"/>
    <n v="0"/>
    <n v="4.1100000000000003"/>
    <s v="HIGH"/>
  </r>
  <r>
    <s v="STU_1695"/>
    <x v="3"/>
    <n v="74.5"/>
    <n v="6.25"/>
    <s v="BEGINNER"/>
    <n v="9.3000000000000007"/>
    <n v="1"/>
    <n v="1"/>
    <n v="0"/>
    <s v="HIGH"/>
  </r>
  <r>
    <s v="STU_1696"/>
    <x v="0"/>
    <n v="44.9"/>
    <n v="4.5"/>
    <s v="NOT EXPERIENCED"/>
    <n v="5.18"/>
    <n v="5"/>
    <n v="0"/>
    <n v="4.53"/>
    <s v="LOW"/>
  </r>
  <r>
    <s v="STU_1697"/>
    <x v="3"/>
    <n v="59.699999999999996"/>
    <n v="4.5"/>
    <s v="BEGINNER"/>
    <n v="8.94"/>
    <n v="0"/>
    <n v="1"/>
    <n v="4.5"/>
    <s v="HIGH"/>
  </r>
  <r>
    <s v="STU_1698"/>
    <x v="3"/>
    <n v="53.3"/>
    <n v="6.75"/>
    <s v="NOT EXPERIENCED"/>
    <n v="7.06"/>
    <n v="0"/>
    <n v="0"/>
    <n v="5.43"/>
    <s v="MEDIUM"/>
  </r>
  <r>
    <s v="STU_1699"/>
    <x v="3"/>
    <n v="72.849999999999994"/>
    <n v="5.25"/>
    <s v="BEGINNER"/>
    <n v="9.3699999999999992"/>
    <n v="5"/>
    <n v="1"/>
    <n v="4.1900000000000004"/>
    <s v="HIGH"/>
  </r>
  <r>
    <s v="STU_1700"/>
    <x v="2"/>
    <n v="69.949999999999989"/>
    <n v="6.25"/>
    <s v="BEGINNER"/>
    <n v="8.19"/>
    <n v="2"/>
    <n v="1"/>
    <n v="5.65"/>
    <s v="HIGH"/>
  </r>
  <r>
    <s v="STU_1701"/>
    <x v="2"/>
    <n v="66.849999999999994"/>
    <n v="5.25"/>
    <s v="NOT EXPERIENCED"/>
    <n v="9.17"/>
    <n v="3"/>
    <n v="0"/>
    <n v="4.3"/>
    <s v="HIGH"/>
  </r>
  <r>
    <s v="STU_1702"/>
    <x v="3"/>
    <n v="53.5"/>
    <n v="4.25"/>
    <s v="BEGINNER"/>
    <n v="7.5"/>
    <n v="1"/>
    <n v="1"/>
    <n v="3.92"/>
    <s v="MEDIUM"/>
  </r>
  <r>
    <s v="STU_1703"/>
    <x v="0"/>
    <n v="55.4"/>
    <n v="4.5"/>
    <s v="NOT EXPERIENCED"/>
    <n v="7.68"/>
    <n v="1"/>
    <n v="0"/>
    <n v="4.12"/>
    <s v="MEDIUM"/>
  </r>
  <r>
    <s v="STU_1704"/>
    <x v="4"/>
    <n v="50.599999999999994"/>
    <n v="3.75"/>
    <s v="NOT EXPERIENCED"/>
    <n v="5.72"/>
    <n v="2"/>
    <n v="0"/>
    <n v="5.41"/>
    <s v="LOW"/>
  </r>
  <r>
    <s v="STU_1705"/>
    <x v="0"/>
    <n v="77.599999999999994"/>
    <n v="4.5"/>
    <s v="EXPERIENCED"/>
    <n v="8.92"/>
    <n v="2"/>
    <n v="3"/>
    <n v="4.5599999999999996"/>
    <s v="HIGH"/>
  </r>
  <r>
    <s v="STU_1706"/>
    <x v="1"/>
    <n v="56.5"/>
    <n v="5.75"/>
    <s v="BEGINNER"/>
    <n v="7.1"/>
    <n v="2"/>
    <n v="1"/>
    <n v="5.19"/>
    <s v="MEDIUM"/>
  </r>
  <r>
    <s v="STU_1707"/>
    <x v="2"/>
    <n v="71.5"/>
    <n v="5.75"/>
    <s v="EXPERIENCED"/>
    <n v="7.5"/>
    <n v="4"/>
    <n v="2"/>
    <n v="4.1100000000000003"/>
    <s v="MEDIUM"/>
  </r>
  <r>
    <s v="STU_1708"/>
    <x v="4"/>
    <n v="66.650000000000006"/>
    <n v="3"/>
    <s v="NOT EXPERIENCED"/>
    <n v="8.93"/>
    <n v="4"/>
    <n v="0"/>
    <n v="5.03"/>
    <s v="HIGH"/>
  </r>
  <r>
    <s v="STU_1709"/>
    <x v="4"/>
    <n v="75.95"/>
    <n v="6.25"/>
    <s v="BEGINNER"/>
    <n v="7.99"/>
    <n v="5"/>
    <n v="1"/>
    <n v="0"/>
    <s v="MEDIUM"/>
  </r>
  <r>
    <s v="STU_1710"/>
    <x v="1"/>
    <n v="54.05"/>
    <n v="6.25"/>
    <s v="EXPERIENCED"/>
    <n v="6.01"/>
    <n v="4"/>
    <n v="2"/>
    <n v="9.39"/>
    <s v="LOW"/>
  </r>
  <r>
    <s v="STU_1711"/>
    <x v="1"/>
    <n v="58.75"/>
    <n v="5.5"/>
    <s v="BEGINNER"/>
    <n v="7.95"/>
    <n v="0"/>
    <n v="1"/>
    <n v="4.5"/>
    <s v="MEDIUM"/>
  </r>
  <r>
    <s v="STU_1712"/>
    <x v="3"/>
    <n v="75.2"/>
    <n v="5.75"/>
    <s v="BEGINNER"/>
    <n v="7.04"/>
    <n v="5"/>
    <n v="1"/>
    <n v="4.1900000000000004"/>
    <s v="MEDIUM"/>
  </r>
  <r>
    <s v="STU_1713"/>
    <x v="2"/>
    <n v="64.75"/>
    <n v="6"/>
    <s v="BEGINNER"/>
    <n v="7.35"/>
    <n v="1"/>
    <n v="1"/>
    <n v="4.3499999999999996"/>
    <s v="MEDIUM"/>
  </r>
  <r>
    <s v="STU_1714"/>
    <x v="2"/>
    <n v="43.7"/>
    <n v="5.75"/>
    <s v="BEGINNER"/>
    <n v="5.14"/>
    <n v="3"/>
    <n v="1"/>
    <n v="4.12"/>
    <s v="LOW"/>
  </r>
  <r>
    <s v="STU_1715"/>
    <x v="0"/>
    <n v="63.25"/>
    <n v="6.5"/>
    <s v="EXPERIENCED"/>
    <n v="6.05"/>
    <n v="0"/>
    <n v="3"/>
    <n v="5.13"/>
    <s v="LOW"/>
  </r>
  <r>
    <s v="STU_1716"/>
    <x v="3"/>
    <n v="47.05"/>
    <n v="2.75"/>
    <s v="EXPERIENCED"/>
    <n v="6.41"/>
    <n v="1"/>
    <n v="2"/>
    <n v="0"/>
    <s v="LOW"/>
  </r>
  <r>
    <s v="STU_1717"/>
    <x v="3"/>
    <n v="80.800000000000011"/>
    <n v="4.25"/>
    <s v="EXPERIENCED"/>
    <n v="8.56"/>
    <n v="1"/>
    <n v="3"/>
    <n v="5.65"/>
    <s v="HIGH"/>
  </r>
  <r>
    <s v="STU_1718"/>
    <x v="3"/>
    <n v="52.3"/>
    <n v="7.5"/>
    <s v="NOT EXPERIENCED"/>
    <n v="5.0599999999999996"/>
    <n v="5"/>
    <n v="0"/>
    <n v="5.19"/>
    <s v="LOW"/>
  </r>
  <r>
    <s v="STU_1719"/>
    <x v="3"/>
    <n v="69.2"/>
    <n v="5.75"/>
    <s v="EXPERIENCED"/>
    <n v="7.04"/>
    <n v="2"/>
    <n v="2"/>
    <n v="5.13"/>
    <s v="MEDIUM"/>
  </r>
  <r>
    <s v="STU_1720"/>
    <x v="2"/>
    <n v="71.099999999999994"/>
    <n v="6"/>
    <s v="EXPERIENCED"/>
    <n v="9.6199999999999992"/>
    <n v="2"/>
    <n v="3"/>
    <n v="0"/>
    <s v="HIGH"/>
  </r>
  <r>
    <s v="STU_1721"/>
    <x v="2"/>
    <n v="35.799999999999997"/>
    <n v="6"/>
    <s v="NOT EXPERIENCED"/>
    <n v="5.56"/>
    <n v="0"/>
    <n v="0"/>
    <n v="5.03"/>
    <s v="LOW"/>
  </r>
  <r>
    <s v="STU_1722"/>
    <x v="3"/>
    <n v="51.9"/>
    <n v="5.75"/>
    <s v="NOT EXPERIENCED"/>
    <n v="7.58"/>
    <n v="2"/>
    <n v="0"/>
    <n v="3.95"/>
    <s v="MEDIUM"/>
  </r>
  <r>
    <s v="STU_1723"/>
    <x v="0"/>
    <n v="75.650000000000006"/>
    <n v="5.75"/>
    <s v="EXPERIENCED"/>
    <n v="8.93"/>
    <n v="1"/>
    <n v="2"/>
    <n v="4.5"/>
    <s v="HIGH"/>
  </r>
  <r>
    <s v="STU_1724"/>
    <x v="4"/>
    <n v="69.550000000000011"/>
    <n v="4.75"/>
    <s v="BEGINNER"/>
    <n v="9.7100000000000009"/>
    <n v="2"/>
    <n v="1"/>
    <n v="0"/>
    <s v="HIGH"/>
  </r>
  <r>
    <s v="STU_1725"/>
    <x v="4"/>
    <n v="75.650000000000006"/>
    <n v="4.25"/>
    <s v="EXPERIENCED"/>
    <n v="8.73"/>
    <n v="4"/>
    <n v="2"/>
    <n v="0"/>
    <s v="HIGH"/>
  </r>
  <r>
    <s v="STU_1726"/>
    <x v="0"/>
    <n v="61"/>
    <n v="7.25"/>
    <s v="NOT EXPERIENCED"/>
    <n v="8.6"/>
    <n v="2"/>
    <n v="0"/>
    <n v="4.5"/>
    <s v="HIGH"/>
  </r>
  <r>
    <s v="STU_1727"/>
    <x v="3"/>
    <n v="60.650000000000006"/>
    <n v="4.25"/>
    <s v="EXPERIENCED"/>
    <n v="9.1300000000000008"/>
    <n v="1"/>
    <n v="2"/>
    <n v="5.19"/>
    <s v="HIGH"/>
  </r>
  <r>
    <s v="STU_1728"/>
    <x v="2"/>
    <n v="53.150000000000006"/>
    <n v="5"/>
    <s v="NOT EXPERIENCED"/>
    <n v="7.23"/>
    <n v="5"/>
    <n v="0"/>
    <n v="5.15"/>
    <s v="MEDIUM"/>
  </r>
  <r>
    <s v="STU_1729"/>
    <x v="4"/>
    <n v="63.15"/>
    <n v="7.75"/>
    <s v="NOT EXPERIENCED"/>
    <n v="9.0299999999999994"/>
    <n v="0"/>
    <n v="0"/>
    <n v="4.1100000000000003"/>
    <s v="HIGH"/>
  </r>
  <r>
    <s v="STU_1730"/>
    <x v="1"/>
    <n v="40.200000000000003"/>
    <n v="4.25"/>
    <s v="NOT EXPERIENCED"/>
    <n v="5.04"/>
    <n v="3"/>
    <n v="0"/>
    <n v="0"/>
    <s v="LOW"/>
  </r>
  <r>
    <s v="STU_1731"/>
    <x v="1"/>
    <n v="72.099999999999994"/>
    <n v="4.5"/>
    <s v="EXPERIENCED"/>
    <n v="9.6199999999999992"/>
    <n v="2"/>
    <n v="2"/>
    <n v="3.87"/>
    <s v="HIGH"/>
  </r>
  <r>
    <s v="STU_1732"/>
    <x v="0"/>
    <n v="46.1"/>
    <n v="4"/>
    <s v="BEGINNER"/>
    <n v="7.22"/>
    <n v="1"/>
    <n v="1"/>
    <n v="5.13"/>
    <s v="MEDIUM"/>
  </r>
  <r>
    <s v="STU_1733"/>
    <x v="3"/>
    <n v="70.849999999999994"/>
    <n v="6.5"/>
    <s v="BEGINNER"/>
    <n v="7.77"/>
    <n v="3"/>
    <n v="1"/>
    <n v="4.1900000000000004"/>
    <s v="MEDIUM"/>
  </r>
  <r>
    <s v="STU_1734"/>
    <x v="4"/>
    <n v="61.349999999999994"/>
    <n v="4.75"/>
    <s v="BEGINNER"/>
    <n v="6.27"/>
    <n v="3"/>
    <n v="1"/>
    <n v="5.43"/>
    <s v="LOW"/>
  </r>
  <r>
    <s v="STU_1735"/>
    <x v="3"/>
    <n v="69.550000000000011"/>
    <n v="6.25"/>
    <s v="EXPERIENCED"/>
    <n v="8.7100000000000009"/>
    <n v="4"/>
    <n v="2"/>
    <n v="4.12"/>
    <s v="HIGH"/>
  </r>
  <r>
    <s v="STU_1736"/>
    <x v="4"/>
    <n v="56.9"/>
    <n v="5.75"/>
    <s v="BEGINNER"/>
    <n v="5.38"/>
    <n v="3"/>
    <n v="1"/>
    <n v="4.3499999999999996"/>
    <s v="LOW"/>
  </r>
  <r>
    <s v="STU_1737"/>
    <x v="0"/>
    <n v="85.8"/>
    <n v="4.5"/>
    <s v="EXPERIENCED"/>
    <n v="9.36"/>
    <n v="5"/>
    <n v="2"/>
    <n v="4.5"/>
    <s v="HIGH"/>
  </r>
  <r>
    <s v="STU_1738"/>
    <x v="0"/>
    <n v="65.7"/>
    <n v="7.25"/>
    <s v="BEGINNER"/>
    <n v="9.14"/>
    <n v="1"/>
    <n v="1"/>
    <n v="3.92"/>
    <s v="HIGH"/>
  </r>
  <r>
    <s v="STU_1739"/>
    <x v="1"/>
    <n v="40.4"/>
    <n v="6.75"/>
    <s v="BEGINNER"/>
    <n v="6.08"/>
    <n v="1"/>
    <n v="1"/>
    <n v="0"/>
    <s v="LOW"/>
  </r>
  <r>
    <s v="STU_1740"/>
    <x v="3"/>
    <n v="70.25"/>
    <n v="5"/>
    <s v="BEGINNER"/>
    <n v="9.0500000000000007"/>
    <n v="2"/>
    <n v="1"/>
    <n v="4.1100000000000003"/>
    <s v="HIGH"/>
  </r>
  <r>
    <s v="STU_1741"/>
    <x v="1"/>
    <n v="75.650000000000006"/>
    <n v="6.75"/>
    <s v="BEGINNER"/>
    <n v="8.93"/>
    <n v="2"/>
    <n v="1"/>
    <n v="0"/>
    <s v="HIGH"/>
  </r>
  <r>
    <s v="STU_1742"/>
    <x v="3"/>
    <n v="70.8"/>
    <n v="5.5"/>
    <s v="EXPERIENCED"/>
    <n v="8.16"/>
    <n v="2"/>
    <n v="2"/>
    <n v="4.1900000000000004"/>
    <s v="HIGH"/>
  </r>
  <r>
    <s v="STU_1743"/>
    <x v="1"/>
    <n v="72.349999999999994"/>
    <n v="5.5"/>
    <s v="BEGINNER"/>
    <n v="6.87"/>
    <n v="5"/>
    <n v="1"/>
    <n v="4.53"/>
    <s v="MEDIUM"/>
  </r>
  <r>
    <s v="STU_1744"/>
    <x v="2"/>
    <n v="42.8"/>
    <n v="2"/>
    <s v="NOT EXPERIENCED"/>
    <n v="6.36"/>
    <n v="3"/>
    <n v="0"/>
    <n v="5.13"/>
    <s v="LOW"/>
  </r>
  <r>
    <s v="STU_1745"/>
    <x v="2"/>
    <n v="53.8"/>
    <n v="3.25"/>
    <s v="EXPERIENCED"/>
    <n v="6.16"/>
    <n v="3"/>
    <n v="2"/>
    <n v="4.1100000000000003"/>
    <s v="LOW"/>
  </r>
  <r>
    <s v="STU_1746"/>
    <x v="2"/>
    <n v="67.95"/>
    <n v="7.75"/>
    <s v="BEGINNER"/>
    <n v="6.59"/>
    <n v="4"/>
    <n v="1"/>
    <n v="4.5599999999999996"/>
    <s v="MEDIUM"/>
  </r>
  <r>
    <s v="STU_1747"/>
    <x v="2"/>
    <n v="85.6"/>
    <n v="4.5"/>
    <s v="BEGINNER"/>
    <n v="9.52"/>
    <n v="5"/>
    <n v="1"/>
    <n v="4.5"/>
    <s v="HIGH"/>
  </r>
  <r>
    <s v="STU_1748"/>
    <x v="4"/>
    <n v="59.95"/>
    <n v="4.5"/>
    <s v="EXPERIENCED"/>
    <n v="5.39"/>
    <n v="2"/>
    <n v="3"/>
    <n v="5.19"/>
    <s v="LOW"/>
  </r>
  <r>
    <s v="STU_1749"/>
    <x v="2"/>
    <n v="62.7"/>
    <n v="6"/>
    <s v="BEGINNER"/>
    <n v="9.14"/>
    <n v="0"/>
    <n v="1"/>
    <n v="0"/>
    <s v="HIGH"/>
  </r>
  <r>
    <s v="STU_1750"/>
    <x v="0"/>
    <n v="53.7"/>
    <n v="5"/>
    <s v="NOT EXPERIENCED"/>
    <n v="6.74"/>
    <n v="4"/>
    <n v="0"/>
    <n v="0"/>
    <s v="MEDIUM"/>
  </r>
  <r>
    <s v="STU_1751"/>
    <x v="0"/>
    <n v="61.050000000000004"/>
    <n v="5"/>
    <s v="EXPERIENCED"/>
    <n v="7.61"/>
    <n v="0"/>
    <n v="3"/>
    <n v="4.5599999999999996"/>
    <s v="MEDIUM"/>
  </r>
  <r>
    <s v="STU_1752"/>
    <x v="4"/>
    <n v="68.849999999999994"/>
    <n v="8"/>
    <s v="BEGINNER"/>
    <n v="8.9700000000000006"/>
    <n v="3"/>
    <n v="1"/>
    <n v="4.1900000000000004"/>
    <s v="HIGH"/>
  </r>
  <r>
    <s v="STU_1753"/>
    <x v="2"/>
    <n v="70.099999999999994"/>
    <n v="6.25"/>
    <s v="BEGINNER"/>
    <n v="9.42"/>
    <n v="4"/>
    <n v="1"/>
    <n v="5.43"/>
    <s v="HIGH"/>
  </r>
  <r>
    <s v="STU_1754"/>
    <x v="2"/>
    <n v="47.6"/>
    <n v="6"/>
    <s v="NOT EXPERIENCED"/>
    <n v="6.72"/>
    <n v="4"/>
    <n v="0"/>
    <n v="4.3"/>
    <s v="MEDIUM"/>
  </r>
  <r>
    <s v="STU_1755"/>
    <x v="2"/>
    <n v="51.55"/>
    <n v="3"/>
    <s v="EXPERIENCED"/>
    <n v="7.31"/>
    <n v="1"/>
    <n v="2"/>
    <n v="5.15"/>
    <s v="MEDIUM"/>
  </r>
  <r>
    <s v="STU_1756"/>
    <x v="1"/>
    <n v="63.35"/>
    <n v="3.5"/>
    <s v="BEGINNER"/>
    <n v="7.07"/>
    <n v="3"/>
    <n v="1"/>
    <n v="4.5"/>
    <s v="MEDIUM"/>
  </r>
  <r>
    <s v="STU_1757"/>
    <x v="3"/>
    <n v="41.35"/>
    <n v="4.5"/>
    <s v="BEGINNER"/>
    <n v="5.07"/>
    <n v="3"/>
    <n v="1"/>
    <n v="0"/>
    <s v="LOW"/>
  </r>
  <r>
    <s v="STU_1758"/>
    <x v="1"/>
    <n v="59.400000000000006"/>
    <n v="6.25"/>
    <s v="EXPERIENCED"/>
    <n v="6.48"/>
    <n v="5"/>
    <n v="2"/>
    <n v="5.13"/>
    <s v="LOW"/>
  </r>
  <r>
    <s v="STU_1759"/>
    <x v="3"/>
    <n v="64.5"/>
    <n v="5.25"/>
    <s v="EXPERIENCED"/>
    <n v="7.3"/>
    <n v="4"/>
    <n v="2"/>
    <n v="4.1900000000000004"/>
    <s v="MEDIUM"/>
  </r>
  <r>
    <s v="STU_1760"/>
    <x v="2"/>
    <n v="64.3"/>
    <n v="6"/>
    <s v="NOT EXPERIENCED"/>
    <n v="7.06"/>
    <n v="3"/>
    <n v="0"/>
    <n v="0"/>
    <s v="MEDIUM"/>
  </r>
  <r>
    <s v="STU_1761"/>
    <x v="2"/>
    <n v="68.05"/>
    <n v="3.75"/>
    <s v="BEGINNER"/>
    <n v="8.61"/>
    <n v="4"/>
    <n v="1"/>
    <n v="4.1100000000000003"/>
    <s v="HIGH"/>
  </r>
  <r>
    <s v="STU_1762"/>
    <x v="1"/>
    <n v="57.6"/>
    <n v="7"/>
    <s v="NOT EXPERIENCED"/>
    <n v="6.92"/>
    <n v="5"/>
    <n v="0"/>
    <n v="0"/>
    <s v="MEDIUM"/>
  </r>
  <r>
    <s v="STU_1763"/>
    <x v="1"/>
    <n v="66.25"/>
    <n v="7.25"/>
    <s v="EXPERIENCED"/>
    <n v="7.45"/>
    <n v="5"/>
    <n v="2"/>
    <n v="4.5599999999999996"/>
    <s v="MEDIUM"/>
  </r>
  <r>
    <s v="STU_1764"/>
    <x v="3"/>
    <n v="40.75"/>
    <n v="5.5"/>
    <s v="NOT EXPERIENCED"/>
    <n v="7.15"/>
    <n v="1"/>
    <n v="0"/>
    <n v="5.13"/>
    <s v="MEDIUM"/>
  </r>
  <r>
    <s v="STU_1765"/>
    <x v="0"/>
    <n v="66.5"/>
    <n v="5.5"/>
    <s v="BEGINNER"/>
    <n v="8.6999999999999993"/>
    <n v="4"/>
    <n v="1"/>
    <n v="5.19"/>
    <s v="HIGH"/>
  </r>
  <r>
    <s v="STU_1766"/>
    <x v="3"/>
    <n v="73.550000000000011"/>
    <n v="5.25"/>
    <s v="EXPERIENCED"/>
    <n v="9.31"/>
    <n v="3"/>
    <n v="2"/>
    <n v="4.12"/>
    <s v="HIGH"/>
  </r>
  <r>
    <s v="STU_1767"/>
    <x v="1"/>
    <n v="63.3"/>
    <n v="4.75"/>
    <s v="EXPERIENCED"/>
    <n v="7.66"/>
    <n v="3"/>
    <n v="2"/>
    <n v="5.13"/>
    <s v="MEDIUM"/>
  </r>
  <r>
    <s v="STU_1768"/>
    <x v="1"/>
    <n v="77.75"/>
    <n v="5.5"/>
    <s v="BEGINNER"/>
    <n v="8.9499999999999993"/>
    <n v="4"/>
    <n v="1"/>
    <n v="4.1900000000000004"/>
    <s v="HIGH"/>
  </r>
  <r>
    <s v="STU_1769"/>
    <x v="4"/>
    <n v="74.400000000000006"/>
    <n v="6"/>
    <s v="EXPERIENCED"/>
    <n v="6.48"/>
    <n v="4"/>
    <n v="2"/>
    <n v="4.5"/>
    <s v="LOW"/>
  </r>
  <r>
    <s v="STU_1770"/>
    <x v="1"/>
    <n v="52.55"/>
    <n v="5.75"/>
    <s v="NOT EXPERIENCED"/>
    <n v="7.71"/>
    <n v="4"/>
    <n v="0"/>
    <n v="0"/>
    <s v="MEDIUM"/>
  </r>
  <r>
    <s v="STU_1771"/>
    <x v="4"/>
    <n v="53.650000000000006"/>
    <n v="4"/>
    <s v="EXPERIENCED"/>
    <n v="6.73"/>
    <n v="2"/>
    <n v="2"/>
    <n v="4.1100000000000003"/>
    <s v="MEDIUM"/>
  </r>
  <r>
    <s v="STU_1772"/>
    <x v="0"/>
    <n v="58.35"/>
    <n v="3.25"/>
    <s v="NOT EXPERIENCED"/>
    <n v="7.07"/>
    <n v="3"/>
    <n v="0"/>
    <n v="0"/>
    <s v="MEDIUM"/>
  </r>
  <r>
    <s v="STU_1773"/>
    <x v="3"/>
    <n v="71.3"/>
    <n v="5.25"/>
    <s v="BEGINNER"/>
    <n v="8.66"/>
    <n v="5"/>
    <n v="1"/>
    <n v="5.13"/>
    <s v="HIGH"/>
  </r>
  <r>
    <s v="STU_1774"/>
    <x v="3"/>
    <n v="82.05"/>
    <n v="5"/>
    <s v="EXPERIENCED"/>
    <n v="9.41"/>
    <n v="3"/>
    <n v="2"/>
    <n v="5.19"/>
    <s v="HIGH"/>
  </r>
  <r>
    <s v="STU_1775"/>
    <x v="4"/>
    <n v="40.049999999999997"/>
    <n v="4.5"/>
    <s v="NOT EXPERIENCED"/>
    <n v="5.61"/>
    <n v="2"/>
    <n v="0"/>
    <n v="3.95"/>
    <s v="LOW"/>
  </r>
  <r>
    <s v="STU_1776"/>
    <x v="3"/>
    <n v="64.849999999999994"/>
    <n v="4.25"/>
    <s v="NOT EXPERIENCED"/>
    <n v="8.17"/>
    <n v="4"/>
    <n v="0"/>
    <n v="4.5"/>
    <s v="HIGH"/>
  </r>
  <r>
    <s v="STU_1777"/>
    <x v="1"/>
    <n v="70.55"/>
    <n v="6"/>
    <s v="EXPERIENCED"/>
    <n v="7.91"/>
    <n v="1"/>
    <n v="2"/>
    <n v="0"/>
    <s v="MEDIUM"/>
  </r>
  <r>
    <s v="STU_1778"/>
    <x v="2"/>
    <n v="51.95"/>
    <n v="4.5"/>
    <s v="EXPERIENCED"/>
    <n v="5.59"/>
    <n v="4"/>
    <n v="2"/>
    <n v="4.3499999999999996"/>
    <s v="LOW"/>
  </r>
  <r>
    <s v="STU_1779"/>
    <x v="4"/>
    <n v="49.3"/>
    <n v="4.5"/>
    <s v="BEGINNER"/>
    <n v="6.06"/>
    <n v="4"/>
    <n v="1"/>
    <n v="4.12"/>
    <s v="LOW"/>
  </r>
  <r>
    <s v="STU_1780"/>
    <x v="3"/>
    <n v="59.8"/>
    <n v="7.25"/>
    <s v="BEGINNER"/>
    <n v="6.56"/>
    <n v="2"/>
    <n v="1"/>
    <n v="5.43"/>
    <s v="MEDIUM"/>
  </r>
  <r>
    <s v="STU_1781"/>
    <x v="4"/>
    <n v="49.15"/>
    <n v="4"/>
    <s v="BEGINNER"/>
    <n v="5.83"/>
    <n v="3"/>
    <n v="1"/>
    <n v="0"/>
    <s v="LOW"/>
  </r>
  <r>
    <s v="STU_1782"/>
    <x v="4"/>
    <n v="53.099999999999994"/>
    <n v="5.25"/>
    <s v="NOT EXPERIENCED"/>
    <n v="6.22"/>
    <n v="4"/>
    <n v="0"/>
    <n v="4.1900000000000004"/>
    <s v="LOW"/>
  </r>
  <r>
    <s v="STU_1783"/>
    <x v="2"/>
    <n v="47.7"/>
    <n v="5.5"/>
    <s v="BEGINNER"/>
    <n v="6.34"/>
    <n v="3"/>
    <n v="1"/>
    <n v="4.1100000000000003"/>
    <s v="LOW"/>
  </r>
  <r>
    <s v="STU_1784"/>
    <x v="1"/>
    <n v="43.4"/>
    <n v="5.5"/>
    <s v="NOT EXPERIENCED"/>
    <n v="6.68"/>
    <n v="0"/>
    <n v="0"/>
    <n v="0"/>
    <s v="MEDIUM"/>
  </r>
  <r>
    <s v="STU_1785"/>
    <x v="4"/>
    <n v="85.75"/>
    <n v="4.75"/>
    <s v="EXPERIENCED"/>
    <n v="8.75"/>
    <n v="5"/>
    <n v="3"/>
    <n v="4.5599999999999996"/>
    <s v="HIGH"/>
  </r>
  <r>
    <s v="STU_1786"/>
    <x v="3"/>
    <n v="69.300000000000011"/>
    <n v="6"/>
    <s v="BEGINNER"/>
    <n v="7.86"/>
    <n v="3"/>
    <n v="1"/>
    <n v="5.13"/>
    <s v="MEDIUM"/>
  </r>
  <r>
    <s v="STU_1787"/>
    <x v="0"/>
    <n v="63.65"/>
    <n v="2.5"/>
    <s v="BEGINNER"/>
    <n v="9.93"/>
    <n v="1"/>
    <n v="1"/>
    <n v="0"/>
    <s v="HIGH"/>
  </r>
  <r>
    <s v="STU_1788"/>
    <x v="4"/>
    <n v="61.35"/>
    <n v="4"/>
    <s v="BEGINNER"/>
    <n v="7.07"/>
    <n v="5"/>
    <n v="1"/>
    <n v="4.12"/>
    <s v="MEDIUM"/>
  </r>
  <r>
    <s v="STU_1789"/>
    <x v="4"/>
    <n v="81.849999999999994"/>
    <n v="6.5"/>
    <s v="EXPERIENCED"/>
    <n v="8.77"/>
    <n v="1"/>
    <n v="3"/>
    <n v="4.3499999999999996"/>
    <s v="HIGH"/>
  </r>
  <r>
    <s v="STU_1790"/>
    <x v="2"/>
    <n v="76.8"/>
    <n v="6"/>
    <s v="NOT EXPERIENCED"/>
    <n v="9.36"/>
    <n v="4"/>
    <n v="0"/>
    <n v="4.5"/>
    <s v="HIGH"/>
  </r>
  <r>
    <s v="STU_1791"/>
    <x v="1"/>
    <n v="69.95"/>
    <n v="6"/>
    <s v="BEGINNER"/>
    <n v="8.39"/>
    <n v="5"/>
    <n v="1"/>
    <n v="4.1900000000000004"/>
    <s v="HIGH"/>
  </r>
  <r>
    <s v="STU_1792"/>
    <x v="0"/>
    <n v="57.3"/>
    <n v="4.25"/>
    <s v="BEGINNER"/>
    <n v="7.06"/>
    <n v="3"/>
    <n v="1"/>
    <n v="4.1100000000000003"/>
    <s v="MEDIUM"/>
  </r>
  <r>
    <s v="STU_1793"/>
    <x v="3"/>
    <n v="77.849999999999994"/>
    <n v="6.5"/>
    <s v="BEGINNER"/>
    <n v="8.77"/>
    <n v="5"/>
    <n v="1"/>
    <n v="4.53"/>
    <s v="HIGH"/>
  </r>
  <r>
    <s v="STU_1794"/>
    <x v="0"/>
    <n v="46.099999999999994"/>
    <n v="5.75"/>
    <s v="NOT EXPERIENCED"/>
    <n v="6.02"/>
    <n v="4"/>
    <n v="0"/>
    <n v="5.13"/>
    <s v="LOW"/>
  </r>
  <r>
    <s v="STU_1795"/>
    <x v="3"/>
    <n v="65.199999999999989"/>
    <n v="7.5"/>
    <s v="EXPERIENCED"/>
    <n v="6.64"/>
    <n v="2"/>
    <n v="2"/>
    <n v="0"/>
    <s v="MEDIUM"/>
  </r>
  <r>
    <s v="STU_1796"/>
    <x v="1"/>
    <n v="68.650000000000006"/>
    <n v="5"/>
    <s v="EXPERIENCED"/>
    <n v="7.73"/>
    <n v="1"/>
    <n v="3"/>
    <n v="4.5"/>
    <s v="MEDIUM"/>
  </r>
  <r>
    <s v="STU_1797"/>
    <x v="3"/>
    <n v="62.4"/>
    <n v="7"/>
    <s v="BEGINNER"/>
    <n v="7.88"/>
    <n v="4"/>
    <n v="1"/>
    <n v="4.3499999999999996"/>
    <s v="MEDIUM"/>
  </r>
  <r>
    <s v="STU_1798"/>
    <x v="2"/>
    <n v="54.55"/>
    <n v="8"/>
    <s v="BEGINNER"/>
    <n v="5.1100000000000003"/>
    <n v="2"/>
    <n v="1"/>
    <n v="4.1900000000000004"/>
    <s v="LOW"/>
  </r>
  <r>
    <s v="STU_1799"/>
    <x v="2"/>
    <n v="88.65"/>
    <n v="6.25"/>
    <s v="EXPERIENCED"/>
    <n v="9.73"/>
    <n v="5"/>
    <n v="3"/>
    <n v="5.13"/>
    <s v="HIGH"/>
  </r>
  <r>
    <s v="STU_1800"/>
    <x v="2"/>
    <n v="83.4"/>
    <n v="3.5"/>
    <s v="EXPERIENCED"/>
    <n v="8.48"/>
    <n v="5"/>
    <n v="2"/>
    <n v="4.12"/>
    <s v="HIGH"/>
  </r>
  <r>
    <s v="STU_1801"/>
    <x v="2"/>
    <n v="63.400000000000006"/>
    <n v="6"/>
    <s v="NOT EXPERIENCED"/>
    <n v="7.48"/>
    <n v="4"/>
    <n v="0"/>
    <n v="4.5599999999999996"/>
    <s v="MEDIUM"/>
  </r>
  <r>
    <s v="STU_1802"/>
    <x v="0"/>
    <n v="78.349999999999994"/>
    <n v="7.5"/>
    <s v="BEGINNER"/>
    <n v="9.67"/>
    <n v="3"/>
    <n v="1"/>
    <n v="0"/>
    <s v="HIGH"/>
  </r>
  <r>
    <s v="STU_1803"/>
    <x v="1"/>
    <n v="70"/>
    <n v="6"/>
    <s v="BEGINNER"/>
    <n v="7.2"/>
    <n v="5"/>
    <n v="1"/>
    <n v="5.13"/>
    <s v="MEDIUM"/>
  </r>
  <r>
    <s v="STU_1804"/>
    <x v="3"/>
    <n v="69.5"/>
    <n v="7"/>
    <s v="BEGINNER"/>
    <n v="9.9"/>
    <n v="3"/>
    <n v="1"/>
    <n v="5.19"/>
    <s v="HIGH"/>
  </r>
  <r>
    <s v="STU_1805"/>
    <x v="3"/>
    <n v="60.8"/>
    <n v="2.75"/>
    <s v="EXPERIENCED"/>
    <n v="7.56"/>
    <n v="3"/>
    <n v="2"/>
    <n v="4.5"/>
    <s v="MEDIUM"/>
  </r>
  <r>
    <s v="STU_1806"/>
    <x v="2"/>
    <n v="65.849999999999994"/>
    <n v="5"/>
    <s v="EXPERIENCED"/>
    <n v="5.57"/>
    <n v="3"/>
    <n v="3"/>
    <n v="4.1900000000000004"/>
    <s v="LOW"/>
  </r>
  <r>
    <s v="STU_1807"/>
    <x v="2"/>
    <n v="65.099999999999994"/>
    <n v="7.75"/>
    <s v="EXPERIENCED"/>
    <n v="8.82"/>
    <n v="0"/>
    <n v="3"/>
    <n v="4.1100000000000003"/>
    <s v="HIGH"/>
  </r>
  <r>
    <s v="STU_1808"/>
    <x v="4"/>
    <n v="58.95"/>
    <n v="5.25"/>
    <s v="BEGINNER"/>
    <n v="8.39"/>
    <n v="2"/>
    <n v="1"/>
    <n v="0"/>
    <s v="HIGH"/>
  </r>
  <r>
    <s v="STU_1809"/>
    <x v="1"/>
    <n v="54.3"/>
    <n v="7.25"/>
    <s v="NOT EXPERIENCED"/>
    <n v="8.86"/>
    <n v="2"/>
    <n v="0"/>
    <n v="4.5599999999999996"/>
    <s v="HIGH"/>
  </r>
  <r>
    <s v="STU_1810"/>
    <x v="0"/>
    <n v="86.8"/>
    <n v="3"/>
    <s v="EXPERIENCED"/>
    <n v="9.76"/>
    <n v="5"/>
    <n v="3"/>
    <n v="5.13"/>
    <s v="HIGH"/>
  </r>
  <r>
    <s v="STU_1811"/>
    <x v="3"/>
    <n v="85.4"/>
    <n v="6.5"/>
    <s v="EXPERIENCED"/>
    <n v="8.8800000000000008"/>
    <n v="5"/>
    <n v="2"/>
    <n v="0"/>
    <s v="HIGH"/>
  </r>
  <r>
    <s v="STU_1812"/>
    <x v="4"/>
    <n v="51.300000000000004"/>
    <n v="3"/>
    <s v="NOT EXPERIENCED"/>
    <n v="8.06"/>
    <n v="3"/>
    <n v="0"/>
    <n v="4.12"/>
    <s v="HIGH"/>
  </r>
  <r>
    <s v="STU_1813"/>
    <x v="4"/>
    <n v="63.449999999999996"/>
    <n v="4.5"/>
    <s v="EXPERIENCED"/>
    <n v="9.2899999999999991"/>
    <n v="0"/>
    <n v="3"/>
    <n v="4.3499999999999996"/>
    <s v="HIGH"/>
  </r>
  <r>
    <s v="STU_1814"/>
    <x v="3"/>
    <n v="70.849999999999994"/>
    <n v="6"/>
    <s v="EXPERIENCED"/>
    <n v="8.3699999999999992"/>
    <n v="3"/>
    <n v="2"/>
    <n v="4.5"/>
    <s v="HIGH"/>
  </r>
  <r>
    <s v="STU_1815"/>
    <x v="0"/>
    <n v="50.2"/>
    <n v="4.25"/>
    <s v="BEGINNER"/>
    <n v="7.04"/>
    <n v="0"/>
    <n v="1"/>
    <n v="4.1900000000000004"/>
    <s v="MEDIUM"/>
  </r>
  <r>
    <s v="STU_1816"/>
    <x v="4"/>
    <n v="63.15"/>
    <n v="5.5"/>
    <s v="BEGINNER"/>
    <n v="9.43"/>
    <n v="3"/>
    <n v="1"/>
    <n v="4.1100000000000003"/>
    <s v="HIGH"/>
  </r>
  <r>
    <s v="STU_1817"/>
    <x v="4"/>
    <n v="50.55"/>
    <n v="5.25"/>
    <s v="BEGINNER"/>
    <n v="6.11"/>
    <n v="1"/>
    <n v="1"/>
    <n v="4.53"/>
    <s v="LOW"/>
  </r>
  <r>
    <s v="STU_1818"/>
    <x v="1"/>
    <n v="47.85"/>
    <n v="3.25"/>
    <s v="NOT EXPERIENCED"/>
    <n v="8.57"/>
    <n v="1"/>
    <n v="0"/>
    <n v="5.13"/>
    <s v="HIGH"/>
  </r>
  <r>
    <s v="STU_1819"/>
    <x v="0"/>
    <n v="74.05"/>
    <n v="2.5"/>
    <s v="BEGINNER"/>
    <n v="9.41"/>
    <n v="4"/>
    <n v="1"/>
    <n v="0"/>
    <s v="HIGH"/>
  </r>
  <r>
    <s v="STU_1820"/>
    <x v="4"/>
    <n v="80.3"/>
    <n v="8.5"/>
    <s v="EXPERIENCED"/>
    <n v="8.66"/>
    <n v="3"/>
    <n v="2"/>
    <n v="4.5"/>
    <s v="HIGH"/>
  </r>
  <r>
    <s v="STU_1821"/>
    <x v="0"/>
    <n v="67.45"/>
    <n v="6.25"/>
    <s v="NOT EXPERIENCED"/>
    <n v="8.49"/>
    <n v="5"/>
    <n v="0"/>
    <n v="4.3499999999999996"/>
    <s v="HIGH"/>
  </r>
  <r>
    <s v="STU_1822"/>
    <x v="3"/>
    <n v="66.8"/>
    <n v="7.5"/>
    <s v="BEGINNER"/>
    <n v="8.76"/>
    <n v="2"/>
    <n v="1"/>
    <n v="4.1900000000000004"/>
    <s v="HIGH"/>
  </r>
  <r>
    <s v="STU_1823"/>
    <x v="2"/>
    <n v="69.650000000000006"/>
    <n v="7.25"/>
    <s v="BEGINNER"/>
    <n v="7.33"/>
    <n v="4"/>
    <n v="1"/>
    <n v="5.13"/>
    <s v="MEDIUM"/>
  </r>
  <r>
    <s v="STU_1824"/>
    <x v="4"/>
    <n v="68.849999999999994"/>
    <n v="2.5"/>
    <s v="BEGINNER"/>
    <n v="9.3699999999999992"/>
    <n v="5"/>
    <n v="1"/>
    <n v="4.12"/>
    <s v="HIGH"/>
  </r>
  <r>
    <s v="STU_1825"/>
    <x v="1"/>
    <n v="52.099999999999994"/>
    <n v="5.75"/>
    <s v="EXPERIENCED"/>
    <n v="6.02"/>
    <n v="1"/>
    <n v="3"/>
    <n v="4.5599999999999996"/>
    <s v="LOW"/>
  </r>
  <r>
    <s v="STU_1826"/>
    <x v="3"/>
    <n v="60.2"/>
    <n v="5.25"/>
    <s v="BEGINNER"/>
    <n v="5.64"/>
    <n v="3"/>
    <n v="1"/>
    <n v="0"/>
    <s v="LOW"/>
  </r>
  <r>
    <s v="STU_1827"/>
    <x v="0"/>
    <n v="55.15"/>
    <n v="6.25"/>
    <s v="BEGINNER"/>
    <n v="6.43"/>
    <n v="4"/>
    <n v="1"/>
    <n v="5.13"/>
    <s v="LOW"/>
  </r>
  <r>
    <s v="STU_1828"/>
    <x v="3"/>
    <n v="69.3"/>
    <n v="6"/>
    <s v="EXPERIENCED"/>
    <n v="7.66"/>
    <n v="3"/>
    <n v="2"/>
    <n v="5.19"/>
    <s v="MEDIUM"/>
  </r>
  <r>
    <s v="STU_1829"/>
    <x v="4"/>
    <n v="55.75"/>
    <n v="6.5"/>
    <s v="BEGINNER"/>
    <n v="7.55"/>
    <n v="1"/>
    <n v="1"/>
    <n v="4.5"/>
    <s v="MEDIUM"/>
  </r>
  <r>
    <s v="STU_1830"/>
    <x v="0"/>
    <n v="61.5"/>
    <n v="3.5"/>
    <s v="NOT EXPERIENCED"/>
    <n v="9.1"/>
    <n v="4"/>
    <n v="0"/>
    <n v="4.1900000000000004"/>
    <s v="HIGH"/>
  </r>
  <r>
    <s v="STU_1831"/>
    <x v="2"/>
    <n v="57.099999999999994"/>
    <n v="6.25"/>
    <s v="BEGINNER"/>
    <n v="7.02"/>
    <n v="1"/>
    <n v="1"/>
    <n v="4.1100000000000003"/>
    <s v="MEDIUM"/>
  </r>
  <r>
    <s v="STU_1832"/>
    <x v="3"/>
    <n v="45.1"/>
    <n v="6"/>
    <s v="NOT EXPERIENCED"/>
    <n v="7.42"/>
    <n v="0"/>
    <n v="0"/>
    <n v="0"/>
    <s v="MEDIUM"/>
  </r>
  <r>
    <s v="STU_1833"/>
    <x v="4"/>
    <n v="30.35"/>
    <n v="5"/>
    <s v="NOT EXPERIENCED"/>
    <n v="5.07"/>
    <n v="1"/>
    <n v="0"/>
    <n v="4.5599999999999996"/>
    <s v="LOW"/>
  </r>
  <r>
    <s v="STU_1834"/>
    <x v="1"/>
    <n v="57.25"/>
    <n v="4.5"/>
    <s v="BEGINNER"/>
    <n v="7.05"/>
    <n v="3"/>
    <n v="1"/>
    <n v="5.13"/>
    <s v="MEDIUM"/>
  </r>
  <r>
    <s v="STU_1835"/>
    <x v="0"/>
    <n v="64.2"/>
    <n v="5"/>
    <s v="BEGINNER"/>
    <n v="8.24"/>
    <n v="2"/>
    <n v="1"/>
    <n v="0"/>
    <s v="HIGH"/>
  </r>
  <r>
    <s v="STU_1836"/>
    <x v="3"/>
    <n v="57.4"/>
    <n v="4.25"/>
    <s v="EXPERIENCED"/>
    <n v="5.08"/>
    <n v="1"/>
    <n v="3"/>
    <n v="4.12"/>
    <s v="LOW"/>
  </r>
  <r>
    <s v="STU_1837"/>
    <x v="3"/>
    <n v="66"/>
    <n v="5.5"/>
    <s v="BEGINNER"/>
    <n v="6.4"/>
    <n v="5"/>
    <n v="1"/>
    <n v="4.3499999999999996"/>
    <s v="LOW"/>
  </r>
  <r>
    <s v="STU_1838"/>
    <x v="2"/>
    <n v="55.2"/>
    <n v="4.5"/>
    <s v="BEGINNER"/>
    <n v="6.04"/>
    <n v="2"/>
    <n v="1"/>
    <n v="4.5"/>
    <s v="LOW"/>
  </r>
  <r>
    <s v="STU_1839"/>
    <x v="2"/>
    <n v="37.049999999999997"/>
    <n v="6.25"/>
    <s v="BEGINNER"/>
    <n v="5.21"/>
    <n v="0"/>
    <n v="1"/>
    <n v="4.1900000000000004"/>
    <s v="LOW"/>
  </r>
  <r>
    <s v="STU_1840"/>
    <x v="1"/>
    <n v="61"/>
    <n v="7"/>
    <s v="NOT EXPERIENCED"/>
    <n v="7.4"/>
    <n v="4"/>
    <n v="0"/>
    <n v="4.1100000000000003"/>
    <s v="MEDIUM"/>
  </r>
  <r>
    <s v="STU_1841"/>
    <x v="1"/>
    <n v="62.55"/>
    <n v="6"/>
    <s v="BEGINNER"/>
    <n v="5.91"/>
    <n v="4"/>
    <n v="1"/>
    <n v="4.53"/>
    <s v="LOW"/>
  </r>
  <r>
    <s v="STU_1842"/>
    <x v="4"/>
    <n v="57.6"/>
    <n v="4.25"/>
    <s v="NOT EXPERIENCED"/>
    <n v="8.7200000000000006"/>
    <n v="2"/>
    <n v="0"/>
    <n v="5.13"/>
    <s v="HIGH"/>
  </r>
  <r>
    <s v="STU_1843"/>
    <x v="4"/>
    <n v="89.2"/>
    <n v="5.5"/>
    <s v="EXPERIENCED"/>
    <n v="9.24"/>
    <n v="4"/>
    <n v="3"/>
    <n v="0"/>
    <s v="HIGH"/>
  </r>
  <r>
    <s v="STU_1844"/>
    <x v="1"/>
    <n v="45.650000000000006"/>
    <n v="4.25"/>
    <s v="NOT EXPERIENCED"/>
    <n v="7.73"/>
    <n v="1"/>
    <n v="0"/>
    <n v="4.5"/>
    <s v="MEDIUM"/>
  </r>
  <r>
    <s v="STU_1845"/>
    <x v="1"/>
    <n v="80.55"/>
    <n v="5"/>
    <s v="BEGINNER"/>
    <n v="9.91"/>
    <n v="2"/>
    <n v="1"/>
    <n v="4.3499999999999996"/>
    <s v="HIGH"/>
  </r>
  <r>
    <s v="STU_1846"/>
    <x v="0"/>
    <n v="63.25"/>
    <n v="7"/>
    <s v="NOT EXPERIENCED"/>
    <n v="7.25"/>
    <n v="3"/>
    <n v="0"/>
    <n v="4.1900000000000004"/>
    <s v="MEDIUM"/>
  </r>
  <r>
    <s v="STU_1847"/>
    <x v="2"/>
    <n v="73.849999999999994"/>
    <n v="7.75"/>
    <s v="EXPERIENCED"/>
    <n v="7.57"/>
    <n v="1"/>
    <n v="3"/>
    <n v="5.13"/>
    <s v="MEDIUM"/>
  </r>
  <r>
    <s v="STU_1848"/>
    <x v="4"/>
    <n v="73.75"/>
    <n v="8.5"/>
    <s v="BEGINNER"/>
    <n v="9.9499999999999993"/>
    <n v="1"/>
    <n v="1"/>
    <n v="4.12"/>
    <s v="HIGH"/>
  </r>
  <r>
    <s v="STU_1849"/>
    <x v="2"/>
    <n v="58.8"/>
    <n v="6.25"/>
    <s v="BEGINNER"/>
    <n v="6.16"/>
    <n v="1"/>
    <n v="1"/>
    <n v="4.5599999999999996"/>
    <s v="LOW"/>
  </r>
  <r>
    <s v="STU_1850"/>
    <x v="2"/>
    <n v="77.550000000000011"/>
    <n v="6"/>
    <s v="NOT EXPERIENCED"/>
    <n v="9.7100000000000009"/>
    <n v="3"/>
    <n v="0"/>
    <n v="0"/>
    <s v="HIGH"/>
  </r>
  <r>
    <s v="STU_1851"/>
    <x v="1"/>
    <n v="38.049999999999997"/>
    <n v="2.5"/>
    <s v="EXPERIENCED"/>
    <n v="5.21"/>
    <n v="0"/>
    <n v="2"/>
    <n v="5.13"/>
    <s v="LOW"/>
  </r>
  <r>
    <s v="STU_1852"/>
    <x v="0"/>
    <n v="55.150000000000006"/>
    <n v="2.5"/>
    <s v="NOT EXPERIENCED"/>
    <n v="7.23"/>
    <n v="5"/>
    <n v="0"/>
    <n v="5.19"/>
    <s v="MEDIUM"/>
  </r>
  <r>
    <s v="STU_1853"/>
    <x v="3"/>
    <n v="60.75"/>
    <n v="6.5"/>
    <s v="EXPERIENCED"/>
    <n v="5.35"/>
    <n v="4"/>
    <n v="2"/>
    <n v="4.5"/>
    <s v="LOW"/>
  </r>
  <r>
    <s v="STU_1854"/>
    <x v="0"/>
    <n v="69.25"/>
    <n v="5.25"/>
    <s v="NOT EXPERIENCED"/>
    <n v="8.65"/>
    <n v="2"/>
    <n v="0"/>
    <n v="4.1900000000000004"/>
    <s v="HIGH"/>
  </r>
  <r>
    <s v="STU_1855"/>
    <x v="0"/>
    <n v="50.199999999999996"/>
    <n v="5"/>
    <s v="NOT EXPERIENCED"/>
    <n v="8.0399999999999991"/>
    <n v="0"/>
    <n v="0"/>
    <n v="4.1100000000000003"/>
    <s v="HIGH"/>
  </r>
  <r>
    <s v="STU_1856"/>
    <x v="2"/>
    <n v="66.650000000000006"/>
    <n v="6.75"/>
    <s v="NOT EXPERIENCED"/>
    <n v="8.5299999999999994"/>
    <n v="2"/>
    <n v="0"/>
    <n v="0"/>
    <s v="HIGH"/>
  </r>
  <r>
    <s v="STU_1857"/>
    <x v="0"/>
    <n v="61.35"/>
    <n v="6.25"/>
    <s v="BEGINNER"/>
    <n v="6.87"/>
    <n v="4"/>
    <n v="1"/>
    <n v="4.5599999999999996"/>
    <s v="MEDIUM"/>
  </r>
  <r>
    <s v="STU_1858"/>
    <x v="4"/>
    <n v="52.25"/>
    <n v="3.25"/>
    <s v="BEGINNER"/>
    <n v="6.85"/>
    <n v="3"/>
    <n v="1"/>
    <n v="5.13"/>
    <s v="MEDIUM"/>
  </r>
  <r>
    <s v="STU_1859"/>
    <x v="2"/>
    <n v="49.150000000000006"/>
    <n v="7.5"/>
    <s v="NOT EXPERIENCED"/>
    <n v="5.23"/>
    <n v="1"/>
    <n v="0"/>
    <n v="0"/>
    <s v="LOW"/>
  </r>
  <r>
    <s v="STU_1860"/>
    <x v="4"/>
    <n v="54.75"/>
    <n v="4.5"/>
    <s v="EXPERIENCED"/>
    <n v="6.75"/>
    <n v="1"/>
    <n v="2"/>
    <n v="4.12"/>
    <s v="MEDIUM"/>
  </r>
  <r>
    <s v="STU_1861"/>
    <x v="3"/>
    <n v="80.25"/>
    <n v="8.5"/>
    <s v="BEGINNER"/>
    <n v="9.65"/>
    <n v="3"/>
    <n v="1"/>
    <n v="4.3499999999999996"/>
    <s v="HIGH"/>
  </r>
  <r>
    <s v="STU_1862"/>
    <x v="2"/>
    <n v="41.5"/>
    <n v="4.5"/>
    <s v="BEGINNER"/>
    <n v="6.9"/>
    <n v="0"/>
    <n v="1"/>
    <n v="4.5"/>
    <s v="MEDIUM"/>
  </r>
  <r>
    <s v="STU_1863"/>
    <x v="3"/>
    <n v="52.8"/>
    <n v="2.75"/>
    <s v="BEGINNER"/>
    <n v="9.16"/>
    <n v="0"/>
    <n v="1"/>
    <n v="4.1900000000000004"/>
    <s v="HIGH"/>
  </r>
  <r>
    <s v="STU_1864"/>
    <x v="2"/>
    <n v="71.050000000000011"/>
    <n v="7"/>
    <s v="BEGINNER"/>
    <n v="9.2100000000000009"/>
    <n v="2"/>
    <n v="1"/>
    <n v="4.1100000000000003"/>
    <s v="HIGH"/>
  </r>
  <r>
    <s v="STU_1865"/>
    <x v="1"/>
    <n v="54.35"/>
    <n v="5"/>
    <s v="BEGINNER"/>
    <n v="6.87"/>
    <n v="3"/>
    <n v="1"/>
    <n v="4.53"/>
    <s v="MEDIUM"/>
  </r>
  <r>
    <s v="STU_1866"/>
    <x v="0"/>
    <n v="60.8"/>
    <n v="7.5"/>
    <s v="NOT EXPERIENCED"/>
    <n v="8.16"/>
    <n v="0"/>
    <n v="0"/>
    <n v="5.13"/>
    <s v="HIGH"/>
  </r>
  <r>
    <s v="STU_1867"/>
    <x v="1"/>
    <n v="40.400000000000006"/>
    <n v="5.75"/>
    <s v="NOT EXPERIENCED"/>
    <n v="5.48"/>
    <n v="3"/>
    <n v="0"/>
    <n v="0"/>
    <s v="LOW"/>
  </r>
  <r>
    <s v="STU_1868"/>
    <x v="3"/>
    <n v="67.599999999999994"/>
    <n v="5.5"/>
    <s v="EXPERIENCED"/>
    <n v="5.52"/>
    <n v="4"/>
    <n v="2"/>
    <n v="4.5"/>
    <s v="LOW"/>
  </r>
  <r>
    <s v="STU_1869"/>
    <x v="0"/>
    <n v="50.2"/>
    <n v="4"/>
    <s v="EXPERIENCED"/>
    <n v="5.24"/>
    <n v="1"/>
    <n v="3"/>
    <n v="4.3499999999999996"/>
    <s v="LOW"/>
  </r>
  <r>
    <s v="STU_1870"/>
    <x v="2"/>
    <n v="51.55"/>
    <n v="4.75"/>
    <s v="BEGINNER"/>
    <n v="7.91"/>
    <n v="1"/>
    <n v="1"/>
    <n v="4.1900000000000004"/>
    <s v="MEDIUM"/>
  </r>
  <r>
    <s v="STU_1871"/>
    <x v="0"/>
    <n v="54.65"/>
    <n v="5"/>
    <s v="NOT EXPERIENCED"/>
    <n v="7.13"/>
    <n v="1"/>
    <n v="0"/>
    <n v="5.13"/>
    <s v="MEDIUM"/>
  </r>
  <r>
    <s v="STU_1872"/>
    <x v="4"/>
    <n v="72.7"/>
    <n v="6.5"/>
    <s v="BEGINNER"/>
    <n v="7.74"/>
    <n v="3"/>
    <n v="1"/>
    <n v="4.12"/>
    <s v="MEDIUM"/>
  </r>
  <r>
    <s v="STU_1873"/>
    <x v="0"/>
    <n v="64.050000000000011"/>
    <n v="4.25"/>
    <s v="BEGINNER"/>
    <n v="7.61"/>
    <n v="3"/>
    <n v="1"/>
    <n v="4.5599999999999996"/>
    <s v="MEDIUM"/>
  </r>
  <r>
    <s v="STU_1874"/>
    <x v="4"/>
    <n v="51.75"/>
    <n v="5"/>
    <s v="NOT EXPERIENCED"/>
    <n v="6.75"/>
    <n v="2"/>
    <n v="0"/>
    <n v="0"/>
    <s v="MEDIUM"/>
  </r>
  <r>
    <s v="STU_1875"/>
    <x v="0"/>
    <n v="64.95"/>
    <n v="6.75"/>
    <s v="NOT EXPERIENCED"/>
    <n v="8.39"/>
    <n v="1"/>
    <n v="0"/>
    <n v="5.13"/>
    <s v="HIGH"/>
  </r>
  <r>
    <s v="STU_1876"/>
    <x v="4"/>
    <n v="73.949999999999989"/>
    <n v="4.25"/>
    <s v="EXPERIENCED"/>
    <n v="8.7899999999999991"/>
    <n v="2"/>
    <n v="2"/>
    <n v="5.19"/>
    <s v="HIGH"/>
  </r>
  <r>
    <s v="STU_1877"/>
    <x v="3"/>
    <n v="47.35"/>
    <n v="4.75"/>
    <s v="BEGINNER"/>
    <n v="5.07"/>
    <n v="1"/>
    <n v="1"/>
    <n v="4.5"/>
    <s v="LOW"/>
  </r>
  <r>
    <s v="STU_1878"/>
    <x v="1"/>
    <n v="48.2"/>
    <n v="3.75"/>
    <s v="NOT EXPERIENCED"/>
    <n v="6.04"/>
    <n v="2"/>
    <n v="0"/>
    <n v="4.1900000000000004"/>
    <s v="LOW"/>
  </r>
  <r>
    <s v="STU_1879"/>
    <x v="2"/>
    <n v="56.85"/>
    <n v="5.25"/>
    <s v="NOT EXPERIENCED"/>
    <n v="8.57"/>
    <n v="2"/>
    <n v="0"/>
    <n v="4.1100000000000003"/>
    <s v="HIGH"/>
  </r>
  <r>
    <s v="STU_1880"/>
    <x v="0"/>
    <n v="64.650000000000006"/>
    <n v="5.5"/>
    <s v="NOT EXPERIENCED"/>
    <n v="6.93"/>
    <n v="4"/>
    <n v="0"/>
    <n v="0"/>
    <s v="MEDIUM"/>
  </r>
  <r>
    <s v="STU_1881"/>
    <x v="1"/>
    <n v="64.550000000000011"/>
    <n v="5.5"/>
    <s v="BEGINNER"/>
    <n v="8.31"/>
    <n v="2"/>
    <n v="1"/>
    <n v="4.5599999999999996"/>
    <s v="HIGH"/>
  </r>
  <r>
    <s v="STU_1882"/>
    <x v="2"/>
    <n v="50.650000000000006"/>
    <n v="5.75"/>
    <s v="NOT EXPERIENCED"/>
    <n v="6.73"/>
    <n v="3"/>
    <n v="0"/>
    <n v="5.13"/>
    <s v="MEDIUM"/>
  </r>
  <r>
    <s v="STU_1883"/>
    <x v="2"/>
    <n v="46.75"/>
    <n v="5.5"/>
    <s v="NOT EXPERIENCED"/>
    <n v="6.95"/>
    <n v="2"/>
    <n v="0"/>
    <n v="0"/>
    <s v="MEDIUM"/>
  </r>
  <r>
    <s v="STU_1884"/>
    <x v="4"/>
    <n v="49.95"/>
    <n v="6"/>
    <s v="EXPERIENCED"/>
    <n v="5.79"/>
    <n v="1"/>
    <n v="2"/>
    <n v="4.12"/>
    <s v="LOW"/>
  </r>
  <r>
    <s v="STU_1885"/>
    <x v="3"/>
    <n v="43.45"/>
    <n v="6"/>
    <s v="NOT EXPERIENCED"/>
    <n v="6.29"/>
    <n v="2"/>
    <n v="0"/>
    <n v="4.3499999999999996"/>
    <s v="LOW"/>
  </r>
  <r>
    <s v="STU_1886"/>
    <x v="3"/>
    <n v="49.15"/>
    <n v="4.5"/>
    <s v="BEGINNER"/>
    <n v="8.0299999999999994"/>
    <n v="0"/>
    <n v="1"/>
    <n v="4.5"/>
    <s v="HIGH"/>
  </r>
  <r>
    <s v="STU_1887"/>
    <x v="1"/>
    <n v="60.85"/>
    <n v="6.5"/>
    <s v="NOT EXPERIENCED"/>
    <n v="7.17"/>
    <n v="5"/>
    <n v="0"/>
    <n v="4.1900000000000004"/>
    <s v="MEDIUM"/>
  </r>
  <r>
    <s v="STU_1888"/>
    <x v="3"/>
    <n v="51.349999999999994"/>
    <n v="5"/>
    <s v="NOT EXPERIENCED"/>
    <n v="8.8699999999999992"/>
    <n v="1"/>
    <n v="0"/>
    <n v="4.1100000000000003"/>
    <s v="HIGH"/>
  </r>
  <r>
    <s v="STU_1889"/>
    <x v="0"/>
    <n v="58.3"/>
    <n v="7.75"/>
    <s v="NOT EXPERIENCED"/>
    <n v="9.26"/>
    <n v="0"/>
    <n v="0"/>
    <n v="4.53"/>
    <s v="HIGH"/>
  </r>
  <r>
    <s v="STU_1890"/>
    <x v="3"/>
    <n v="57.55"/>
    <n v="2.25"/>
    <s v="EXPERIENCED"/>
    <n v="7.71"/>
    <n v="1"/>
    <n v="2"/>
    <n v="5.13"/>
    <s v="MEDIUM"/>
  </r>
  <r>
    <s v="STU_1891"/>
    <x v="1"/>
    <n v="74.949999999999989"/>
    <n v="4.25"/>
    <s v="EXPERIENCED"/>
    <n v="8.7899999999999991"/>
    <n v="3"/>
    <n v="2"/>
    <n v="0"/>
    <s v="HIGH"/>
  </r>
  <r>
    <s v="STU_1892"/>
    <x v="3"/>
    <n v="77.650000000000006"/>
    <n v="5.5"/>
    <s v="EXPERIENCED"/>
    <n v="6.53"/>
    <n v="5"/>
    <n v="2"/>
    <n v="4.5"/>
    <s v="MEDIUM"/>
  </r>
  <r>
    <s v="STU_1893"/>
    <x v="0"/>
    <n v="73.349999999999994"/>
    <n v="8.5"/>
    <s v="BEGINNER"/>
    <n v="7.07"/>
    <n v="5"/>
    <n v="1"/>
    <n v="4.3499999999999996"/>
    <s v="MEDIUM"/>
  </r>
  <r>
    <s v="STU_1894"/>
    <x v="4"/>
    <n v="58.800000000000004"/>
    <n v="6.75"/>
    <s v="BEGINNER"/>
    <n v="8.56"/>
    <n v="3"/>
    <n v="1"/>
    <n v="4.1900000000000004"/>
    <s v="HIGH"/>
  </r>
  <r>
    <s v="STU_1895"/>
    <x v="1"/>
    <n v="61.65"/>
    <n v="3.75"/>
    <s v="NOT EXPERIENCED"/>
    <n v="6.93"/>
    <n v="5"/>
    <n v="0"/>
    <n v="5.13"/>
    <s v="MEDIUM"/>
  </r>
  <r>
    <s v="STU_1896"/>
    <x v="4"/>
    <n v="66.7"/>
    <n v="7.5"/>
    <s v="NOT EXPERIENCED"/>
    <n v="7.94"/>
    <n v="3"/>
    <n v="0"/>
    <n v="4.12"/>
    <s v="MEDIUM"/>
  </r>
  <r>
    <s v="STU_1897"/>
    <x v="4"/>
    <n v="47.65"/>
    <n v="4.5"/>
    <s v="EXPERIENCED"/>
    <n v="5.93"/>
    <n v="0"/>
    <n v="2"/>
    <n v="4.5599999999999996"/>
    <s v="LOW"/>
  </r>
  <r>
    <s v="STU_1898"/>
    <x v="4"/>
    <n v="56"/>
    <n v="5.25"/>
    <s v="NOT EXPERIENCED"/>
    <n v="8"/>
    <n v="4"/>
    <n v="0"/>
    <n v="0"/>
    <s v="MEDIUM"/>
  </r>
  <r>
    <s v="STU_1899"/>
    <x v="2"/>
    <n v="57.550000000000004"/>
    <n v="4.75"/>
    <s v="NOT EXPERIENCED"/>
    <n v="9.31"/>
    <n v="1"/>
    <n v="0"/>
    <n v="5.13"/>
    <s v="HIGH"/>
  </r>
  <r>
    <s v="STU_1900"/>
    <x v="2"/>
    <n v="57.7"/>
    <n v="3.25"/>
    <s v="NOT EXPERIENCED"/>
    <n v="9.34"/>
    <n v="3"/>
    <n v="0"/>
    <n v="5.19"/>
    <s v="HIGH"/>
  </r>
  <r>
    <s v="STU_1901"/>
    <x v="4"/>
    <n v="52.099999999999994"/>
    <n v="3.5"/>
    <s v="NOT EXPERIENCED"/>
    <n v="8.6199999999999992"/>
    <n v="1"/>
    <n v="0"/>
    <n v="4.5"/>
    <s v="HIGH"/>
  </r>
  <r>
    <s v="STU_1902"/>
    <x v="1"/>
    <n v="63.650000000000006"/>
    <n v="5.75"/>
    <s v="NOT EXPERIENCED"/>
    <n v="8.73"/>
    <n v="0"/>
    <n v="0"/>
    <n v="4.1900000000000004"/>
    <s v="HIGH"/>
  </r>
  <r>
    <s v="STU_1903"/>
    <x v="0"/>
    <n v="73.95"/>
    <n v="5.5"/>
    <s v="BEGINNER"/>
    <n v="7.79"/>
    <n v="4"/>
    <n v="1"/>
    <n v="4.1100000000000003"/>
    <s v="MEDIUM"/>
  </r>
  <r>
    <s v="STU_1904"/>
    <x v="0"/>
    <n v="64.599999999999994"/>
    <n v="7.5"/>
    <s v="BEGINNER"/>
    <n v="7.92"/>
    <n v="0"/>
    <n v="1"/>
    <n v="0"/>
    <s v="MEDIUM"/>
  </r>
  <r>
    <s v="STU_1905"/>
    <x v="3"/>
    <n v="63.35"/>
    <n v="4.75"/>
    <s v="EXPERIENCED"/>
    <n v="5.67"/>
    <n v="5"/>
    <n v="2"/>
    <n v="4.5599999999999996"/>
    <s v="LOW"/>
  </r>
  <r>
    <s v="STU_1906"/>
    <x v="1"/>
    <n v="61.1"/>
    <n v="7.5"/>
    <s v="EXPERIENCED"/>
    <n v="7.22"/>
    <n v="1"/>
    <n v="2"/>
    <n v="5.13"/>
    <s v="MEDIUM"/>
  </r>
  <r>
    <s v="STU_1907"/>
    <x v="2"/>
    <n v="59.25"/>
    <n v="2.5"/>
    <s v="BEGINNER"/>
    <n v="7.25"/>
    <n v="4"/>
    <n v="1"/>
    <n v="0"/>
    <s v="MEDIUM"/>
  </r>
  <r>
    <s v="STU_1908"/>
    <x v="4"/>
    <n v="73.949999999999989"/>
    <n v="3"/>
    <s v="NOT EXPERIENCED"/>
    <n v="9.7899999999999991"/>
    <n v="5"/>
    <n v="0"/>
    <n v="4.12"/>
    <s v="HIGH"/>
  </r>
  <r>
    <s v="STU_1909"/>
    <x v="3"/>
    <n v="68.8"/>
    <n v="5.75"/>
    <s v="BEGINNER"/>
    <n v="7.16"/>
    <n v="4"/>
    <n v="1"/>
    <n v="4.3499999999999996"/>
    <s v="MEDIUM"/>
  </r>
  <r>
    <s v="STU_1910"/>
    <x v="0"/>
    <n v="70.75"/>
    <n v="4"/>
    <s v="BEGINNER"/>
    <n v="7.75"/>
    <n v="5"/>
    <n v="1"/>
    <n v="4.5"/>
    <s v="MEDIUM"/>
  </r>
  <r>
    <s v="STU_1911"/>
    <x v="2"/>
    <n v="46.35"/>
    <n v="4.75"/>
    <s v="NOT EXPERIENCED"/>
    <n v="7.67"/>
    <n v="0"/>
    <n v="0"/>
    <n v="4.1900000000000004"/>
    <s v="MEDIUM"/>
  </r>
  <r>
    <s v="STU_1912"/>
    <x v="2"/>
    <n v="58.9"/>
    <n v="5.25"/>
    <s v="BEGINNER"/>
    <n v="8.18"/>
    <n v="3"/>
    <n v="1"/>
    <n v="4.1100000000000003"/>
    <s v="HIGH"/>
  </r>
  <r>
    <s v="STU_1913"/>
    <x v="4"/>
    <n v="69.7"/>
    <n v="6.5"/>
    <s v="BEGINNER"/>
    <n v="8.74"/>
    <n v="1"/>
    <n v="1"/>
    <n v="4.53"/>
    <s v="HIGH"/>
  </r>
  <r>
    <s v="STU_1914"/>
    <x v="0"/>
    <n v="43.65"/>
    <n v="4.75"/>
    <s v="BEGINNER"/>
    <n v="6.13"/>
    <n v="2"/>
    <n v="1"/>
    <n v="5.13"/>
    <s v="LOW"/>
  </r>
  <r>
    <s v="STU_1915"/>
    <x v="1"/>
    <n v="51.199999999999996"/>
    <n v="4"/>
    <s v="BEGINNER"/>
    <n v="7.64"/>
    <n v="2"/>
    <n v="1"/>
    <n v="0"/>
    <s v="MEDIUM"/>
  </r>
  <r>
    <s v="STU_1916"/>
    <x v="2"/>
    <n v="53.650000000000006"/>
    <n v="3"/>
    <s v="NOT EXPERIENCED"/>
    <n v="9.1300000000000008"/>
    <n v="0"/>
    <n v="0"/>
    <n v="4.5"/>
    <s v="HIGH"/>
  </r>
  <r>
    <s v="STU_1917"/>
    <x v="4"/>
    <n v="68.599999999999994"/>
    <n v="6.25"/>
    <s v="EXPERIENCED"/>
    <n v="7.32"/>
    <n v="1"/>
    <n v="3"/>
    <n v="4.3499999999999996"/>
    <s v="MEDIUM"/>
  </r>
  <r>
    <s v="STU_1918"/>
    <x v="1"/>
    <n v="46.95"/>
    <n v="5"/>
    <s v="EXPERIENCED"/>
    <n v="6.39"/>
    <n v="1"/>
    <n v="2"/>
    <n v="4.1900000000000004"/>
    <s v="LOW"/>
  </r>
  <r>
    <s v="STU_1919"/>
    <x v="0"/>
    <n v="59.349999999999994"/>
    <n v="8.25"/>
    <s v="NOT EXPERIENCED"/>
    <n v="8.27"/>
    <n v="0"/>
    <n v="0"/>
    <n v="5.13"/>
    <s v="HIGH"/>
  </r>
  <r>
    <s v="STU_1920"/>
    <x v="2"/>
    <n v="66.599999999999994"/>
    <n v="5"/>
    <s v="EXPERIENCED"/>
    <n v="9.1199999999999992"/>
    <n v="1"/>
    <n v="2"/>
    <n v="4.12"/>
    <s v="HIGH"/>
  </r>
  <r>
    <s v="STU_1921"/>
    <x v="1"/>
    <n v="46.6"/>
    <n v="5.75"/>
    <s v="BEGINNER"/>
    <n v="5.32"/>
    <n v="3"/>
    <n v="1"/>
    <n v="4.5599999999999996"/>
    <s v="LOW"/>
  </r>
  <r>
    <s v="STU_1922"/>
    <x v="1"/>
    <n v="56.400000000000006"/>
    <n v="3"/>
    <s v="EXPERIENCED"/>
    <n v="8.8800000000000008"/>
    <n v="0"/>
    <n v="2"/>
    <n v="0"/>
    <s v="HIGH"/>
  </r>
  <r>
    <s v="STU_1923"/>
    <x v="1"/>
    <n v="84.55"/>
    <n v="5.25"/>
    <s v="EXPERIENCED"/>
    <n v="9.11"/>
    <n v="3"/>
    <n v="2"/>
    <n v="5.13"/>
    <s v="HIGH"/>
  </r>
  <r>
    <s v="STU_1924"/>
    <x v="2"/>
    <n v="52.55"/>
    <n v="6.75"/>
    <s v="BEGINNER"/>
    <n v="7.31"/>
    <n v="1"/>
    <n v="1"/>
    <n v="5.19"/>
    <s v="MEDIUM"/>
  </r>
  <r>
    <s v="STU_1925"/>
    <x v="2"/>
    <n v="67.599999999999994"/>
    <n v="7.25"/>
    <s v="NOT EXPERIENCED"/>
    <n v="9.92"/>
    <n v="0"/>
    <n v="0"/>
    <n v="4.5"/>
    <s v="HIGH"/>
  </r>
  <r>
    <s v="STU_1926"/>
    <x v="3"/>
    <n v="67.650000000000006"/>
    <n v="7.25"/>
    <s v="NOT EXPERIENCED"/>
    <n v="8.93"/>
    <n v="1"/>
    <n v="0"/>
    <n v="4.1900000000000004"/>
    <s v="HIGH"/>
  </r>
  <r>
    <s v="STU_1927"/>
    <x v="0"/>
    <n v="61.349999999999994"/>
    <n v="6.5"/>
    <s v="BEGINNER"/>
    <n v="8.8699999999999992"/>
    <n v="0"/>
    <n v="1"/>
    <n v="4.1100000000000003"/>
    <s v="HIGH"/>
  </r>
  <r>
    <s v="STU_1928"/>
    <x v="4"/>
    <n v="63.7"/>
    <n v="6.75"/>
    <s v="BEGINNER"/>
    <n v="8.74"/>
    <n v="1"/>
    <n v="1"/>
    <n v="0"/>
    <s v="HIGH"/>
  </r>
  <r>
    <s v="STU_1929"/>
    <x v="1"/>
    <n v="39.75"/>
    <n v="5.5"/>
    <s v="NOT EXPERIENCED"/>
    <n v="5.75"/>
    <n v="3"/>
    <n v="0"/>
    <n v="4.5599999999999996"/>
    <s v="LOW"/>
  </r>
  <r>
    <s v="STU_1930"/>
    <x v="3"/>
    <n v="59.45"/>
    <n v="8"/>
    <s v="NOT EXPERIENCED"/>
    <n v="6.09"/>
    <n v="3"/>
    <n v="0"/>
    <n v="5.13"/>
    <s v="LOW"/>
  </r>
  <r>
    <s v="STU_1931"/>
    <x v="4"/>
    <n v="53.6"/>
    <n v="5.5"/>
    <s v="EXPERIENCED"/>
    <n v="7.32"/>
    <n v="1"/>
    <n v="2"/>
    <n v="0"/>
    <s v="MEDIUM"/>
  </r>
  <r>
    <s v="STU_1932"/>
    <x v="3"/>
    <n v="58.6"/>
    <n v="5"/>
    <s v="EXPERIENCED"/>
    <n v="6.32"/>
    <n v="0"/>
    <n v="3"/>
    <n v="4.12"/>
    <s v="LOW"/>
  </r>
  <r>
    <s v="STU_1933"/>
    <x v="2"/>
    <n v="50.4"/>
    <n v="4"/>
    <s v="BEGINNER"/>
    <n v="7.08"/>
    <n v="2"/>
    <n v="1"/>
    <n v="4.3499999999999996"/>
    <s v="MEDIUM"/>
  </r>
  <r>
    <s v="STU_1934"/>
    <x v="1"/>
    <n v="62.199999999999996"/>
    <n v="5.25"/>
    <s v="NOT EXPERIENCED"/>
    <n v="9.44"/>
    <n v="3"/>
    <n v="0"/>
    <n v="4.5"/>
    <s v="HIGH"/>
  </r>
  <r>
    <s v="STU_1935"/>
    <x v="4"/>
    <n v="62.599999999999994"/>
    <n v="5.25"/>
    <s v="NOT EXPERIENCED"/>
    <n v="9.1199999999999992"/>
    <n v="3"/>
    <n v="0"/>
    <n v="4.1900000000000004"/>
    <s v="HIGH"/>
  </r>
  <r>
    <s v="STU_1936"/>
    <x v="4"/>
    <n v="65.75"/>
    <n v="5.25"/>
    <s v="NOT EXPERIENCED"/>
    <n v="8.15"/>
    <n v="5"/>
    <n v="0"/>
    <n v="4.1100000000000003"/>
    <s v="HIGH"/>
  </r>
  <r>
    <s v="STU_1937"/>
    <x v="4"/>
    <n v="85.449999999999989"/>
    <n v="5.5"/>
    <s v="EXPERIENCED"/>
    <n v="9.2899999999999991"/>
    <n v="2"/>
    <n v="3"/>
    <n v="4.53"/>
    <s v="HIGH"/>
  </r>
  <r>
    <s v="STU_1938"/>
    <x v="4"/>
    <n v="55.6"/>
    <n v="4.25"/>
    <s v="NOT EXPERIENCED"/>
    <n v="8.92"/>
    <n v="1"/>
    <n v="0"/>
    <n v="5.13"/>
    <s v="HIGH"/>
  </r>
  <r>
    <s v="STU_1939"/>
    <x v="4"/>
    <n v="58.699999999999996"/>
    <n v="6.75"/>
    <s v="BEGINNER"/>
    <n v="7.14"/>
    <n v="0"/>
    <n v="1"/>
    <n v="0"/>
    <s v="MEDIUM"/>
  </r>
  <r>
    <s v="STU_1940"/>
    <x v="3"/>
    <n v="65.05"/>
    <n v="5"/>
    <s v="NOT EXPERIENCED"/>
    <n v="6.01"/>
    <n v="5"/>
    <n v="0"/>
    <n v="4.5"/>
    <s v="LOW"/>
  </r>
  <r>
    <s v="STU_1941"/>
    <x v="1"/>
    <n v="51.85"/>
    <n v="6"/>
    <s v="BEGINNER"/>
    <n v="7.57"/>
    <n v="1"/>
    <n v="1"/>
    <n v="4.3499999999999996"/>
    <s v="MEDIUM"/>
  </r>
  <r>
    <s v="STU_1942"/>
    <x v="2"/>
    <n v="76.400000000000006"/>
    <n v="6"/>
    <s v="BEGINNER"/>
    <n v="8.68"/>
    <n v="4"/>
    <n v="1"/>
    <n v="4.1900000000000004"/>
    <s v="HIGH"/>
  </r>
  <r>
    <s v="STU_1943"/>
    <x v="2"/>
    <n v="56.9"/>
    <n v="6.75"/>
    <s v="EXPERIENCED"/>
    <n v="7.18"/>
    <n v="3"/>
    <n v="2"/>
    <n v="5.13"/>
    <s v="MEDIUM"/>
  </r>
  <r>
    <s v="STU_1944"/>
    <x v="2"/>
    <n v="71.650000000000006"/>
    <n v="6.75"/>
    <s v="NOT EXPERIENCED"/>
    <n v="8.33"/>
    <n v="4"/>
    <n v="0"/>
    <n v="4.12"/>
    <s v="HIGH"/>
  </r>
  <r>
    <s v="STU_1945"/>
    <x v="2"/>
    <n v="54.349999999999994"/>
    <n v="7.75"/>
    <s v="NOT EXPERIENCED"/>
    <n v="5.47"/>
    <n v="3"/>
    <n v="0"/>
    <n v="4.5599999999999996"/>
    <s v="LOW"/>
  </r>
  <r>
    <s v="STU_1946"/>
    <x v="3"/>
    <n v="72.7"/>
    <n v="7"/>
    <s v="NOT EXPERIENCED"/>
    <n v="8.74"/>
    <n v="3"/>
    <n v="0"/>
    <n v="0"/>
    <s v="HIGH"/>
  </r>
  <r>
    <s v="STU_1947"/>
    <x v="0"/>
    <n v="76.300000000000011"/>
    <n v="5.25"/>
    <s v="EXPERIENCED"/>
    <n v="9.06"/>
    <n v="4"/>
    <n v="3"/>
    <n v="5.13"/>
    <s v="HIGH"/>
  </r>
  <r>
    <s v="STU_1948"/>
    <x v="1"/>
    <n v="72.650000000000006"/>
    <n v="5.5"/>
    <s v="EXPERIENCED"/>
    <n v="8.5299999999999994"/>
    <n v="4"/>
    <n v="2"/>
    <n v="5.19"/>
    <s v="HIGH"/>
  </r>
  <r>
    <s v="STU_1949"/>
    <x v="4"/>
    <n v="73.2"/>
    <n v="4.5"/>
    <s v="BEGINNER"/>
    <n v="9.84"/>
    <n v="1"/>
    <n v="1"/>
    <n v="4.5"/>
    <s v="HIGH"/>
  </r>
  <r>
    <s v="STU_1950"/>
    <x v="0"/>
    <n v="79.650000000000006"/>
    <n v="6.75"/>
    <s v="BEGINNER"/>
    <n v="9.1300000000000008"/>
    <n v="5"/>
    <n v="1"/>
    <n v="4.1900000000000004"/>
    <s v="HIGH"/>
  </r>
  <r>
    <s v="STU_1951"/>
    <x v="2"/>
    <n v="69.599999999999994"/>
    <n v="4"/>
    <s v="BEGINNER"/>
    <n v="9.52"/>
    <n v="5"/>
    <n v="1"/>
    <n v="4.1100000000000003"/>
    <s v="HIGH"/>
  </r>
  <r>
    <s v="STU_1952"/>
    <x v="0"/>
    <n v="70.349999999999994"/>
    <n v="6"/>
    <s v="NOT EXPERIENCED"/>
    <n v="9.67"/>
    <n v="4"/>
    <n v="0"/>
    <n v="0"/>
    <s v="HIGH"/>
  </r>
  <r>
    <s v="STU_1953"/>
    <x v="1"/>
    <n v="77.05"/>
    <n v="7.25"/>
    <s v="EXPERIENCED"/>
    <n v="9.01"/>
    <n v="1"/>
    <n v="3"/>
    <n v="4.5599999999999996"/>
    <s v="HIGH"/>
  </r>
  <r>
    <s v="STU_1954"/>
    <x v="4"/>
    <n v="69.849999999999994"/>
    <n v="5"/>
    <s v="BEGINNER"/>
    <n v="8.3699999999999992"/>
    <n v="5"/>
    <n v="1"/>
    <n v="5.13"/>
    <s v="HIGH"/>
  </r>
  <r>
    <s v="STU_1955"/>
    <x v="4"/>
    <n v="35.150000000000006"/>
    <n v="3.25"/>
    <s v="BEGINNER"/>
    <n v="5.03"/>
    <n v="1"/>
    <n v="1"/>
    <n v="0"/>
    <s v="LOW"/>
  </r>
  <r>
    <s v="STU_1956"/>
    <x v="1"/>
    <n v="62.65"/>
    <n v="6.5"/>
    <s v="BEGINNER"/>
    <n v="7.33"/>
    <n v="1"/>
    <n v="1"/>
    <n v="4.12"/>
    <s v="MEDIUM"/>
  </r>
  <r>
    <s v="STU_1957"/>
    <x v="1"/>
    <n v="58.300000000000004"/>
    <n v="6"/>
    <s v="NOT EXPERIENCED"/>
    <n v="7.86"/>
    <n v="3"/>
    <n v="0"/>
    <n v="4.3499999999999996"/>
    <s v="MEDIUM"/>
  </r>
  <r>
    <s v="STU_1958"/>
    <x v="2"/>
    <n v="51.599999999999994"/>
    <n v="4.75"/>
    <s v="NOT EXPERIENCED"/>
    <n v="6.52"/>
    <n v="5"/>
    <n v="0"/>
    <n v="4.5"/>
    <s v="MEDIUM"/>
  </r>
  <r>
    <s v="STU_1959"/>
    <x v="4"/>
    <n v="73.95"/>
    <n v="6.25"/>
    <s v="EXPERIENCED"/>
    <n v="6.59"/>
    <n v="5"/>
    <n v="2"/>
    <n v="4.1900000000000004"/>
    <s v="MEDIUM"/>
  </r>
  <r>
    <s v="STU_1960"/>
    <x v="0"/>
    <n v="62.050000000000004"/>
    <n v="5"/>
    <s v="NOT EXPERIENCED"/>
    <n v="9.81"/>
    <n v="3"/>
    <n v="0"/>
    <n v="4.1100000000000003"/>
    <s v="HIGH"/>
  </r>
  <r>
    <s v="STU_1961"/>
    <x v="3"/>
    <n v="70.300000000000011"/>
    <n v="4.5"/>
    <s v="BEGINNER"/>
    <n v="9.4600000000000009"/>
    <n v="4"/>
    <n v="1"/>
    <n v="4.53"/>
    <s v="HIGH"/>
  </r>
  <r>
    <s v="STU_1962"/>
    <x v="3"/>
    <n v="75.25"/>
    <n v="5.25"/>
    <s v="NOT EXPERIENCED"/>
    <n v="9.25"/>
    <n v="3"/>
    <n v="0"/>
    <n v="5.13"/>
    <s v="HIGH"/>
  </r>
  <r>
    <s v="STU_1963"/>
    <x v="1"/>
    <n v="57.15"/>
    <n v="3.25"/>
    <s v="BEGINNER"/>
    <n v="7.03"/>
    <n v="5"/>
    <n v="1"/>
    <n v="0"/>
    <s v="MEDIUM"/>
  </r>
  <r>
    <s v="STU_1964"/>
    <x v="2"/>
    <n v="44.35"/>
    <n v="3.75"/>
    <s v="NOT EXPERIENCED"/>
    <n v="5.07"/>
    <n v="5"/>
    <n v="0"/>
    <n v="4.5"/>
    <s v="LOW"/>
  </r>
  <r>
    <s v="STU_1965"/>
    <x v="3"/>
    <n v="58"/>
    <n v="5.5"/>
    <s v="BEGINNER"/>
    <n v="5.4"/>
    <n v="4"/>
    <n v="1"/>
    <n v="4.3499999999999996"/>
    <s v="LOW"/>
  </r>
  <r>
    <s v="STU_1966"/>
    <x v="4"/>
    <n v="71.8"/>
    <n v="7"/>
    <s v="EXPERIENCED"/>
    <n v="6.56"/>
    <n v="3"/>
    <n v="2"/>
    <n v="4.1900000000000004"/>
    <s v="MEDIUM"/>
  </r>
  <r>
    <s v="STU_1967"/>
    <x v="1"/>
    <n v="29.4"/>
    <n v="3.75"/>
    <s v="NOT EXPERIENCED"/>
    <n v="5.08"/>
    <n v="0"/>
    <n v="0"/>
    <n v="5.13"/>
    <s v="LOW"/>
  </r>
  <r>
    <s v="STU_1968"/>
    <x v="0"/>
    <n v="42.45"/>
    <n v="6.25"/>
    <s v="BEGINNER"/>
    <n v="5.09"/>
    <n v="0"/>
    <n v="1"/>
    <n v="4.12"/>
    <s v="LOW"/>
  </r>
  <r>
    <s v="STU_1969"/>
    <x v="1"/>
    <n v="70.900000000000006"/>
    <n v="6.75"/>
    <s v="BEGINNER"/>
    <n v="9.58"/>
    <n v="4"/>
    <n v="1"/>
    <n v="4.5599999999999996"/>
    <s v="HIGH"/>
  </r>
  <r>
    <s v="STU_1970"/>
    <x v="0"/>
    <n v="64.650000000000006"/>
    <n v="8.25"/>
    <s v="BEGINNER"/>
    <n v="8.5299999999999994"/>
    <n v="3"/>
    <n v="1"/>
    <n v="0"/>
    <s v="HIGH"/>
  </r>
  <r>
    <s v="STU_1971"/>
    <x v="1"/>
    <n v="72.7"/>
    <n v="3.25"/>
    <s v="EXPERIENCED"/>
    <n v="6.54"/>
    <n v="3"/>
    <n v="3"/>
    <n v="5.13"/>
    <s v="MEDIUM"/>
  </r>
  <r>
    <s v="STU_1972"/>
    <x v="1"/>
    <n v="47.3"/>
    <n v="3.75"/>
    <s v="EXPERIENCED"/>
    <n v="5.66"/>
    <n v="1"/>
    <n v="2"/>
    <n v="5.19"/>
    <s v="LOW"/>
  </r>
  <r>
    <s v="STU_1973"/>
    <x v="1"/>
    <n v="72.8"/>
    <n v="7.5"/>
    <s v="NOT EXPERIENCED"/>
    <n v="7.56"/>
    <n v="5"/>
    <n v="0"/>
    <n v="4.5"/>
    <s v="MEDIUM"/>
  </r>
  <r>
    <s v="STU_1974"/>
    <x v="0"/>
    <n v="43.150000000000006"/>
    <n v="5.5"/>
    <s v="NOT EXPERIENCED"/>
    <n v="5.03"/>
    <n v="2"/>
    <n v="0"/>
    <n v="4.1900000000000004"/>
    <s v="LOW"/>
  </r>
  <r>
    <s v="STU_1975"/>
    <x v="0"/>
    <n v="62.449999999999996"/>
    <n v="3.25"/>
    <s v="NOT EXPERIENCED"/>
    <n v="9.69"/>
    <n v="4"/>
    <n v="0"/>
    <n v="4.1100000000000003"/>
    <s v="HIGH"/>
  </r>
  <r>
    <s v="STU_1976"/>
    <x v="1"/>
    <n v="60.35"/>
    <n v="6"/>
    <s v="BEGINNER"/>
    <n v="7.07"/>
    <n v="2"/>
    <n v="1"/>
    <n v="0"/>
    <s v="MEDIUM"/>
  </r>
  <r>
    <s v="STU_1977"/>
    <x v="3"/>
    <n v="57.05"/>
    <n v="6.75"/>
    <s v="NOT EXPERIENCED"/>
    <n v="7.01"/>
    <n v="2"/>
    <n v="0"/>
    <n v="4.5599999999999996"/>
    <s v="MEDIUM"/>
  </r>
  <r>
    <s v="STU_1978"/>
    <x v="2"/>
    <n v="67.75"/>
    <n v="7.5"/>
    <s v="BEGINNER"/>
    <n v="6.95"/>
    <n v="4"/>
    <n v="1"/>
    <n v="5.13"/>
    <s v="MEDIUM"/>
  </r>
  <r>
    <s v="STU_1979"/>
    <x v="2"/>
    <n v="46.75"/>
    <n v="4"/>
    <s v="BEGINNER"/>
    <n v="5.35"/>
    <n v="3"/>
    <n v="1"/>
    <n v="0"/>
    <s v="LOW"/>
  </r>
  <r>
    <s v="STU_1980"/>
    <x v="2"/>
    <n v="77.949999999999989"/>
    <n v="5"/>
    <s v="BEGINNER"/>
    <n v="8.19"/>
    <n v="4"/>
    <n v="1"/>
    <n v="4.12"/>
    <s v="HIGH"/>
  </r>
  <r>
    <s v="STU_1981"/>
    <x v="0"/>
    <n v="61.35"/>
    <n v="2.25"/>
    <s v="EXPERIENCED"/>
    <n v="8.67"/>
    <n v="2"/>
    <n v="2"/>
    <n v="4.3499999999999996"/>
    <s v="HIGH"/>
  </r>
  <r>
    <s v="STU_1982"/>
    <x v="0"/>
    <n v="74.900000000000006"/>
    <n v="4.75"/>
    <s v="NOT EXPERIENCED"/>
    <n v="8.3800000000000008"/>
    <n v="5"/>
    <n v="0"/>
    <n v="4.5"/>
    <s v="HIGH"/>
  </r>
  <r>
    <s v="STU_1983"/>
    <x v="3"/>
    <n v="55.45"/>
    <n v="5.25"/>
    <s v="NOT EXPERIENCED"/>
    <n v="5.69"/>
    <n v="5"/>
    <n v="0"/>
    <n v="4.1900000000000004"/>
    <s v="LOW"/>
  </r>
  <r>
    <s v="STU_1984"/>
    <x v="2"/>
    <n v="82.449999999999989"/>
    <n v="5"/>
    <s v="EXPERIENCED"/>
    <n v="7.89"/>
    <n v="5"/>
    <n v="2"/>
    <n v="4.1100000000000003"/>
    <s v="MEDIUM"/>
  </r>
  <r>
    <s v="STU_1985"/>
    <x v="2"/>
    <n v="67.25"/>
    <n v="4.5"/>
    <s v="BEGINNER"/>
    <n v="7.85"/>
    <n v="3"/>
    <n v="1"/>
    <n v="4.53"/>
    <s v="MEDIUM"/>
  </r>
  <r>
    <s v="STU_1986"/>
    <x v="1"/>
    <n v="53.7"/>
    <n v="5"/>
    <s v="BEGINNER"/>
    <n v="9.34"/>
    <n v="0"/>
    <n v="1"/>
    <n v="5.13"/>
    <s v="HIGH"/>
  </r>
  <r>
    <s v="STU_1987"/>
    <x v="0"/>
    <n v="53.5"/>
    <n v="4.75"/>
    <s v="BEGINNER"/>
    <n v="6.9"/>
    <n v="4"/>
    <n v="1"/>
    <n v="0"/>
    <s v="MEDIUM"/>
  </r>
  <r>
    <s v="STU_1988"/>
    <x v="2"/>
    <n v="61.300000000000004"/>
    <n v="3.75"/>
    <s v="NOT EXPERIENCED"/>
    <n v="6.86"/>
    <n v="5"/>
    <n v="0"/>
    <n v="4.5"/>
    <s v="MEDIUM"/>
  </r>
  <r>
    <s v="STU_1989"/>
    <x v="3"/>
    <n v="72.45"/>
    <n v="5.75"/>
    <s v="EXPERIENCED"/>
    <n v="8.09"/>
    <n v="4"/>
    <n v="2"/>
    <n v="4.3499999999999996"/>
    <s v="HIGH"/>
  </r>
  <r>
    <s v="STU_1990"/>
    <x v="3"/>
    <n v="83.85"/>
    <n v="9"/>
    <s v="EXPERIENCED"/>
    <n v="8.17"/>
    <n v="5"/>
    <n v="2"/>
    <n v="4.1900000000000004"/>
    <s v="HIGH"/>
  </r>
  <r>
    <s v="STU_1991"/>
    <x v="2"/>
    <n v="54.75"/>
    <n v="5"/>
    <s v="BEGINNER"/>
    <n v="7.35"/>
    <n v="3"/>
    <n v="1"/>
    <n v="5.13"/>
    <s v="MEDIUM"/>
  </r>
  <r>
    <s v="STU_1992"/>
    <x v="0"/>
    <n v="52.1"/>
    <n v="6"/>
    <s v="NOT EXPERIENCED"/>
    <n v="7.22"/>
    <n v="0"/>
    <n v="0"/>
    <n v="4.12"/>
    <s v="MEDIUM"/>
  </r>
  <r>
    <s v="STU_1993"/>
    <x v="3"/>
    <n v="52.35"/>
    <n v="7.25"/>
    <s v="BEGINNER"/>
    <n v="7.47"/>
    <n v="0"/>
    <n v="1"/>
    <n v="4.5599999999999996"/>
    <s v="MEDIUM"/>
  </r>
  <r>
    <s v="STU_1994"/>
    <x v="1"/>
    <n v="70.550000000000011"/>
    <n v="5.25"/>
    <s v="BEGINNER"/>
    <n v="9.31"/>
    <n v="5"/>
    <n v="1"/>
    <n v="0"/>
    <s v="HIGH"/>
  </r>
  <r>
    <s v="STU_1995"/>
    <x v="3"/>
    <n v="65.55"/>
    <n v="7"/>
    <s v="NOT EXPERIENCED"/>
    <n v="7.31"/>
    <n v="3"/>
    <n v="0"/>
    <n v="5.13"/>
    <s v="MEDIUM"/>
  </r>
  <r>
    <s v="STU_1996"/>
    <x v="4"/>
    <n v="78.5"/>
    <n v="7"/>
    <s v="EXPERIENCED"/>
    <n v="9.6999999999999993"/>
    <n v="1"/>
    <n v="3"/>
    <n v="5.19"/>
    <s v="HIGH"/>
  </r>
  <r>
    <s v="STU_1997"/>
    <x v="4"/>
    <n v="69.599999999999994"/>
    <n v="6"/>
    <s v="NOT EXPERIENCED"/>
    <n v="7.52"/>
    <n v="4"/>
    <n v="0"/>
    <n v="4.5"/>
    <s v="MEDIUM"/>
  </r>
  <r>
    <s v="STU_1998"/>
    <x v="0"/>
    <n v="91.75"/>
    <n v="5.25"/>
    <s v="EXPERIENCED"/>
    <n v="9.75"/>
    <n v="4"/>
    <n v="3"/>
    <n v="4.1900000000000004"/>
    <s v="HIGH"/>
  </r>
  <r>
    <s v="STU_1999"/>
    <x v="2"/>
    <n v="64.8"/>
    <n v="5.75"/>
    <s v="BEGINNER"/>
    <n v="9.16"/>
    <n v="2"/>
    <n v="1"/>
    <n v="4.1100000000000003"/>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33E68-5D3C-FD41-907C-84CB84819257}" name="PivotTable16"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0:C35" firstHeaderRow="0" firstDataRow="1" firstDataCol="1"/>
  <pivotFields count="10">
    <pivotField dataField="1" showAll="0"/>
    <pivotField axis="axisRow" showAll="0">
      <items count="6">
        <item x="0"/>
        <item x="4"/>
        <item x="3"/>
        <item x="1"/>
        <item x="2"/>
        <item t="default"/>
      </items>
    </pivotField>
    <pivotField showAll="0"/>
    <pivotField showAll="0"/>
    <pivotField showAll="0"/>
    <pivotField showAll="0"/>
    <pivotField showAll="0"/>
    <pivotField dataField="1" showAll="0"/>
    <pivotField showAll="0"/>
    <pivotField showAll="0"/>
  </pivotFields>
  <rowFields count="1">
    <field x="1"/>
  </rowFields>
  <rowItems count="5">
    <i>
      <x/>
    </i>
    <i>
      <x v="1"/>
    </i>
    <i>
      <x v="2"/>
    </i>
    <i>
      <x v="3"/>
    </i>
    <i>
      <x v="4"/>
    </i>
  </rowItems>
  <colFields count="1">
    <field x="-2"/>
  </colFields>
  <colItems count="2">
    <i>
      <x/>
    </i>
    <i i="1">
      <x v="1"/>
    </i>
  </colItems>
  <dataFields count="2">
    <dataField name="Count of Student_ID" fld="0" subtotal="count" baseField="0" baseItem="0"/>
    <dataField name="Sum of Internship 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57A7E-92EB-E744-9BA3-756ECBD8BF7B}" name="PivotTable2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9:B65" firstHeaderRow="1" firstDataRow="1" firstDataCol="1"/>
  <pivotFields count="10">
    <pivotField showAll="0"/>
    <pivotField axis="axisRow" showAll="0">
      <items count="6">
        <item x="0"/>
        <item x="4"/>
        <item x="3"/>
        <item x="1"/>
        <item x="2"/>
        <item t="default"/>
      </items>
    </pivotField>
    <pivotField showAll="0"/>
    <pivotField showAll="0"/>
    <pivotField showAll="0"/>
    <pivotField showAll="0"/>
    <pivotField showAll="0"/>
    <pivotField showAll="0"/>
    <pivotField dataField="1" showAll="0"/>
    <pivotField showAll="0"/>
  </pivotFields>
  <rowFields count="1">
    <field x="1"/>
  </rowFields>
  <rowItems count="6">
    <i>
      <x/>
    </i>
    <i>
      <x v="1"/>
    </i>
    <i>
      <x v="2"/>
    </i>
    <i>
      <x v="3"/>
    </i>
    <i>
      <x v="4"/>
    </i>
    <i t="grand">
      <x/>
    </i>
  </rowItems>
  <colItems count="1">
    <i/>
  </colItems>
  <dataFields count="1">
    <dataField name="Average of Package_LPA" fld="8"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444FFF-520D-CE49-9F47-7567EB63048B}" name="PivotTable2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49:H55" firstHeaderRow="1" firstDataRow="1" firstDataCol="1"/>
  <pivotFields count="10">
    <pivotField showAll="0"/>
    <pivotField axis="axisRow" showAll="0">
      <items count="6">
        <item x="0"/>
        <item x="4"/>
        <item x="3"/>
        <item x="1"/>
        <item x="2"/>
        <item t="default"/>
      </items>
    </pivotField>
    <pivotField showAll="0"/>
    <pivotField showAll="0"/>
    <pivotField showAll="0"/>
    <pivotField showAll="0"/>
    <pivotField showAll="0"/>
    <pivotField dataField="1" showAll="0"/>
    <pivotField showAll="0"/>
    <pivotField showAll="0"/>
  </pivotFields>
  <rowFields count="1">
    <field x="1"/>
  </rowFields>
  <rowItems count="6">
    <i>
      <x/>
    </i>
    <i>
      <x v="1"/>
    </i>
    <i>
      <x v="2"/>
    </i>
    <i>
      <x v="3"/>
    </i>
    <i>
      <x v="4"/>
    </i>
    <i t="grand">
      <x/>
    </i>
  </rowItems>
  <colItems count="1">
    <i/>
  </colItems>
  <dataFields count="1">
    <dataField name="Sum of Internship Count" fld="7"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0DE60-9357-474C-BA91-5E3CD8478FFC}" name="PivotTable14"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8" firstHeaderRow="0" firstDataRow="1" firstDataCol="1"/>
  <pivotFields count="10">
    <pivotField dataField="1" showAll="0"/>
    <pivotField axis="axisRow" showAll="0">
      <items count="6">
        <item x="0"/>
        <item x="4"/>
        <item x="3"/>
        <item x="1"/>
        <item x="2"/>
        <item t="default"/>
      </items>
    </pivotField>
    <pivotField showAll="0"/>
    <pivotField showAll="0"/>
    <pivotField showAll="0"/>
    <pivotField dataField="1" showAll="0"/>
    <pivotField dataField="1" showAll="0"/>
    <pivotField showAll="0"/>
    <pivotField showAll="0"/>
    <pivotField showAll="0"/>
  </pivotFields>
  <rowFields count="1">
    <field x="1"/>
  </rowFields>
  <rowItems count="5">
    <i>
      <x/>
    </i>
    <i>
      <x v="1"/>
    </i>
    <i>
      <x v="2"/>
    </i>
    <i>
      <x v="3"/>
    </i>
    <i>
      <x v="4"/>
    </i>
  </rowItems>
  <colFields count="1">
    <field x="-2"/>
  </colFields>
  <colItems count="3">
    <i>
      <x/>
    </i>
    <i i="1">
      <x v="1"/>
    </i>
    <i i="2">
      <x v="2"/>
    </i>
  </colItems>
  <dataFields count="3">
    <dataField name="Count of Student_ID" fld="0" subtotal="count" baseField="0" baseItem="0"/>
    <dataField name="Average of CGPA" fld="5" subtotal="average" baseField="0" baseItem="0"/>
    <dataField name="Average of Project Count"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52C23-6A26-174A-B72C-2A0930965657}" name="PivotTable2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9:E55" firstHeaderRow="1" firstDataRow="1" firstDataCol="1"/>
  <pivotFields count="10">
    <pivotField showAll="0"/>
    <pivotField axis="axisRow" showAll="0">
      <items count="6">
        <item x="0"/>
        <item x="4"/>
        <item x="3"/>
        <item x="1"/>
        <item x="2"/>
        <item t="default"/>
      </items>
    </pivotField>
    <pivotField showAll="0"/>
    <pivotField showAll="0"/>
    <pivotField showAll="0"/>
    <pivotField showAll="0"/>
    <pivotField dataField="1" showAll="0"/>
    <pivotField showAll="0"/>
    <pivotField showAll="0"/>
    <pivotField showAll="0"/>
  </pivotFields>
  <rowFields count="1">
    <field x="1"/>
  </rowFields>
  <rowItems count="6">
    <i>
      <x/>
    </i>
    <i>
      <x v="1"/>
    </i>
    <i>
      <x v="2"/>
    </i>
    <i>
      <x v="3"/>
    </i>
    <i>
      <x v="4"/>
    </i>
    <i t="grand">
      <x/>
    </i>
  </rowItems>
  <colItems count="1">
    <i/>
  </colItems>
  <dataFields count="1">
    <dataField name="Average of Project Count" fld="6"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A70FAD-2E9B-954E-A6EA-A15C7FDF6F05}" name="PivotTable8"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9:F40" firstHeaderRow="1" firstDataRow="1" firstDataCol="0" rowPageCount="1" colPageCount="1"/>
  <pivotFields count="5">
    <pivotField dataField="1" showAll="0"/>
    <pivotField showAll="0"/>
    <pivotField axis="axisPage" multipleItemSelectionAllowed="1" showAll="0">
      <items count="4">
        <item x="0"/>
        <item h="1" x="1"/>
        <item h="1" x="2"/>
        <item t="default"/>
      </items>
    </pivotField>
    <pivotField showAll="0"/>
    <pivotField showAll="0"/>
  </pivotFields>
  <rowItems count="1">
    <i/>
  </rowItems>
  <colItems count="1">
    <i/>
  </colItems>
  <pageFields count="1">
    <pageField fld="2" hier="-1"/>
  </pageField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FAE3B9-5A42-E746-A164-412BCBAE9FDF}" name="PivotTable5"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2:D27" firstHeaderRow="0" firstDataRow="1" firstDataCol="1"/>
  <pivotFields count="10">
    <pivotField dataField="1" showAll="0"/>
    <pivotField axis="axisRow" showAll="0">
      <items count="6">
        <item x="0"/>
        <item x="4"/>
        <item x="3"/>
        <item x="1"/>
        <item x="2"/>
        <item t="default"/>
      </items>
    </pivotField>
    <pivotField dataField="1" showAll="0"/>
    <pivotField dataField="1" showAll="0"/>
    <pivotField showAll="0"/>
    <pivotField showAll="0"/>
    <pivotField showAll="0"/>
    <pivotField showAll="0"/>
    <pivotField showAll="0"/>
    <pivotField showAll="0"/>
  </pivotFields>
  <rowFields count="1">
    <field x="1"/>
  </rowFields>
  <rowItems count="5">
    <i>
      <x/>
    </i>
    <i>
      <x v="1"/>
    </i>
    <i>
      <x v="2"/>
    </i>
    <i>
      <x v="3"/>
    </i>
    <i>
      <x v="4"/>
    </i>
  </rowItems>
  <colFields count="1">
    <field x="-2"/>
  </colFields>
  <colItems count="3">
    <i>
      <x/>
    </i>
    <i i="1">
      <x v="1"/>
    </i>
    <i i="2">
      <x v="2"/>
    </i>
  </colItems>
  <dataFields count="3">
    <dataField name="Count of Student_ID" fld="0" subtotal="count" baseField="0" baseItem="0"/>
    <dataField name="Average of Employibility Score" fld="2" subtotal="average" baseField="0" baseItem="0"/>
    <dataField name="Average of Skills Scor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3B297D-95FA-E94F-A683-736A2AA24B78}" name="PivotTable19"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9:B55" firstHeaderRow="1" firstDataRow="1" firstDataCol="1"/>
  <pivotFields count="10">
    <pivotField showAll="0"/>
    <pivotField axis="axisRow" showAll="0">
      <items count="6">
        <item x="0"/>
        <item x="4"/>
        <item x="3"/>
        <item x="1"/>
        <item x="2"/>
        <item t="default"/>
      </items>
    </pivotField>
    <pivotField showAll="0"/>
    <pivotField showAll="0"/>
    <pivotField showAll="0"/>
    <pivotField dataField="1"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CGPA" fld="5"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6CB06A-A824-AC42-B75A-AEB34D48E47B}" name="PivotTable17"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9:D44" firstHeaderRow="0" firstDataRow="1" firstDataCol="1"/>
  <pivotFields count="10">
    <pivotField dataField="1" showAll="0"/>
    <pivotField axis="axisRow" showAll="0">
      <items count="6">
        <item x="0"/>
        <item x="4"/>
        <item x="3"/>
        <item x="1"/>
        <item x="2"/>
        <item t="default"/>
      </items>
    </pivotField>
    <pivotField showAll="0"/>
    <pivotField showAll="0"/>
    <pivotField showAll="0"/>
    <pivotField showAll="0"/>
    <pivotField showAll="0"/>
    <pivotField showAll="0"/>
    <pivotField dataField="1" showAll="0"/>
    <pivotField showAll="0"/>
  </pivotFields>
  <rowFields count="1">
    <field x="1"/>
  </rowFields>
  <rowItems count="5">
    <i>
      <x/>
    </i>
    <i>
      <x v="1"/>
    </i>
    <i>
      <x v="2"/>
    </i>
    <i>
      <x v="3"/>
    </i>
    <i>
      <x v="4"/>
    </i>
  </rowItems>
  <colFields count="1">
    <field x="-2"/>
  </colFields>
  <colItems count="3">
    <i>
      <x/>
    </i>
    <i i="1">
      <x v="1"/>
    </i>
    <i i="2">
      <x v="2"/>
    </i>
  </colItems>
  <dataFields count="3">
    <dataField name="Count of Student_ID" fld="0" subtotal="count" baseField="0" baseItem="0"/>
    <dataField name="Average of Package_LPA" fld="8" subtotal="average" baseField="0" baseItem="0"/>
    <dataField name="Max. of Package_LPA2" fld="8"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3EB1DE-897F-A24E-9A66-D27EEC06EFE4}" autoFormatId="16" applyNumberFormats="0" applyBorderFormats="0" applyFontFormats="0" applyPatternFormats="0" applyAlignmentFormats="0" applyWidthHeightFormats="0">
  <queryTableRefresh nextId="7">
    <queryTableFields count="6">
      <queryTableField id="1" name="Student_ID" tableColumnId="1"/>
      <queryTableField id="2" name="Branch" tableColumnId="2"/>
      <queryTableField id="3" name="Gender" tableColumnId="3"/>
      <queryTableField id="4" name="Age" tableColumnId="4"/>
      <queryTableField id="5" name="CGPA" tableColumnId="5"/>
      <queryTableField id="6" name="Projects_Coun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732ABB6-1BCC-0B43-8EDA-9EFE80CB6BFD}" autoFormatId="16" applyNumberFormats="0" applyBorderFormats="0" applyFontFormats="0" applyPatternFormats="0" applyAlignmentFormats="0" applyWidthHeightFormats="0">
  <queryTableRefresh nextId="8">
    <queryTableFields count="7">
      <queryTableField id="1" name="Student_ID" tableColumnId="1"/>
      <queryTableField id="7" dataBound="0" tableColumnId="7"/>
      <queryTableField id="2" name="Excel_Skill" tableColumnId="2"/>
      <queryTableField id="3" name="SQL_Skill" tableColumnId="3"/>
      <queryTableField id="4" name="Tableau_Skill" tableColumnId="4"/>
      <queryTableField id="5" name="Python_Skill" tableColumnId="5"/>
      <queryTableField id="6" name="Communication_Skill"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F6A379A0-AE39-1046-9871-E3538F87C8B7}" autoFormatId="16" applyNumberFormats="0" applyBorderFormats="0" applyFontFormats="0" applyPatternFormats="0" applyAlignmentFormats="0" applyWidthHeightFormats="0">
  <queryTableRefresh nextId="5">
    <queryTableFields count="4">
      <queryTableField id="1" name="Student_ID" tableColumnId="1"/>
      <queryTableField id="2" name="Internship_Count" tableColumnId="2"/>
      <queryTableField id="4" dataBound="0" tableColumnId="4"/>
      <queryTableField id="3" name="Internship_Domai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4F3AA07-7513-8545-BCA3-32CD4FA1E641}" sourceName="Branch">
  <pivotTables>
    <pivotTable tabId="7" name="PivotTable14"/>
    <pivotTable tabId="7" name="PivotTable16"/>
    <pivotTable tabId="7" name="PivotTable17"/>
    <pivotTable tabId="7" name="PivotTable19"/>
    <pivotTable tabId="7" name="PivotTable20"/>
    <pivotTable tabId="7" name="PivotTable21"/>
    <pivotTable tabId="7" name="PivotTable22"/>
    <pivotTable tabId="7" name="PivotTable5"/>
  </pivotTables>
  <data>
    <tabular pivotCacheId="27056761">
      <items count="5">
        <i x="0" s="1"/>
        <i x="4"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4B91D25F-5833-274E-B237-002B94FF08EF}" cache="Slicer_Branch" caption="Branch"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403FC99F-FBAE-BD4E-8F43-77AC54D070E1}" cache="Slicer_Branch" caption="Branch" style="SlicerStyleOther2" rowHeight="14630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753B1-78B6-6842-9826-97D7ADE15804}" name="student_data" displayName="student_data" ref="A3:F1003" tableType="queryTable" totalsRowShown="0" headerRowDxfId="41" dataDxfId="40">
  <tableColumns count="6">
    <tableColumn id="1" xr3:uid="{97BF2C94-00D5-D64E-BBE3-C29F36C7E9FA}" uniqueName="1" name="Student_ID" queryTableFieldId="1" dataDxfId="39"/>
    <tableColumn id="2" xr3:uid="{1A544152-AD04-3548-ACB7-8ED4359421F7}" uniqueName="2" name="Branch" queryTableFieldId="2" dataDxfId="38"/>
    <tableColumn id="3" xr3:uid="{3DD1CFA0-447B-1341-8365-7ACC953DF92B}" uniqueName="3" name="Gender" queryTableFieldId="3" dataDxfId="37"/>
    <tableColumn id="4" xr3:uid="{5283EC25-D447-E740-8E4B-E90957A49BB7}" uniqueName="4" name="Age" queryTableFieldId="4" dataDxfId="36"/>
    <tableColumn id="5" xr3:uid="{9B52E09E-7DA3-C344-B891-A917B202C1C1}" uniqueName="5" name="CGPA" queryTableFieldId="5" dataDxfId="35"/>
    <tableColumn id="6" xr3:uid="{B4290A1B-5AED-4646-97A3-05F0F0BC27A9}" uniqueName="6" name="Projects_Count" queryTableFieldId="6" dataDxfId="3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D4FE04-DAF9-5446-AE8F-4EFEB9BB1F11}" name="student_skills" displayName="student_skills" ref="A3:G1003" tableType="queryTable" totalsRowShown="0" headerRowDxfId="33" dataDxfId="32">
  <tableColumns count="7">
    <tableColumn id="1" xr3:uid="{8E8670E4-70D4-584C-8EC7-C2AF3CC4B239}" uniqueName="1" name="Student_ID" queryTableFieldId="1" dataDxfId="31"/>
    <tableColumn id="7" xr3:uid="{2419468E-489A-3F43-A951-F3DAEFD5BF3D}" uniqueName="7" name="Branch" queryTableFieldId="7" dataDxfId="30">
      <calculatedColumnFormula>VLOOKUP(student_skills[[#This Row],[Student_ID]],student_data[],2,0)</calculatedColumnFormula>
    </tableColumn>
    <tableColumn id="2" xr3:uid="{C0C8727C-98B3-F641-8EA7-9C7AB697DA7C}" uniqueName="2" name="Excel_Skill" queryTableFieldId="2" dataDxfId="29"/>
    <tableColumn id="3" xr3:uid="{E71B3288-CD6B-B04F-A850-CB9B2173E409}" uniqueName="3" name="SQL_Skill" queryTableFieldId="3" dataDxfId="28"/>
    <tableColumn id="4" xr3:uid="{F70AF4DD-7557-1242-92EC-ADDDA83D25A9}" uniqueName="4" name="Tableau_Skill" queryTableFieldId="4" dataDxfId="27"/>
    <tableColumn id="5" xr3:uid="{841FCF31-36BB-6D42-8541-F6EF6A79E2F9}" uniqueName="5" name="Python_Skill" queryTableFieldId="5" dataDxfId="26"/>
    <tableColumn id="6" xr3:uid="{BE07107B-FD3F-4047-849D-0A3C6D0DAF1E}" uniqueName="6" name="Communication_Skill" queryTableFieldId="6" dataDxfId="2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B7DB16-2E60-6D41-8A06-3B5BDA7C4FD1}" name="student_internships" displayName="student_internships" ref="A3:D1003" tableType="queryTable" totalsRowShown="0" headerRowDxfId="24" dataDxfId="23">
  <tableColumns count="4">
    <tableColumn id="1" xr3:uid="{8B4D15F2-62D2-E94B-9B2C-32927A161412}" uniqueName="1" name="Student_ID" queryTableFieldId="1" dataDxfId="22"/>
    <tableColumn id="2" xr3:uid="{17FAF1CB-3D1D-9D46-8B8F-73EC802FBFB9}" uniqueName="2" name="Internship_Count" queryTableFieldId="2" dataDxfId="21"/>
    <tableColumn id="4" xr3:uid="{850CB869-7055-1544-AF17-35E8530CF9F4}" uniqueName="4" name="Branch" queryTableFieldId="4" dataDxfId="20">
      <calculatedColumnFormula>VLOOKUP(student_internships[[#This Row],[Student_ID]],student_data[],2,0)</calculatedColumnFormula>
    </tableColumn>
    <tableColumn id="3" xr3:uid="{EB3E0E2C-9C59-4749-95F2-BE7327D97DB2}" uniqueName="3" name="Internship_Domain" queryTableFieldId="3" dataDxfId="1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439A6E-D2EF-8246-99AA-A7E9A8A8D85C}" name="Table5" displayName="Table5" ref="A3:E1004" totalsRowShown="0" headerRowDxfId="18" dataDxfId="17">
  <tableColumns count="5">
    <tableColumn id="1" xr3:uid="{D30CDC6E-F415-2D4C-92BA-E6FE79189CDE}" name="Student_ID" dataDxfId="16"/>
    <tableColumn id="5" xr3:uid="{84A4D2B6-40A3-EC46-9EAE-8F38F373620E}" name="Branch" dataDxfId="15">
      <calculatedColumnFormula>VLOOKUP(Table5[[#This Row],[Student_ID]],student_data[#All],2,0)</calculatedColumnFormula>
    </tableColumn>
    <tableColumn id="2" xr3:uid="{B5C66A68-A28C-5848-B364-6E35F2C4D755}" name="Placement_Status" dataDxfId="14"/>
    <tableColumn id="3" xr3:uid="{4767D87B-653F-E342-94D1-35442F2EBC5E}" name="Company" dataDxfId="13"/>
    <tableColumn id="4" xr3:uid="{815281D1-86F5-A940-8BD0-2048290E8860}" name="Package_LPA" dataDxfId="1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D551EA-82B1-E34A-B5E4-19B319733D10}" name="Table7" displayName="Table7" ref="A3:J1003" totalsRowShown="0" headerRowDxfId="11" dataDxfId="10">
  <tableColumns count="10">
    <tableColumn id="1" xr3:uid="{A5E2E0D6-5C1F-5848-BBDF-ADCEE6BD7892}" name="Student_ID" dataDxfId="9"/>
    <tableColumn id="6" xr3:uid="{7B786FF5-9E2F-CE4B-BC70-9C69C97310A4}" name="Branch" dataDxfId="8">
      <calculatedColumnFormula>VLOOKUP(Table7[[#This Row],[Student_ID]],student_data[#All],2,0)</calculatedColumnFormula>
    </tableColumn>
    <tableColumn id="2" xr3:uid="{7ED3FEF3-1DEB-384E-BF71-44074B18EA9E}" name="Employibility Score" dataDxfId="7">
      <calculatedColumnFormula>(VLOOKUP(Table7[[#This Row],[Student_ID]],student_data[],5,0)*5)+(VLOOKUP(Table7[[#This Row],[Student_ID]],student_data[],6,0)*3)+(VLOOKUP(Table7[[#This Row],[Student_ID]],student_skills[],6,0)*2)+(VLOOKUP(Table7[[#This Row],[Student_ID]],student_internships[],2,0)*5)</calculatedColumnFormula>
    </tableColumn>
    <tableColumn id="3" xr3:uid="{0432FEEA-BAAD-1146-851B-F3C281242BCE}" name="Skills Score" dataDxfId="6">
      <calculatedColumnFormula>AVERAGE(VLOOKUP(Table7[[#This Row],[Student_ID]],student_skills[],3,0),VLOOKUP(Table7[[#This Row],[Student_ID]],student_skills[],4,0),VLOOKUP(Table7[[#This Row],[Student_ID]],student_skills[],5,0),VLOOKUP(Table7[[#This Row],[Student_ID]],student_skills[],6,0))</calculatedColumnFormula>
    </tableColumn>
    <tableColumn id="4" xr3:uid="{D576910A-CA15-6146-9B3E-EEAEF9DC40FC}" name="Internship Category" dataDxfId="5">
      <calculatedColumnFormula>IF(VLOOKUP(Table7[[#This Row],[Student_ID]],student_internships[#All],2,0)&gt;1,"EXPERIENCED",IF(VLOOKUP(Table7[[#This Row],[Student_ID]],student_internships[#All],2,0)=1,"BEGINNER","NOT EXPERIENCED"))</calculatedColumnFormula>
    </tableColumn>
    <tableColumn id="9" xr3:uid="{03088FB8-9687-D244-A8BC-DAEA4C301B1B}" name="CGPA" dataDxfId="4">
      <calculatedColumnFormula>VLOOKUP(Table7[[#This Row],[Student_ID]],student_data[],5,0)</calculatedColumnFormula>
    </tableColumn>
    <tableColumn id="8" xr3:uid="{54D9FAF4-F96A-124B-96EA-FE402420D556}" name="Project Count" dataDxfId="3">
      <calculatedColumnFormula>VLOOKUP(Table7[[#This Row],[Student_ID]],student_data[#All],6,0)</calculatedColumnFormula>
    </tableColumn>
    <tableColumn id="7" xr3:uid="{E8C57190-9B88-1C4A-9DDC-2F0E7D58E362}" name="Internship Count" dataDxfId="2">
      <calculatedColumnFormula>VLOOKUP(Table7[[#This Row],[Student_ID]],student_internships[],2,0)</calculatedColumnFormula>
    </tableColumn>
    <tableColumn id="10" xr3:uid="{26DBE85A-B9FB-BA47-8BF6-ABA37A824BFA}" name="Package_LPA" dataDxfId="1">
      <calculatedColumnFormula>VLOOKUP(Table7[[#This Row],[Student_ID]],Placements!A4:E1003,5,0)</calculatedColumnFormula>
    </tableColumn>
    <tableColumn id="5" xr3:uid="{C98988D6-57BD-AB45-9AA7-CEA7078C5B98}" name="CGPA Category" dataDxfId="0">
      <calculatedColumnFormula>IF(VLOOKUP(Table7[[#This Row],[Student_ID]],student_data[#All],5,0)&gt;8,"HIGH",IF(VLOOKUP(Table7[[#This Row],[Student_ID]],student_data[#All],5,0)&lt;6.5,"LOW","MEDIUM"))</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B3AF-6D7B-8B47-B8E2-407A2DDE2DBB}">
  <dimension ref="A1:F1003"/>
  <sheetViews>
    <sheetView tabSelected="1" workbookViewId="0">
      <selection activeCell="H22" sqref="H22"/>
    </sheetView>
  </sheetViews>
  <sheetFormatPr baseColWidth="10" defaultRowHeight="16" x14ac:dyDescent="0.2"/>
  <cols>
    <col min="1" max="1" width="11.6640625" bestFit="1" customWidth="1"/>
    <col min="2" max="2" width="20" bestFit="1" customWidth="1"/>
    <col min="3" max="3" width="8.1640625" bestFit="1" customWidth="1"/>
    <col min="4" max="4" width="4.6640625" bestFit="1" customWidth="1"/>
    <col min="5" max="5" width="6.83203125" bestFit="1" customWidth="1"/>
    <col min="6" max="6" width="15.83203125" bestFit="1" customWidth="1"/>
  </cols>
  <sheetData>
    <row r="1" spans="1:6" x14ac:dyDescent="0.2">
      <c r="A1" s="10" t="s">
        <v>1051</v>
      </c>
      <c r="B1" s="11"/>
      <c r="C1" s="11"/>
      <c r="D1" s="11"/>
      <c r="E1" s="11"/>
      <c r="F1" s="11"/>
    </row>
    <row r="2" spans="1:6" x14ac:dyDescent="0.2">
      <c r="A2" s="11"/>
      <c r="B2" s="11"/>
      <c r="C2" s="11"/>
      <c r="D2" s="11"/>
      <c r="E2" s="11"/>
      <c r="F2" s="11"/>
    </row>
    <row r="3" spans="1:6" ht="19" x14ac:dyDescent="0.2">
      <c r="A3" s="2" t="s">
        <v>0</v>
      </c>
      <c r="B3" s="6" t="s">
        <v>1</v>
      </c>
      <c r="C3" s="2" t="s">
        <v>2</v>
      </c>
      <c r="D3" s="2" t="s">
        <v>3</v>
      </c>
      <c r="E3" s="2" t="s">
        <v>4</v>
      </c>
      <c r="F3" s="2" t="s">
        <v>5</v>
      </c>
    </row>
    <row r="4" spans="1:6" x14ac:dyDescent="0.2">
      <c r="A4" s="1" t="s">
        <v>6</v>
      </c>
      <c r="B4" s="1" t="s">
        <v>7</v>
      </c>
      <c r="C4" s="1" t="s">
        <v>8</v>
      </c>
      <c r="D4" s="1">
        <v>20</v>
      </c>
      <c r="E4" s="1">
        <v>9.15</v>
      </c>
      <c r="F4" s="1">
        <v>2</v>
      </c>
    </row>
    <row r="5" spans="1:6" x14ac:dyDescent="0.2">
      <c r="A5" s="1" t="s">
        <v>9</v>
      </c>
      <c r="B5" s="1" t="s">
        <v>10</v>
      </c>
      <c r="C5" s="1" t="s">
        <v>8</v>
      </c>
      <c r="D5" s="1">
        <v>18</v>
      </c>
      <c r="E5" s="1">
        <v>7.72</v>
      </c>
      <c r="F5" s="1">
        <v>5</v>
      </c>
    </row>
    <row r="6" spans="1:6" x14ac:dyDescent="0.2">
      <c r="A6" s="1" t="s">
        <v>11</v>
      </c>
      <c r="B6" s="1" t="s">
        <v>12</v>
      </c>
      <c r="C6" s="1" t="s">
        <v>8</v>
      </c>
      <c r="D6" s="1">
        <v>22</v>
      </c>
      <c r="E6" s="1">
        <v>5.83</v>
      </c>
      <c r="F6" s="1">
        <v>1</v>
      </c>
    </row>
    <row r="7" spans="1:6" x14ac:dyDescent="0.2">
      <c r="A7" s="1" t="s">
        <v>13</v>
      </c>
      <c r="B7" s="1" t="s">
        <v>10</v>
      </c>
      <c r="C7" s="1" t="s">
        <v>8</v>
      </c>
      <c r="D7" s="1">
        <v>20</v>
      </c>
      <c r="E7" s="1">
        <v>7.91</v>
      </c>
      <c r="F7" s="1">
        <v>2</v>
      </c>
    </row>
    <row r="8" spans="1:6" x14ac:dyDescent="0.2">
      <c r="A8" s="1" t="s">
        <v>14</v>
      </c>
      <c r="B8" s="1" t="s">
        <v>10</v>
      </c>
      <c r="C8" s="1" t="s">
        <v>8</v>
      </c>
      <c r="D8" s="1">
        <v>20</v>
      </c>
      <c r="E8" s="1">
        <v>10</v>
      </c>
      <c r="F8" s="1">
        <v>4</v>
      </c>
    </row>
    <row r="9" spans="1:6" x14ac:dyDescent="0.2">
      <c r="A9" s="1" t="s">
        <v>15</v>
      </c>
      <c r="B9" s="1" t="s">
        <v>16</v>
      </c>
      <c r="C9" s="1" t="s">
        <v>17</v>
      </c>
      <c r="D9" s="1">
        <v>18</v>
      </c>
      <c r="E9" s="1">
        <v>5.75</v>
      </c>
      <c r="F9" s="1">
        <v>3</v>
      </c>
    </row>
    <row r="10" spans="1:6" x14ac:dyDescent="0.2">
      <c r="A10" s="1" t="s">
        <v>18</v>
      </c>
      <c r="B10" s="1" t="s">
        <v>12</v>
      </c>
      <c r="C10" s="1" t="s">
        <v>8</v>
      </c>
      <c r="D10" s="1">
        <v>22</v>
      </c>
      <c r="E10" s="1">
        <v>9.08</v>
      </c>
      <c r="F10" s="1">
        <v>4</v>
      </c>
    </row>
    <row r="11" spans="1:6" x14ac:dyDescent="0.2">
      <c r="A11" s="1" t="s">
        <v>19</v>
      </c>
      <c r="B11" s="1" t="s">
        <v>12</v>
      </c>
      <c r="C11" s="1" t="s">
        <v>8</v>
      </c>
      <c r="D11" s="1">
        <v>21</v>
      </c>
      <c r="E11" s="1">
        <v>6.04</v>
      </c>
      <c r="F11" s="1">
        <v>0</v>
      </c>
    </row>
    <row r="12" spans="1:6" x14ac:dyDescent="0.2">
      <c r="A12" s="1" t="s">
        <v>20</v>
      </c>
      <c r="B12" s="1" t="s">
        <v>12</v>
      </c>
      <c r="C12" s="1" t="s">
        <v>17</v>
      </c>
      <c r="D12" s="1">
        <v>22</v>
      </c>
      <c r="E12" s="1">
        <v>8.91</v>
      </c>
      <c r="F12" s="1">
        <v>2</v>
      </c>
    </row>
    <row r="13" spans="1:6" x14ac:dyDescent="0.2">
      <c r="A13" s="1" t="s">
        <v>21</v>
      </c>
      <c r="B13" s="1" t="s">
        <v>10</v>
      </c>
      <c r="C13" s="1" t="s">
        <v>8</v>
      </c>
      <c r="D13" s="1">
        <v>19</v>
      </c>
      <c r="E13" s="1">
        <v>8.67</v>
      </c>
      <c r="F13" s="1">
        <v>0</v>
      </c>
    </row>
    <row r="14" spans="1:6" x14ac:dyDescent="0.2">
      <c r="A14" s="1" t="s">
        <v>22</v>
      </c>
      <c r="B14" s="1" t="s">
        <v>7</v>
      </c>
      <c r="C14" s="1" t="s">
        <v>8</v>
      </c>
      <c r="D14" s="1">
        <v>23</v>
      </c>
      <c r="E14" s="1">
        <v>6.5</v>
      </c>
      <c r="F14" s="1">
        <v>0</v>
      </c>
    </row>
    <row r="15" spans="1:6" x14ac:dyDescent="0.2">
      <c r="A15" s="1" t="s">
        <v>23</v>
      </c>
      <c r="B15" s="1" t="s">
        <v>12</v>
      </c>
      <c r="C15" s="1" t="s">
        <v>8</v>
      </c>
      <c r="D15" s="1">
        <v>21</v>
      </c>
      <c r="E15" s="1">
        <v>6.63</v>
      </c>
      <c r="F15" s="1">
        <v>5</v>
      </c>
    </row>
    <row r="16" spans="1:6" x14ac:dyDescent="0.2">
      <c r="A16" s="1" t="s">
        <v>24</v>
      </c>
      <c r="B16" s="1" t="s">
        <v>10</v>
      </c>
      <c r="C16" s="1" t="s">
        <v>17</v>
      </c>
      <c r="D16" s="1">
        <v>20</v>
      </c>
      <c r="E16" s="1">
        <v>8.9600000000000009</v>
      </c>
      <c r="F16" s="1">
        <v>1</v>
      </c>
    </row>
    <row r="17" spans="1:6" x14ac:dyDescent="0.2">
      <c r="A17" s="1" t="s">
        <v>25</v>
      </c>
      <c r="B17" s="1" t="s">
        <v>16</v>
      </c>
      <c r="C17" s="1" t="s">
        <v>17</v>
      </c>
      <c r="D17" s="1">
        <v>21</v>
      </c>
      <c r="E17" s="1">
        <v>7.31</v>
      </c>
      <c r="F17" s="1">
        <v>5</v>
      </c>
    </row>
    <row r="18" spans="1:6" x14ac:dyDescent="0.2">
      <c r="A18" s="1" t="s">
        <v>26</v>
      </c>
      <c r="B18" s="1" t="s">
        <v>7</v>
      </c>
      <c r="C18" s="1" t="s">
        <v>8</v>
      </c>
      <c r="D18" s="1">
        <v>20</v>
      </c>
      <c r="E18" s="1">
        <v>8.65</v>
      </c>
      <c r="F18" s="1">
        <v>2</v>
      </c>
    </row>
    <row r="19" spans="1:6" x14ac:dyDescent="0.2">
      <c r="A19" s="1" t="s">
        <v>27</v>
      </c>
      <c r="B19" s="1" t="s">
        <v>16</v>
      </c>
      <c r="C19" s="1" t="s">
        <v>8</v>
      </c>
      <c r="D19" s="1">
        <v>20</v>
      </c>
      <c r="E19" s="1">
        <v>5.74</v>
      </c>
      <c r="F19" s="1">
        <v>0</v>
      </c>
    </row>
    <row r="20" spans="1:6" x14ac:dyDescent="0.2">
      <c r="A20" s="1" t="s">
        <v>28</v>
      </c>
      <c r="B20" s="1" t="s">
        <v>7</v>
      </c>
      <c r="C20" s="1" t="s">
        <v>17</v>
      </c>
      <c r="D20" s="1">
        <v>21</v>
      </c>
      <c r="E20" s="1">
        <v>9.26</v>
      </c>
      <c r="F20" s="1">
        <v>3</v>
      </c>
    </row>
    <row r="21" spans="1:6" x14ac:dyDescent="0.2">
      <c r="A21" s="1" t="s">
        <v>29</v>
      </c>
      <c r="B21" s="1" t="s">
        <v>10</v>
      </c>
      <c r="C21" s="1" t="s">
        <v>8</v>
      </c>
      <c r="D21" s="1">
        <v>20</v>
      </c>
      <c r="E21" s="1">
        <v>8.5500000000000007</v>
      </c>
      <c r="F21" s="1">
        <v>0</v>
      </c>
    </row>
    <row r="22" spans="1:6" x14ac:dyDescent="0.2">
      <c r="A22" s="1" t="s">
        <v>30</v>
      </c>
      <c r="B22" s="1" t="s">
        <v>31</v>
      </c>
      <c r="C22" s="1" t="s">
        <v>8</v>
      </c>
      <c r="D22" s="1">
        <v>20</v>
      </c>
      <c r="E22" s="1">
        <v>9.5299999999999994</v>
      </c>
      <c r="F22" s="1">
        <v>3</v>
      </c>
    </row>
    <row r="23" spans="1:6" x14ac:dyDescent="0.2">
      <c r="A23" s="1" t="s">
        <v>32</v>
      </c>
      <c r="B23" s="1" t="s">
        <v>7</v>
      </c>
      <c r="C23" s="1" t="s">
        <v>17</v>
      </c>
      <c r="D23" s="1">
        <v>19</v>
      </c>
      <c r="E23" s="1">
        <v>5.66</v>
      </c>
      <c r="F23" s="1">
        <v>5</v>
      </c>
    </row>
    <row r="24" spans="1:6" x14ac:dyDescent="0.2">
      <c r="A24" s="1" t="s">
        <v>33</v>
      </c>
      <c r="B24" s="1" t="s">
        <v>16</v>
      </c>
      <c r="C24" s="1" t="s">
        <v>8</v>
      </c>
      <c r="D24" s="1">
        <v>22</v>
      </c>
      <c r="E24" s="1">
        <v>7.97</v>
      </c>
      <c r="F24" s="1">
        <v>5</v>
      </c>
    </row>
    <row r="25" spans="1:6" x14ac:dyDescent="0.2">
      <c r="A25" s="1" t="s">
        <v>34</v>
      </c>
      <c r="B25" s="1" t="s">
        <v>10</v>
      </c>
      <c r="C25" s="1" t="s">
        <v>17</v>
      </c>
      <c r="D25" s="1">
        <v>22</v>
      </c>
      <c r="E25" s="1">
        <v>8</v>
      </c>
      <c r="F25" s="1">
        <v>1</v>
      </c>
    </row>
    <row r="26" spans="1:6" x14ac:dyDescent="0.2">
      <c r="A26" s="1" t="s">
        <v>35</v>
      </c>
      <c r="B26" s="1" t="s">
        <v>7</v>
      </c>
      <c r="C26" s="1" t="s">
        <v>17</v>
      </c>
      <c r="D26" s="1">
        <v>23</v>
      </c>
      <c r="E26" s="1">
        <v>6.77</v>
      </c>
      <c r="F26" s="1">
        <v>0</v>
      </c>
    </row>
    <row r="27" spans="1:6" x14ac:dyDescent="0.2">
      <c r="A27" s="1" t="s">
        <v>36</v>
      </c>
      <c r="B27" s="1" t="s">
        <v>31</v>
      </c>
      <c r="C27" s="1" t="s">
        <v>17</v>
      </c>
      <c r="D27" s="1">
        <v>23</v>
      </c>
      <c r="E27" s="1">
        <v>7.29</v>
      </c>
      <c r="F27" s="1">
        <v>4</v>
      </c>
    </row>
    <row r="28" spans="1:6" x14ac:dyDescent="0.2">
      <c r="A28" s="1" t="s">
        <v>37</v>
      </c>
      <c r="B28" s="1" t="s">
        <v>31</v>
      </c>
      <c r="C28" s="1" t="s">
        <v>8</v>
      </c>
      <c r="D28" s="1">
        <v>19</v>
      </c>
      <c r="E28" s="1">
        <v>5.19</v>
      </c>
      <c r="F28" s="1">
        <v>5</v>
      </c>
    </row>
    <row r="29" spans="1:6" x14ac:dyDescent="0.2">
      <c r="A29" s="1" t="s">
        <v>38</v>
      </c>
      <c r="B29" s="1" t="s">
        <v>12</v>
      </c>
      <c r="C29" s="1" t="s">
        <v>17</v>
      </c>
      <c r="D29" s="1">
        <v>23</v>
      </c>
      <c r="E29" s="1">
        <v>8.73</v>
      </c>
      <c r="F29" s="1">
        <v>5</v>
      </c>
    </row>
    <row r="30" spans="1:6" x14ac:dyDescent="0.2">
      <c r="A30" s="1" t="s">
        <v>39</v>
      </c>
      <c r="B30" s="1" t="s">
        <v>12</v>
      </c>
      <c r="C30" s="1" t="s">
        <v>17</v>
      </c>
      <c r="D30" s="1">
        <v>21</v>
      </c>
      <c r="E30" s="1">
        <v>7.75</v>
      </c>
      <c r="F30" s="1">
        <v>1</v>
      </c>
    </row>
    <row r="31" spans="1:6" x14ac:dyDescent="0.2">
      <c r="A31" s="1" t="s">
        <v>40</v>
      </c>
      <c r="B31" s="1" t="s">
        <v>16</v>
      </c>
      <c r="C31" s="1" t="s">
        <v>17</v>
      </c>
      <c r="D31" s="1">
        <v>18</v>
      </c>
      <c r="E31" s="1">
        <v>5.29</v>
      </c>
      <c r="F31" s="1">
        <v>3</v>
      </c>
    </row>
    <row r="32" spans="1:6" x14ac:dyDescent="0.2">
      <c r="A32" s="1" t="s">
        <v>41</v>
      </c>
      <c r="B32" s="1" t="s">
        <v>7</v>
      </c>
      <c r="C32" s="1" t="s">
        <v>17</v>
      </c>
      <c r="D32" s="1">
        <v>18</v>
      </c>
      <c r="E32" s="1">
        <v>8.4</v>
      </c>
      <c r="F32" s="1">
        <v>1</v>
      </c>
    </row>
    <row r="33" spans="1:6" x14ac:dyDescent="0.2">
      <c r="A33" s="1" t="s">
        <v>42</v>
      </c>
      <c r="B33" s="1" t="s">
        <v>7</v>
      </c>
      <c r="C33" s="1" t="s">
        <v>8</v>
      </c>
      <c r="D33" s="1">
        <v>18</v>
      </c>
      <c r="E33" s="1">
        <v>7.33</v>
      </c>
      <c r="F33" s="1">
        <v>0</v>
      </c>
    </row>
    <row r="34" spans="1:6" x14ac:dyDescent="0.2">
      <c r="A34" s="1" t="s">
        <v>43</v>
      </c>
      <c r="B34" s="1" t="s">
        <v>12</v>
      </c>
      <c r="C34" s="1" t="s">
        <v>17</v>
      </c>
      <c r="D34" s="1">
        <v>19</v>
      </c>
      <c r="E34" s="1">
        <v>5.17</v>
      </c>
      <c r="F34" s="1">
        <v>2</v>
      </c>
    </row>
    <row r="35" spans="1:6" x14ac:dyDescent="0.2">
      <c r="A35" s="1" t="s">
        <v>44</v>
      </c>
      <c r="B35" s="1" t="s">
        <v>7</v>
      </c>
      <c r="C35" s="1" t="s">
        <v>17</v>
      </c>
      <c r="D35" s="1">
        <v>19</v>
      </c>
      <c r="E35" s="1">
        <v>9.85</v>
      </c>
      <c r="F35" s="1">
        <v>2</v>
      </c>
    </row>
    <row r="36" spans="1:6" x14ac:dyDescent="0.2">
      <c r="A36" s="1" t="s">
        <v>45</v>
      </c>
      <c r="B36" s="1" t="s">
        <v>7</v>
      </c>
      <c r="C36" s="1" t="s">
        <v>8</v>
      </c>
      <c r="D36" s="1">
        <v>20</v>
      </c>
      <c r="E36" s="1">
        <v>9.75</v>
      </c>
      <c r="F36" s="1">
        <v>3</v>
      </c>
    </row>
    <row r="37" spans="1:6" x14ac:dyDescent="0.2">
      <c r="A37" s="1" t="s">
        <v>46</v>
      </c>
      <c r="B37" s="1" t="s">
        <v>31</v>
      </c>
      <c r="C37" s="1" t="s">
        <v>17</v>
      </c>
      <c r="D37" s="1">
        <v>18</v>
      </c>
      <c r="E37" s="1">
        <v>7.56</v>
      </c>
      <c r="F37" s="1">
        <v>5</v>
      </c>
    </row>
    <row r="38" spans="1:6" x14ac:dyDescent="0.2">
      <c r="A38" s="1" t="s">
        <v>47</v>
      </c>
      <c r="B38" s="1" t="s">
        <v>12</v>
      </c>
      <c r="C38" s="1" t="s">
        <v>17</v>
      </c>
      <c r="D38" s="1">
        <v>21</v>
      </c>
      <c r="E38" s="1">
        <v>5.47</v>
      </c>
      <c r="F38" s="1">
        <v>3</v>
      </c>
    </row>
    <row r="39" spans="1:6" x14ac:dyDescent="0.2">
      <c r="A39" s="1" t="s">
        <v>48</v>
      </c>
      <c r="B39" s="1" t="s">
        <v>10</v>
      </c>
      <c r="C39" s="1" t="s">
        <v>17</v>
      </c>
      <c r="D39" s="1">
        <v>23</v>
      </c>
      <c r="E39" s="1">
        <v>8.77</v>
      </c>
      <c r="F39" s="1">
        <v>5</v>
      </c>
    </row>
    <row r="40" spans="1:6" x14ac:dyDescent="0.2">
      <c r="A40" s="1" t="s">
        <v>49</v>
      </c>
      <c r="B40" s="1" t="s">
        <v>12</v>
      </c>
      <c r="C40" s="1" t="s">
        <v>17</v>
      </c>
      <c r="D40" s="1">
        <v>21</v>
      </c>
      <c r="E40" s="1">
        <v>7.46</v>
      </c>
      <c r="F40" s="1">
        <v>5</v>
      </c>
    </row>
    <row r="41" spans="1:6" x14ac:dyDescent="0.2">
      <c r="A41" s="1" t="s">
        <v>50</v>
      </c>
      <c r="B41" s="1" t="s">
        <v>10</v>
      </c>
      <c r="C41" s="1" t="s">
        <v>17</v>
      </c>
      <c r="D41" s="1">
        <v>23</v>
      </c>
      <c r="E41" s="1">
        <v>6.51</v>
      </c>
      <c r="F41" s="1">
        <v>2</v>
      </c>
    </row>
    <row r="42" spans="1:6" x14ac:dyDescent="0.2">
      <c r="A42" s="1" t="s">
        <v>51</v>
      </c>
      <c r="B42" s="1" t="s">
        <v>31</v>
      </c>
      <c r="C42" s="1" t="s">
        <v>17</v>
      </c>
      <c r="D42" s="1">
        <v>18</v>
      </c>
      <c r="E42" s="1">
        <v>7.46</v>
      </c>
      <c r="F42" s="1">
        <v>3</v>
      </c>
    </row>
    <row r="43" spans="1:6" x14ac:dyDescent="0.2">
      <c r="A43" s="1" t="s">
        <v>52</v>
      </c>
      <c r="B43" s="1" t="s">
        <v>16</v>
      </c>
      <c r="C43" s="1" t="s">
        <v>17</v>
      </c>
      <c r="D43" s="1">
        <v>18</v>
      </c>
      <c r="E43" s="1">
        <v>7.61</v>
      </c>
      <c r="F43" s="1">
        <v>1</v>
      </c>
    </row>
    <row r="44" spans="1:6" x14ac:dyDescent="0.2">
      <c r="A44" s="1" t="s">
        <v>53</v>
      </c>
      <c r="B44" s="1" t="s">
        <v>7</v>
      </c>
      <c r="C44" s="1" t="s">
        <v>8</v>
      </c>
      <c r="D44" s="1">
        <v>18</v>
      </c>
      <c r="E44" s="1">
        <v>7.81</v>
      </c>
      <c r="F44" s="1">
        <v>5</v>
      </c>
    </row>
    <row r="45" spans="1:6" x14ac:dyDescent="0.2">
      <c r="A45" s="1" t="s">
        <v>54</v>
      </c>
      <c r="B45" s="1" t="s">
        <v>31</v>
      </c>
      <c r="C45" s="1" t="s">
        <v>17</v>
      </c>
      <c r="D45" s="1">
        <v>19</v>
      </c>
      <c r="E45" s="1">
        <v>7.21</v>
      </c>
      <c r="F45" s="1">
        <v>4</v>
      </c>
    </row>
    <row r="46" spans="1:6" x14ac:dyDescent="0.2">
      <c r="A46" s="1" t="s">
        <v>55</v>
      </c>
      <c r="B46" s="1" t="s">
        <v>7</v>
      </c>
      <c r="C46" s="1" t="s">
        <v>8</v>
      </c>
      <c r="D46" s="1">
        <v>23</v>
      </c>
      <c r="E46" s="1">
        <v>8.0299999999999994</v>
      </c>
      <c r="F46" s="1">
        <v>4</v>
      </c>
    </row>
    <row r="47" spans="1:6" x14ac:dyDescent="0.2">
      <c r="A47" s="1" t="s">
        <v>56</v>
      </c>
      <c r="B47" s="1" t="s">
        <v>16</v>
      </c>
      <c r="C47" s="1" t="s">
        <v>8</v>
      </c>
      <c r="D47" s="1">
        <v>19</v>
      </c>
      <c r="E47" s="1">
        <v>9.59</v>
      </c>
      <c r="F47" s="1">
        <v>1</v>
      </c>
    </row>
    <row r="48" spans="1:6" x14ac:dyDescent="0.2">
      <c r="A48" s="1" t="s">
        <v>57</v>
      </c>
      <c r="B48" s="1" t="s">
        <v>16</v>
      </c>
      <c r="C48" s="1" t="s">
        <v>17</v>
      </c>
      <c r="D48" s="1">
        <v>19</v>
      </c>
      <c r="E48" s="1">
        <v>6.81</v>
      </c>
      <c r="F48" s="1">
        <v>4</v>
      </c>
    </row>
    <row r="49" spans="1:6" x14ac:dyDescent="0.2">
      <c r="A49" s="1" t="s">
        <v>58</v>
      </c>
      <c r="B49" s="1" t="s">
        <v>31</v>
      </c>
      <c r="C49" s="1" t="s">
        <v>8</v>
      </c>
      <c r="D49" s="1">
        <v>22</v>
      </c>
      <c r="E49" s="1">
        <v>8.6300000000000008</v>
      </c>
      <c r="F49" s="1">
        <v>0</v>
      </c>
    </row>
    <row r="50" spans="1:6" x14ac:dyDescent="0.2">
      <c r="A50" s="1" t="s">
        <v>59</v>
      </c>
      <c r="B50" s="1" t="s">
        <v>16</v>
      </c>
      <c r="C50" s="1" t="s">
        <v>17</v>
      </c>
      <c r="D50" s="1">
        <v>21</v>
      </c>
      <c r="E50" s="1">
        <v>9.4700000000000006</v>
      </c>
      <c r="F50" s="1">
        <v>5</v>
      </c>
    </row>
    <row r="51" spans="1:6" x14ac:dyDescent="0.2">
      <c r="A51" s="1" t="s">
        <v>60</v>
      </c>
      <c r="B51" s="1" t="s">
        <v>10</v>
      </c>
      <c r="C51" s="1" t="s">
        <v>8</v>
      </c>
      <c r="D51" s="1">
        <v>21</v>
      </c>
      <c r="E51" s="1">
        <v>7.28</v>
      </c>
      <c r="F51" s="1">
        <v>1</v>
      </c>
    </row>
    <row r="52" spans="1:6" x14ac:dyDescent="0.2">
      <c r="A52" s="1" t="s">
        <v>61</v>
      </c>
      <c r="B52" s="1" t="s">
        <v>16</v>
      </c>
      <c r="C52" s="1" t="s">
        <v>17</v>
      </c>
      <c r="D52" s="1">
        <v>20</v>
      </c>
      <c r="E52" s="1">
        <v>7.22</v>
      </c>
      <c r="F52" s="1">
        <v>3</v>
      </c>
    </row>
    <row r="53" spans="1:6" x14ac:dyDescent="0.2">
      <c r="A53" s="1" t="s">
        <v>62</v>
      </c>
      <c r="B53" s="1" t="s">
        <v>7</v>
      </c>
      <c r="C53" s="1" t="s">
        <v>17</v>
      </c>
      <c r="D53" s="1">
        <v>19</v>
      </c>
      <c r="E53" s="1">
        <v>8.01</v>
      </c>
      <c r="F53" s="1">
        <v>5</v>
      </c>
    </row>
    <row r="54" spans="1:6" x14ac:dyDescent="0.2">
      <c r="A54" s="1" t="s">
        <v>63</v>
      </c>
      <c r="B54" s="1" t="s">
        <v>7</v>
      </c>
      <c r="C54" s="1" t="s">
        <v>17</v>
      </c>
      <c r="D54" s="1">
        <v>23</v>
      </c>
      <c r="E54" s="1">
        <v>7.96</v>
      </c>
      <c r="F54" s="1">
        <v>1</v>
      </c>
    </row>
    <row r="55" spans="1:6" x14ac:dyDescent="0.2">
      <c r="A55" s="1" t="s">
        <v>64</v>
      </c>
      <c r="B55" s="1" t="s">
        <v>7</v>
      </c>
      <c r="C55" s="1" t="s">
        <v>8</v>
      </c>
      <c r="D55" s="1">
        <v>22</v>
      </c>
      <c r="E55" s="1">
        <v>9.0299999999999994</v>
      </c>
      <c r="F55" s="1">
        <v>2</v>
      </c>
    </row>
    <row r="56" spans="1:6" x14ac:dyDescent="0.2">
      <c r="A56" s="1" t="s">
        <v>65</v>
      </c>
      <c r="B56" s="1" t="s">
        <v>7</v>
      </c>
      <c r="C56" s="1" t="s">
        <v>17</v>
      </c>
      <c r="D56" s="1">
        <v>22</v>
      </c>
      <c r="E56" s="1">
        <v>7.38</v>
      </c>
      <c r="F56" s="1">
        <v>3</v>
      </c>
    </row>
    <row r="57" spans="1:6" x14ac:dyDescent="0.2">
      <c r="A57" s="1" t="s">
        <v>66</v>
      </c>
      <c r="B57" s="1" t="s">
        <v>10</v>
      </c>
      <c r="C57" s="1" t="s">
        <v>8</v>
      </c>
      <c r="D57" s="1">
        <v>21</v>
      </c>
      <c r="E57" s="1">
        <v>9.98</v>
      </c>
      <c r="F57" s="1">
        <v>2</v>
      </c>
    </row>
    <row r="58" spans="1:6" x14ac:dyDescent="0.2">
      <c r="A58" s="1" t="s">
        <v>67</v>
      </c>
      <c r="B58" s="1" t="s">
        <v>12</v>
      </c>
      <c r="C58" s="1" t="s">
        <v>17</v>
      </c>
      <c r="D58" s="1">
        <v>19</v>
      </c>
      <c r="E58" s="1">
        <v>5.3</v>
      </c>
      <c r="F58" s="1">
        <v>5</v>
      </c>
    </row>
    <row r="59" spans="1:6" x14ac:dyDescent="0.2">
      <c r="A59" s="1" t="s">
        <v>68</v>
      </c>
      <c r="B59" s="1" t="s">
        <v>31</v>
      </c>
      <c r="C59" s="1" t="s">
        <v>8</v>
      </c>
      <c r="D59" s="1">
        <v>20</v>
      </c>
      <c r="E59" s="1">
        <v>5.0199999999999996</v>
      </c>
      <c r="F59" s="1">
        <v>3</v>
      </c>
    </row>
    <row r="60" spans="1:6" x14ac:dyDescent="0.2">
      <c r="A60" s="1" t="s">
        <v>69</v>
      </c>
      <c r="B60" s="1" t="s">
        <v>7</v>
      </c>
      <c r="C60" s="1" t="s">
        <v>17</v>
      </c>
      <c r="D60" s="1">
        <v>19</v>
      </c>
      <c r="E60" s="1">
        <v>8.1999999999999993</v>
      </c>
      <c r="F60" s="1">
        <v>4</v>
      </c>
    </row>
    <row r="61" spans="1:6" x14ac:dyDescent="0.2">
      <c r="A61" s="1" t="s">
        <v>70</v>
      </c>
      <c r="B61" s="1" t="s">
        <v>16</v>
      </c>
      <c r="C61" s="1" t="s">
        <v>8</v>
      </c>
      <c r="D61" s="1">
        <v>18</v>
      </c>
      <c r="E61" s="1">
        <v>6.49</v>
      </c>
      <c r="F61" s="1">
        <v>1</v>
      </c>
    </row>
    <row r="62" spans="1:6" x14ac:dyDescent="0.2">
      <c r="A62" s="1" t="s">
        <v>71</v>
      </c>
      <c r="B62" s="1" t="s">
        <v>7</v>
      </c>
      <c r="C62" s="1" t="s">
        <v>17</v>
      </c>
      <c r="D62" s="1">
        <v>19</v>
      </c>
      <c r="E62" s="1">
        <v>6.2</v>
      </c>
      <c r="F62" s="1">
        <v>5</v>
      </c>
    </row>
    <row r="63" spans="1:6" x14ac:dyDescent="0.2">
      <c r="A63" s="1" t="s">
        <v>72</v>
      </c>
      <c r="B63" s="1" t="s">
        <v>16</v>
      </c>
      <c r="C63" s="1" t="s">
        <v>17</v>
      </c>
      <c r="D63" s="1">
        <v>18</v>
      </c>
      <c r="E63" s="1">
        <v>6.56</v>
      </c>
      <c r="F63" s="1">
        <v>0</v>
      </c>
    </row>
    <row r="64" spans="1:6" x14ac:dyDescent="0.2">
      <c r="A64" s="1" t="s">
        <v>73</v>
      </c>
      <c r="B64" s="1" t="s">
        <v>16</v>
      </c>
      <c r="C64" s="1" t="s">
        <v>17</v>
      </c>
      <c r="D64" s="1">
        <v>18</v>
      </c>
      <c r="E64" s="1">
        <v>6.28</v>
      </c>
      <c r="F64" s="1">
        <v>3</v>
      </c>
    </row>
    <row r="65" spans="1:6" x14ac:dyDescent="0.2">
      <c r="A65" s="1" t="s">
        <v>74</v>
      </c>
      <c r="B65" s="1" t="s">
        <v>7</v>
      </c>
      <c r="C65" s="1" t="s">
        <v>17</v>
      </c>
      <c r="D65" s="1">
        <v>20</v>
      </c>
      <c r="E65" s="1">
        <v>5.15</v>
      </c>
      <c r="F65" s="1">
        <v>3</v>
      </c>
    </row>
    <row r="66" spans="1:6" x14ac:dyDescent="0.2">
      <c r="A66" s="1" t="s">
        <v>75</v>
      </c>
      <c r="B66" s="1" t="s">
        <v>10</v>
      </c>
      <c r="C66" s="1" t="s">
        <v>8</v>
      </c>
      <c r="D66" s="1">
        <v>23</v>
      </c>
      <c r="E66" s="1">
        <v>9.86</v>
      </c>
      <c r="F66" s="1">
        <v>5</v>
      </c>
    </row>
    <row r="67" spans="1:6" x14ac:dyDescent="0.2">
      <c r="A67" s="1" t="s">
        <v>76</v>
      </c>
      <c r="B67" s="1" t="s">
        <v>16</v>
      </c>
      <c r="C67" s="1" t="s">
        <v>17</v>
      </c>
      <c r="D67" s="1">
        <v>21</v>
      </c>
      <c r="E67" s="1">
        <v>6.1</v>
      </c>
      <c r="F67" s="1">
        <v>5</v>
      </c>
    </row>
    <row r="68" spans="1:6" x14ac:dyDescent="0.2">
      <c r="A68" s="1" t="s">
        <v>77</v>
      </c>
      <c r="B68" s="1" t="s">
        <v>16</v>
      </c>
      <c r="C68" s="1" t="s">
        <v>8</v>
      </c>
      <c r="D68" s="1">
        <v>19</v>
      </c>
      <c r="E68" s="1">
        <v>8.67</v>
      </c>
      <c r="F68" s="1">
        <v>2</v>
      </c>
    </row>
    <row r="69" spans="1:6" x14ac:dyDescent="0.2">
      <c r="A69" s="1" t="s">
        <v>78</v>
      </c>
      <c r="B69" s="1" t="s">
        <v>7</v>
      </c>
      <c r="C69" s="1" t="s">
        <v>17</v>
      </c>
      <c r="D69" s="1">
        <v>18</v>
      </c>
      <c r="E69" s="1">
        <v>8.81</v>
      </c>
      <c r="F69" s="1">
        <v>4</v>
      </c>
    </row>
    <row r="70" spans="1:6" x14ac:dyDescent="0.2">
      <c r="A70" s="1" t="s">
        <v>79</v>
      </c>
      <c r="B70" s="1" t="s">
        <v>16</v>
      </c>
      <c r="C70" s="1" t="s">
        <v>17</v>
      </c>
      <c r="D70" s="1">
        <v>19</v>
      </c>
      <c r="E70" s="1">
        <v>9.65</v>
      </c>
      <c r="F70" s="1">
        <v>2</v>
      </c>
    </row>
    <row r="71" spans="1:6" x14ac:dyDescent="0.2">
      <c r="A71" s="1" t="s">
        <v>80</v>
      </c>
      <c r="B71" s="1" t="s">
        <v>16</v>
      </c>
      <c r="C71" s="1" t="s">
        <v>17</v>
      </c>
      <c r="D71" s="1">
        <v>23</v>
      </c>
      <c r="E71" s="1">
        <v>5.15</v>
      </c>
      <c r="F71" s="1">
        <v>2</v>
      </c>
    </row>
    <row r="72" spans="1:6" x14ac:dyDescent="0.2">
      <c r="A72" s="1" t="s">
        <v>81</v>
      </c>
      <c r="B72" s="1" t="s">
        <v>7</v>
      </c>
      <c r="C72" s="1" t="s">
        <v>17</v>
      </c>
      <c r="D72" s="1">
        <v>21</v>
      </c>
      <c r="E72" s="1">
        <v>9.36</v>
      </c>
      <c r="F72" s="1">
        <v>4</v>
      </c>
    </row>
    <row r="73" spans="1:6" x14ac:dyDescent="0.2">
      <c r="A73" s="1" t="s">
        <v>82</v>
      </c>
      <c r="B73" s="1" t="s">
        <v>7</v>
      </c>
      <c r="C73" s="1" t="s">
        <v>8</v>
      </c>
      <c r="D73" s="1">
        <v>23</v>
      </c>
      <c r="E73" s="1">
        <v>7.64</v>
      </c>
      <c r="F73" s="1">
        <v>0</v>
      </c>
    </row>
    <row r="74" spans="1:6" x14ac:dyDescent="0.2">
      <c r="A74" s="1" t="s">
        <v>83</v>
      </c>
      <c r="B74" s="1" t="s">
        <v>31</v>
      </c>
      <c r="C74" s="1" t="s">
        <v>17</v>
      </c>
      <c r="D74" s="1">
        <v>21</v>
      </c>
      <c r="E74" s="1">
        <v>8.16</v>
      </c>
      <c r="F74" s="1">
        <v>2</v>
      </c>
    </row>
    <row r="75" spans="1:6" x14ac:dyDescent="0.2">
      <c r="A75" s="1" t="s">
        <v>84</v>
      </c>
      <c r="B75" s="1" t="s">
        <v>10</v>
      </c>
      <c r="C75" s="1" t="s">
        <v>17</v>
      </c>
      <c r="D75" s="1">
        <v>22</v>
      </c>
      <c r="E75" s="1">
        <v>8.2200000000000006</v>
      </c>
      <c r="F75" s="1">
        <v>2</v>
      </c>
    </row>
    <row r="76" spans="1:6" x14ac:dyDescent="0.2">
      <c r="A76" s="1" t="s">
        <v>85</v>
      </c>
      <c r="B76" s="1" t="s">
        <v>10</v>
      </c>
      <c r="C76" s="1" t="s">
        <v>8</v>
      </c>
      <c r="D76" s="1">
        <v>21</v>
      </c>
      <c r="E76" s="1">
        <v>9.1</v>
      </c>
      <c r="F76" s="1">
        <v>3</v>
      </c>
    </row>
    <row r="77" spans="1:6" x14ac:dyDescent="0.2">
      <c r="A77" s="1" t="s">
        <v>86</v>
      </c>
      <c r="B77" s="1" t="s">
        <v>16</v>
      </c>
      <c r="C77" s="1" t="s">
        <v>8</v>
      </c>
      <c r="D77" s="1">
        <v>20</v>
      </c>
      <c r="E77" s="1">
        <v>6.67</v>
      </c>
      <c r="F77" s="1">
        <v>4</v>
      </c>
    </row>
    <row r="78" spans="1:6" x14ac:dyDescent="0.2">
      <c r="A78" s="1" t="s">
        <v>87</v>
      </c>
      <c r="B78" s="1" t="s">
        <v>10</v>
      </c>
      <c r="C78" s="1" t="s">
        <v>17</v>
      </c>
      <c r="D78" s="1">
        <v>23</v>
      </c>
      <c r="E78" s="1">
        <v>8.67</v>
      </c>
      <c r="F78" s="1">
        <v>1</v>
      </c>
    </row>
    <row r="79" spans="1:6" x14ac:dyDescent="0.2">
      <c r="A79" s="1" t="s">
        <v>88</v>
      </c>
      <c r="B79" s="1" t="s">
        <v>16</v>
      </c>
      <c r="C79" s="1" t="s">
        <v>17</v>
      </c>
      <c r="D79" s="1">
        <v>18</v>
      </c>
      <c r="E79" s="1">
        <v>7.64</v>
      </c>
      <c r="F79" s="1">
        <v>0</v>
      </c>
    </row>
    <row r="80" spans="1:6" x14ac:dyDescent="0.2">
      <c r="A80" s="1" t="s">
        <v>89</v>
      </c>
      <c r="B80" s="1" t="s">
        <v>31</v>
      </c>
      <c r="C80" s="1" t="s">
        <v>8</v>
      </c>
      <c r="D80" s="1">
        <v>22</v>
      </c>
      <c r="E80" s="1">
        <v>8.9700000000000006</v>
      </c>
      <c r="F80" s="1">
        <v>0</v>
      </c>
    </row>
    <row r="81" spans="1:6" x14ac:dyDescent="0.2">
      <c r="A81" s="1" t="s">
        <v>90</v>
      </c>
      <c r="B81" s="1" t="s">
        <v>7</v>
      </c>
      <c r="C81" s="1" t="s">
        <v>17</v>
      </c>
      <c r="D81" s="1">
        <v>20</v>
      </c>
      <c r="E81" s="1">
        <v>9.9499999999999993</v>
      </c>
      <c r="F81" s="1">
        <v>4</v>
      </c>
    </row>
    <row r="82" spans="1:6" x14ac:dyDescent="0.2">
      <c r="A82" s="1" t="s">
        <v>91</v>
      </c>
      <c r="B82" s="1" t="s">
        <v>7</v>
      </c>
      <c r="C82" s="1" t="s">
        <v>17</v>
      </c>
      <c r="D82" s="1">
        <v>19</v>
      </c>
      <c r="E82" s="1">
        <v>6</v>
      </c>
      <c r="F82" s="1">
        <v>5</v>
      </c>
    </row>
    <row r="83" spans="1:6" x14ac:dyDescent="0.2">
      <c r="A83" s="1" t="s">
        <v>92</v>
      </c>
      <c r="B83" s="1" t="s">
        <v>7</v>
      </c>
      <c r="C83" s="1" t="s">
        <v>17</v>
      </c>
      <c r="D83" s="1">
        <v>23</v>
      </c>
      <c r="E83" s="1">
        <v>9.9700000000000006</v>
      </c>
      <c r="F83" s="1">
        <v>5</v>
      </c>
    </row>
    <row r="84" spans="1:6" x14ac:dyDescent="0.2">
      <c r="A84" s="1" t="s">
        <v>93</v>
      </c>
      <c r="B84" s="1" t="s">
        <v>10</v>
      </c>
      <c r="C84" s="1" t="s">
        <v>8</v>
      </c>
      <c r="D84" s="1">
        <v>18</v>
      </c>
      <c r="E84" s="1">
        <v>5.45</v>
      </c>
      <c r="F84" s="1">
        <v>3</v>
      </c>
    </row>
    <row r="85" spans="1:6" x14ac:dyDescent="0.2">
      <c r="A85" s="1" t="s">
        <v>94</v>
      </c>
      <c r="B85" s="1" t="s">
        <v>31</v>
      </c>
      <c r="C85" s="1" t="s">
        <v>8</v>
      </c>
      <c r="D85" s="1">
        <v>21</v>
      </c>
      <c r="E85" s="1">
        <v>5.01</v>
      </c>
      <c r="F85" s="1">
        <v>3</v>
      </c>
    </row>
    <row r="86" spans="1:6" x14ac:dyDescent="0.2">
      <c r="A86" s="1" t="s">
        <v>95</v>
      </c>
      <c r="B86" s="1" t="s">
        <v>10</v>
      </c>
      <c r="C86" s="1" t="s">
        <v>17</v>
      </c>
      <c r="D86" s="1">
        <v>18</v>
      </c>
      <c r="E86" s="1">
        <v>5.22</v>
      </c>
      <c r="F86" s="1">
        <v>4</v>
      </c>
    </row>
    <row r="87" spans="1:6" x14ac:dyDescent="0.2">
      <c r="A87" s="1" t="s">
        <v>96</v>
      </c>
      <c r="B87" s="1" t="s">
        <v>10</v>
      </c>
      <c r="C87" s="1" t="s">
        <v>17</v>
      </c>
      <c r="D87" s="1">
        <v>19</v>
      </c>
      <c r="E87" s="1">
        <v>6.71</v>
      </c>
      <c r="F87" s="1">
        <v>3</v>
      </c>
    </row>
    <row r="88" spans="1:6" x14ac:dyDescent="0.2">
      <c r="A88" s="1" t="s">
        <v>97</v>
      </c>
      <c r="B88" s="1" t="s">
        <v>31</v>
      </c>
      <c r="C88" s="1" t="s">
        <v>17</v>
      </c>
      <c r="D88" s="1">
        <v>22</v>
      </c>
      <c r="E88" s="1">
        <v>8.16</v>
      </c>
      <c r="F88" s="1">
        <v>0</v>
      </c>
    </row>
    <row r="89" spans="1:6" x14ac:dyDescent="0.2">
      <c r="A89" s="1" t="s">
        <v>98</v>
      </c>
      <c r="B89" s="1" t="s">
        <v>31</v>
      </c>
      <c r="C89" s="1" t="s">
        <v>8</v>
      </c>
      <c r="D89" s="1">
        <v>22</v>
      </c>
      <c r="E89" s="1">
        <v>5.35</v>
      </c>
      <c r="F89" s="1">
        <v>0</v>
      </c>
    </row>
    <row r="90" spans="1:6" x14ac:dyDescent="0.2">
      <c r="A90" s="1" t="s">
        <v>99</v>
      </c>
      <c r="B90" s="1" t="s">
        <v>31</v>
      </c>
      <c r="C90" s="1" t="s">
        <v>17</v>
      </c>
      <c r="D90" s="1">
        <v>23</v>
      </c>
      <c r="E90" s="1">
        <v>5.03</v>
      </c>
      <c r="F90" s="1">
        <v>1</v>
      </c>
    </row>
    <row r="91" spans="1:6" x14ac:dyDescent="0.2">
      <c r="A91" s="1" t="s">
        <v>100</v>
      </c>
      <c r="B91" s="1" t="s">
        <v>31</v>
      </c>
      <c r="C91" s="1" t="s">
        <v>17</v>
      </c>
      <c r="D91" s="1">
        <v>22</v>
      </c>
      <c r="E91" s="1">
        <v>9.69</v>
      </c>
      <c r="F91" s="1">
        <v>5</v>
      </c>
    </row>
    <row r="92" spans="1:6" x14ac:dyDescent="0.2">
      <c r="A92" s="1" t="s">
        <v>101</v>
      </c>
      <c r="B92" s="1" t="s">
        <v>7</v>
      </c>
      <c r="C92" s="1" t="s">
        <v>8</v>
      </c>
      <c r="D92" s="1">
        <v>23</v>
      </c>
      <c r="E92" s="1">
        <v>9.11</v>
      </c>
      <c r="F92" s="1">
        <v>4</v>
      </c>
    </row>
    <row r="93" spans="1:6" x14ac:dyDescent="0.2">
      <c r="A93" s="1" t="s">
        <v>102</v>
      </c>
      <c r="B93" s="1" t="s">
        <v>12</v>
      </c>
      <c r="C93" s="1" t="s">
        <v>17</v>
      </c>
      <c r="D93" s="1">
        <v>23</v>
      </c>
      <c r="E93" s="1">
        <v>9.0500000000000007</v>
      </c>
      <c r="F93" s="1">
        <v>2</v>
      </c>
    </row>
    <row r="94" spans="1:6" x14ac:dyDescent="0.2">
      <c r="A94" s="1" t="s">
        <v>103</v>
      </c>
      <c r="B94" s="1" t="s">
        <v>12</v>
      </c>
      <c r="C94" s="1" t="s">
        <v>8</v>
      </c>
      <c r="D94" s="1">
        <v>23</v>
      </c>
      <c r="E94" s="1">
        <v>9.42</v>
      </c>
      <c r="F94" s="1">
        <v>5</v>
      </c>
    </row>
    <row r="95" spans="1:6" x14ac:dyDescent="0.2">
      <c r="A95" s="1" t="s">
        <v>104</v>
      </c>
      <c r="B95" s="1" t="s">
        <v>31</v>
      </c>
      <c r="C95" s="1" t="s">
        <v>17</v>
      </c>
      <c r="D95" s="1">
        <v>21</v>
      </c>
      <c r="E95" s="1">
        <v>8.5</v>
      </c>
      <c r="F95" s="1">
        <v>2</v>
      </c>
    </row>
    <row r="96" spans="1:6" x14ac:dyDescent="0.2">
      <c r="A96" s="1" t="s">
        <v>105</v>
      </c>
      <c r="B96" s="1" t="s">
        <v>12</v>
      </c>
      <c r="C96" s="1" t="s">
        <v>17</v>
      </c>
      <c r="D96" s="1">
        <v>20</v>
      </c>
      <c r="E96" s="1">
        <v>5.52</v>
      </c>
      <c r="F96" s="1">
        <v>1</v>
      </c>
    </row>
    <row r="97" spans="1:6" x14ac:dyDescent="0.2">
      <c r="A97" s="1" t="s">
        <v>106</v>
      </c>
      <c r="B97" s="1" t="s">
        <v>12</v>
      </c>
      <c r="C97" s="1" t="s">
        <v>17</v>
      </c>
      <c r="D97" s="1">
        <v>23</v>
      </c>
      <c r="E97" s="1">
        <v>7</v>
      </c>
      <c r="F97" s="1">
        <v>1</v>
      </c>
    </row>
    <row r="98" spans="1:6" x14ac:dyDescent="0.2">
      <c r="A98" s="1" t="s">
        <v>107</v>
      </c>
      <c r="B98" s="1" t="s">
        <v>31</v>
      </c>
      <c r="C98" s="1" t="s">
        <v>8</v>
      </c>
      <c r="D98" s="1">
        <v>23</v>
      </c>
      <c r="E98" s="1">
        <v>8.6199999999999992</v>
      </c>
      <c r="F98" s="1">
        <v>3</v>
      </c>
    </row>
    <row r="99" spans="1:6" x14ac:dyDescent="0.2">
      <c r="A99" s="1" t="s">
        <v>108</v>
      </c>
      <c r="B99" s="1" t="s">
        <v>12</v>
      </c>
      <c r="C99" s="1" t="s">
        <v>8</v>
      </c>
      <c r="D99" s="1">
        <v>20</v>
      </c>
      <c r="E99" s="1">
        <v>6.4</v>
      </c>
      <c r="F99" s="1">
        <v>1</v>
      </c>
    </row>
    <row r="100" spans="1:6" x14ac:dyDescent="0.2">
      <c r="A100" s="1" t="s">
        <v>109</v>
      </c>
      <c r="B100" s="1" t="s">
        <v>10</v>
      </c>
      <c r="C100" s="1" t="s">
        <v>8</v>
      </c>
      <c r="D100" s="1">
        <v>18</v>
      </c>
      <c r="E100" s="1">
        <v>8.44</v>
      </c>
      <c r="F100" s="1">
        <v>1</v>
      </c>
    </row>
    <row r="101" spans="1:6" x14ac:dyDescent="0.2">
      <c r="A101" s="1" t="s">
        <v>110</v>
      </c>
      <c r="B101" s="1" t="s">
        <v>16</v>
      </c>
      <c r="C101" s="1" t="s">
        <v>17</v>
      </c>
      <c r="D101" s="1">
        <v>23</v>
      </c>
      <c r="E101" s="1">
        <v>5.12</v>
      </c>
      <c r="F101" s="1">
        <v>2</v>
      </c>
    </row>
    <row r="102" spans="1:6" x14ac:dyDescent="0.2">
      <c r="A102" s="1" t="s">
        <v>111</v>
      </c>
      <c r="B102" s="1" t="s">
        <v>16</v>
      </c>
      <c r="C102" s="1" t="s">
        <v>8</v>
      </c>
      <c r="D102" s="1">
        <v>21</v>
      </c>
      <c r="E102" s="1">
        <v>6.53</v>
      </c>
      <c r="F102" s="1">
        <v>3</v>
      </c>
    </row>
    <row r="103" spans="1:6" x14ac:dyDescent="0.2">
      <c r="A103" s="1" t="s">
        <v>112</v>
      </c>
      <c r="B103" s="1" t="s">
        <v>31</v>
      </c>
      <c r="C103" s="1" t="s">
        <v>17</v>
      </c>
      <c r="D103" s="1">
        <v>22</v>
      </c>
      <c r="E103" s="1">
        <v>7.75</v>
      </c>
      <c r="F103" s="1">
        <v>1</v>
      </c>
    </row>
    <row r="104" spans="1:6" x14ac:dyDescent="0.2">
      <c r="A104" s="1" t="s">
        <v>113</v>
      </c>
      <c r="B104" s="1" t="s">
        <v>7</v>
      </c>
      <c r="C104" s="1" t="s">
        <v>17</v>
      </c>
      <c r="D104" s="1">
        <v>22</v>
      </c>
      <c r="E104" s="1">
        <v>8.16</v>
      </c>
      <c r="F104" s="1">
        <v>5</v>
      </c>
    </row>
    <row r="105" spans="1:6" x14ac:dyDescent="0.2">
      <c r="A105" s="1" t="s">
        <v>114</v>
      </c>
      <c r="B105" s="1" t="s">
        <v>31</v>
      </c>
      <c r="C105" s="1" t="s">
        <v>8</v>
      </c>
      <c r="D105" s="1">
        <v>19</v>
      </c>
      <c r="E105" s="1">
        <v>7.89</v>
      </c>
      <c r="F105" s="1">
        <v>1</v>
      </c>
    </row>
    <row r="106" spans="1:6" x14ac:dyDescent="0.2">
      <c r="A106" s="1" t="s">
        <v>115</v>
      </c>
      <c r="B106" s="1" t="s">
        <v>7</v>
      </c>
      <c r="C106" s="1" t="s">
        <v>17</v>
      </c>
      <c r="D106" s="1">
        <v>19</v>
      </c>
      <c r="E106" s="1">
        <v>8.49</v>
      </c>
      <c r="F106" s="1">
        <v>3</v>
      </c>
    </row>
    <row r="107" spans="1:6" x14ac:dyDescent="0.2">
      <c r="A107" s="1" t="s">
        <v>116</v>
      </c>
      <c r="B107" s="1" t="s">
        <v>16</v>
      </c>
      <c r="C107" s="1" t="s">
        <v>17</v>
      </c>
      <c r="D107" s="1">
        <v>22</v>
      </c>
      <c r="E107" s="1">
        <v>5.03</v>
      </c>
      <c r="F107" s="1">
        <v>4</v>
      </c>
    </row>
    <row r="108" spans="1:6" x14ac:dyDescent="0.2">
      <c r="A108" s="1" t="s">
        <v>117</v>
      </c>
      <c r="B108" s="1" t="s">
        <v>31</v>
      </c>
      <c r="C108" s="1" t="s">
        <v>17</v>
      </c>
      <c r="D108" s="1">
        <v>22</v>
      </c>
      <c r="E108" s="1">
        <v>5.5</v>
      </c>
      <c r="F108" s="1">
        <v>3</v>
      </c>
    </row>
    <row r="109" spans="1:6" x14ac:dyDescent="0.2">
      <c r="A109" s="1" t="s">
        <v>118</v>
      </c>
      <c r="B109" s="1" t="s">
        <v>10</v>
      </c>
      <c r="C109" s="1" t="s">
        <v>17</v>
      </c>
      <c r="D109" s="1">
        <v>21</v>
      </c>
      <c r="E109" s="1">
        <v>9.34</v>
      </c>
      <c r="F109" s="1">
        <v>2</v>
      </c>
    </row>
    <row r="110" spans="1:6" x14ac:dyDescent="0.2">
      <c r="A110" s="1" t="s">
        <v>119</v>
      </c>
      <c r="B110" s="1" t="s">
        <v>12</v>
      </c>
      <c r="C110" s="1" t="s">
        <v>17</v>
      </c>
      <c r="D110" s="1">
        <v>20</v>
      </c>
      <c r="E110" s="1">
        <v>8.41</v>
      </c>
      <c r="F110" s="1">
        <v>4</v>
      </c>
    </row>
    <row r="111" spans="1:6" x14ac:dyDescent="0.2">
      <c r="A111" s="1" t="s">
        <v>120</v>
      </c>
      <c r="B111" s="1" t="s">
        <v>7</v>
      </c>
      <c r="C111" s="1" t="s">
        <v>8</v>
      </c>
      <c r="D111" s="1">
        <v>19</v>
      </c>
      <c r="E111" s="1">
        <v>5.56</v>
      </c>
      <c r="F111" s="1">
        <v>5</v>
      </c>
    </row>
    <row r="112" spans="1:6" x14ac:dyDescent="0.2">
      <c r="A112" s="1" t="s">
        <v>121</v>
      </c>
      <c r="B112" s="1" t="s">
        <v>12</v>
      </c>
      <c r="C112" s="1" t="s">
        <v>17</v>
      </c>
      <c r="D112" s="1">
        <v>20</v>
      </c>
      <c r="E112" s="1">
        <v>9.2100000000000009</v>
      </c>
      <c r="F112" s="1">
        <v>0</v>
      </c>
    </row>
    <row r="113" spans="1:6" x14ac:dyDescent="0.2">
      <c r="A113" s="1" t="s">
        <v>122</v>
      </c>
      <c r="B113" s="1" t="s">
        <v>12</v>
      </c>
      <c r="C113" s="1" t="s">
        <v>8</v>
      </c>
      <c r="D113" s="1">
        <v>21</v>
      </c>
      <c r="E113" s="1">
        <v>6.21</v>
      </c>
      <c r="F113" s="1">
        <v>3</v>
      </c>
    </row>
    <row r="114" spans="1:6" x14ac:dyDescent="0.2">
      <c r="A114" s="1" t="s">
        <v>123</v>
      </c>
      <c r="B114" s="1" t="s">
        <v>31</v>
      </c>
      <c r="C114" s="1" t="s">
        <v>8</v>
      </c>
      <c r="D114" s="1">
        <v>22</v>
      </c>
      <c r="E114" s="1">
        <v>7.39</v>
      </c>
      <c r="F114" s="1">
        <v>2</v>
      </c>
    </row>
    <row r="115" spans="1:6" x14ac:dyDescent="0.2">
      <c r="A115" s="1" t="s">
        <v>124</v>
      </c>
      <c r="B115" s="1" t="s">
        <v>12</v>
      </c>
      <c r="C115" s="1" t="s">
        <v>17</v>
      </c>
      <c r="D115" s="1">
        <v>23</v>
      </c>
      <c r="E115" s="1">
        <v>5.73</v>
      </c>
      <c r="F115" s="1">
        <v>5</v>
      </c>
    </row>
    <row r="116" spans="1:6" x14ac:dyDescent="0.2">
      <c r="A116" s="1" t="s">
        <v>125</v>
      </c>
      <c r="B116" s="1" t="s">
        <v>10</v>
      </c>
      <c r="C116" s="1" t="s">
        <v>17</v>
      </c>
      <c r="D116" s="1">
        <v>20</v>
      </c>
      <c r="E116" s="1">
        <v>8.5500000000000007</v>
      </c>
      <c r="F116" s="1">
        <v>4</v>
      </c>
    </row>
    <row r="117" spans="1:6" x14ac:dyDescent="0.2">
      <c r="A117" s="1" t="s">
        <v>126</v>
      </c>
      <c r="B117" s="1" t="s">
        <v>12</v>
      </c>
      <c r="C117" s="1" t="s">
        <v>17</v>
      </c>
      <c r="D117" s="1">
        <v>22</v>
      </c>
      <c r="E117" s="1">
        <v>8.33</v>
      </c>
      <c r="F117" s="1">
        <v>5</v>
      </c>
    </row>
    <row r="118" spans="1:6" x14ac:dyDescent="0.2">
      <c r="A118" s="1" t="s">
        <v>127</v>
      </c>
      <c r="B118" s="1" t="s">
        <v>31</v>
      </c>
      <c r="C118" s="1" t="s">
        <v>8</v>
      </c>
      <c r="D118" s="1">
        <v>22</v>
      </c>
      <c r="E118" s="1">
        <v>6.06</v>
      </c>
      <c r="F118" s="1">
        <v>3</v>
      </c>
    </row>
    <row r="119" spans="1:6" x14ac:dyDescent="0.2">
      <c r="A119" s="1" t="s">
        <v>128</v>
      </c>
      <c r="B119" s="1" t="s">
        <v>10</v>
      </c>
      <c r="C119" s="1" t="s">
        <v>17</v>
      </c>
      <c r="D119" s="1">
        <v>18</v>
      </c>
      <c r="E119" s="1">
        <v>9.32</v>
      </c>
      <c r="F119" s="1">
        <v>1</v>
      </c>
    </row>
    <row r="120" spans="1:6" x14ac:dyDescent="0.2">
      <c r="A120" s="1" t="s">
        <v>129</v>
      </c>
      <c r="B120" s="1" t="s">
        <v>16</v>
      </c>
      <c r="C120" s="1" t="s">
        <v>8</v>
      </c>
      <c r="D120" s="1">
        <v>20</v>
      </c>
      <c r="E120" s="1">
        <v>7.01</v>
      </c>
      <c r="F120" s="1">
        <v>3</v>
      </c>
    </row>
    <row r="121" spans="1:6" x14ac:dyDescent="0.2">
      <c r="A121" s="1" t="s">
        <v>130</v>
      </c>
      <c r="B121" s="1" t="s">
        <v>12</v>
      </c>
      <c r="C121" s="1" t="s">
        <v>17</v>
      </c>
      <c r="D121" s="1">
        <v>23</v>
      </c>
      <c r="E121" s="1">
        <v>6.46</v>
      </c>
      <c r="F121" s="1">
        <v>0</v>
      </c>
    </row>
    <row r="122" spans="1:6" x14ac:dyDescent="0.2">
      <c r="A122" s="1" t="s">
        <v>131</v>
      </c>
      <c r="B122" s="1" t="s">
        <v>31</v>
      </c>
      <c r="C122" s="1" t="s">
        <v>8</v>
      </c>
      <c r="D122" s="1">
        <v>20</v>
      </c>
      <c r="E122" s="1">
        <v>5.76</v>
      </c>
      <c r="F122" s="1">
        <v>3</v>
      </c>
    </row>
    <row r="123" spans="1:6" x14ac:dyDescent="0.2">
      <c r="A123" s="1" t="s">
        <v>132</v>
      </c>
      <c r="B123" s="1" t="s">
        <v>16</v>
      </c>
      <c r="C123" s="1" t="s">
        <v>17</v>
      </c>
      <c r="D123" s="1">
        <v>22</v>
      </c>
      <c r="E123" s="1">
        <v>6.33</v>
      </c>
      <c r="F123" s="1">
        <v>4</v>
      </c>
    </row>
    <row r="124" spans="1:6" x14ac:dyDescent="0.2">
      <c r="A124" s="1" t="s">
        <v>133</v>
      </c>
      <c r="B124" s="1" t="s">
        <v>16</v>
      </c>
      <c r="C124" s="1" t="s">
        <v>17</v>
      </c>
      <c r="D124" s="1">
        <v>23</v>
      </c>
      <c r="E124" s="1">
        <v>5.1100000000000003</v>
      </c>
      <c r="F124" s="1">
        <v>4</v>
      </c>
    </row>
    <row r="125" spans="1:6" x14ac:dyDescent="0.2">
      <c r="A125" s="1" t="s">
        <v>134</v>
      </c>
      <c r="B125" s="1" t="s">
        <v>7</v>
      </c>
      <c r="C125" s="1" t="s">
        <v>8</v>
      </c>
      <c r="D125" s="1">
        <v>21</v>
      </c>
      <c r="E125" s="1">
        <v>7.92</v>
      </c>
      <c r="F125" s="1">
        <v>3</v>
      </c>
    </row>
    <row r="126" spans="1:6" x14ac:dyDescent="0.2">
      <c r="A126" s="1" t="s">
        <v>135</v>
      </c>
      <c r="B126" s="1" t="s">
        <v>10</v>
      </c>
      <c r="C126" s="1" t="s">
        <v>8</v>
      </c>
      <c r="D126" s="1">
        <v>18</v>
      </c>
      <c r="E126" s="1">
        <v>9.2100000000000009</v>
      </c>
      <c r="F126" s="1">
        <v>4</v>
      </c>
    </row>
    <row r="127" spans="1:6" x14ac:dyDescent="0.2">
      <c r="A127" s="1" t="s">
        <v>136</v>
      </c>
      <c r="B127" s="1" t="s">
        <v>12</v>
      </c>
      <c r="C127" s="1" t="s">
        <v>17</v>
      </c>
      <c r="D127" s="1">
        <v>22</v>
      </c>
      <c r="E127" s="1">
        <v>7.74</v>
      </c>
      <c r="F127" s="1">
        <v>1</v>
      </c>
    </row>
    <row r="128" spans="1:6" x14ac:dyDescent="0.2">
      <c r="A128" s="1" t="s">
        <v>137</v>
      </c>
      <c r="B128" s="1" t="s">
        <v>31</v>
      </c>
      <c r="C128" s="1" t="s">
        <v>8</v>
      </c>
      <c r="D128" s="1">
        <v>19</v>
      </c>
      <c r="E128" s="1">
        <v>6.1</v>
      </c>
      <c r="F128" s="1">
        <v>5</v>
      </c>
    </row>
    <row r="129" spans="1:6" x14ac:dyDescent="0.2">
      <c r="A129" s="1" t="s">
        <v>138</v>
      </c>
      <c r="B129" s="1" t="s">
        <v>7</v>
      </c>
      <c r="C129" s="1" t="s">
        <v>17</v>
      </c>
      <c r="D129" s="1">
        <v>19</v>
      </c>
      <c r="E129" s="1">
        <v>5.17</v>
      </c>
      <c r="F129" s="1">
        <v>3</v>
      </c>
    </row>
    <row r="130" spans="1:6" x14ac:dyDescent="0.2">
      <c r="A130" s="1" t="s">
        <v>139</v>
      </c>
      <c r="B130" s="1" t="s">
        <v>10</v>
      </c>
      <c r="C130" s="1" t="s">
        <v>8</v>
      </c>
      <c r="D130" s="1">
        <v>18</v>
      </c>
      <c r="E130" s="1">
        <v>6.07</v>
      </c>
      <c r="F130" s="1">
        <v>1</v>
      </c>
    </row>
    <row r="131" spans="1:6" x14ac:dyDescent="0.2">
      <c r="A131" s="1" t="s">
        <v>140</v>
      </c>
      <c r="B131" s="1" t="s">
        <v>7</v>
      </c>
      <c r="C131" s="1" t="s">
        <v>8</v>
      </c>
      <c r="D131" s="1">
        <v>21</v>
      </c>
      <c r="E131" s="1">
        <v>7.08</v>
      </c>
      <c r="F131" s="1">
        <v>5</v>
      </c>
    </row>
    <row r="132" spans="1:6" x14ac:dyDescent="0.2">
      <c r="A132" s="1" t="s">
        <v>141</v>
      </c>
      <c r="B132" s="1" t="s">
        <v>10</v>
      </c>
      <c r="C132" s="1" t="s">
        <v>17</v>
      </c>
      <c r="D132" s="1">
        <v>22</v>
      </c>
      <c r="E132" s="1">
        <v>8.8000000000000007</v>
      </c>
      <c r="F132" s="1">
        <v>5</v>
      </c>
    </row>
    <row r="133" spans="1:6" x14ac:dyDescent="0.2">
      <c r="A133" s="1" t="s">
        <v>142</v>
      </c>
      <c r="B133" s="1" t="s">
        <v>10</v>
      </c>
      <c r="C133" s="1" t="s">
        <v>17</v>
      </c>
      <c r="D133" s="1">
        <v>20</v>
      </c>
      <c r="E133" s="1">
        <v>5.94</v>
      </c>
      <c r="F133" s="1">
        <v>1</v>
      </c>
    </row>
    <row r="134" spans="1:6" x14ac:dyDescent="0.2">
      <c r="A134" s="1" t="s">
        <v>143</v>
      </c>
      <c r="B134" s="1" t="s">
        <v>12</v>
      </c>
      <c r="C134" s="1" t="s">
        <v>17</v>
      </c>
      <c r="D134" s="1">
        <v>18</v>
      </c>
      <c r="E134" s="1">
        <v>8.6</v>
      </c>
      <c r="F134" s="1">
        <v>2</v>
      </c>
    </row>
    <row r="135" spans="1:6" x14ac:dyDescent="0.2">
      <c r="A135" s="1" t="s">
        <v>144</v>
      </c>
      <c r="B135" s="1" t="s">
        <v>10</v>
      </c>
      <c r="C135" s="1" t="s">
        <v>17</v>
      </c>
      <c r="D135" s="1">
        <v>21</v>
      </c>
      <c r="E135" s="1">
        <v>9.33</v>
      </c>
      <c r="F135" s="1">
        <v>3</v>
      </c>
    </row>
    <row r="136" spans="1:6" x14ac:dyDescent="0.2">
      <c r="A136" s="1" t="s">
        <v>145</v>
      </c>
      <c r="B136" s="1" t="s">
        <v>7</v>
      </c>
      <c r="C136" s="1" t="s">
        <v>8</v>
      </c>
      <c r="D136" s="1">
        <v>20</v>
      </c>
      <c r="E136" s="1">
        <v>7.27</v>
      </c>
      <c r="F136" s="1">
        <v>5</v>
      </c>
    </row>
    <row r="137" spans="1:6" x14ac:dyDescent="0.2">
      <c r="A137" s="1" t="s">
        <v>146</v>
      </c>
      <c r="B137" s="1" t="s">
        <v>10</v>
      </c>
      <c r="C137" s="1" t="s">
        <v>17</v>
      </c>
      <c r="D137" s="1">
        <v>19</v>
      </c>
      <c r="E137" s="1">
        <v>9.11</v>
      </c>
      <c r="F137" s="1">
        <v>5</v>
      </c>
    </row>
    <row r="138" spans="1:6" x14ac:dyDescent="0.2">
      <c r="A138" s="1" t="s">
        <v>147</v>
      </c>
      <c r="B138" s="1" t="s">
        <v>12</v>
      </c>
      <c r="C138" s="1" t="s">
        <v>17</v>
      </c>
      <c r="D138" s="1">
        <v>19</v>
      </c>
      <c r="E138" s="1">
        <v>7.77</v>
      </c>
      <c r="F138" s="1">
        <v>4</v>
      </c>
    </row>
    <row r="139" spans="1:6" x14ac:dyDescent="0.2">
      <c r="A139" s="1" t="s">
        <v>148</v>
      </c>
      <c r="B139" s="1" t="s">
        <v>12</v>
      </c>
      <c r="C139" s="1" t="s">
        <v>8</v>
      </c>
      <c r="D139" s="1">
        <v>20</v>
      </c>
      <c r="E139" s="1">
        <v>8.19</v>
      </c>
      <c r="F139" s="1">
        <v>5</v>
      </c>
    </row>
    <row r="140" spans="1:6" x14ac:dyDescent="0.2">
      <c r="A140" s="1" t="s">
        <v>149</v>
      </c>
      <c r="B140" s="1" t="s">
        <v>7</v>
      </c>
      <c r="C140" s="1" t="s">
        <v>8</v>
      </c>
      <c r="D140" s="1">
        <v>18</v>
      </c>
      <c r="E140" s="1">
        <v>7.63</v>
      </c>
      <c r="F140" s="1">
        <v>1</v>
      </c>
    </row>
    <row r="141" spans="1:6" x14ac:dyDescent="0.2">
      <c r="A141" s="1" t="s">
        <v>150</v>
      </c>
      <c r="B141" s="1" t="s">
        <v>16</v>
      </c>
      <c r="C141" s="1" t="s">
        <v>17</v>
      </c>
      <c r="D141" s="1">
        <v>19</v>
      </c>
      <c r="E141" s="1">
        <v>7.32</v>
      </c>
      <c r="F141" s="1">
        <v>5</v>
      </c>
    </row>
    <row r="142" spans="1:6" x14ac:dyDescent="0.2">
      <c r="A142" s="1" t="s">
        <v>151</v>
      </c>
      <c r="B142" s="1" t="s">
        <v>16</v>
      </c>
      <c r="C142" s="1" t="s">
        <v>17</v>
      </c>
      <c r="D142" s="1">
        <v>22</v>
      </c>
      <c r="E142" s="1">
        <v>6.17</v>
      </c>
      <c r="F142" s="1">
        <v>2</v>
      </c>
    </row>
    <row r="143" spans="1:6" x14ac:dyDescent="0.2">
      <c r="A143" s="1" t="s">
        <v>152</v>
      </c>
      <c r="B143" s="1" t="s">
        <v>10</v>
      </c>
      <c r="C143" s="1" t="s">
        <v>17</v>
      </c>
      <c r="D143" s="1">
        <v>23</v>
      </c>
      <c r="E143" s="1">
        <v>6.52</v>
      </c>
      <c r="F143" s="1">
        <v>3</v>
      </c>
    </row>
    <row r="144" spans="1:6" x14ac:dyDescent="0.2">
      <c r="A144" s="1" t="s">
        <v>153</v>
      </c>
      <c r="B144" s="1" t="s">
        <v>31</v>
      </c>
      <c r="C144" s="1" t="s">
        <v>17</v>
      </c>
      <c r="D144" s="1">
        <v>20</v>
      </c>
      <c r="E144" s="1">
        <v>6.45</v>
      </c>
      <c r="F144" s="1">
        <v>3</v>
      </c>
    </row>
    <row r="145" spans="1:6" x14ac:dyDescent="0.2">
      <c r="A145" s="1" t="s">
        <v>154</v>
      </c>
      <c r="B145" s="1" t="s">
        <v>10</v>
      </c>
      <c r="C145" s="1" t="s">
        <v>8</v>
      </c>
      <c r="D145" s="1">
        <v>20</v>
      </c>
      <c r="E145" s="1">
        <v>7.82</v>
      </c>
      <c r="F145" s="1">
        <v>5</v>
      </c>
    </row>
    <row r="146" spans="1:6" x14ac:dyDescent="0.2">
      <c r="A146" s="1" t="s">
        <v>155</v>
      </c>
      <c r="B146" s="1" t="s">
        <v>7</v>
      </c>
      <c r="C146" s="1" t="s">
        <v>17</v>
      </c>
      <c r="D146" s="1">
        <v>19</v>
      </c>
      <c r="E146" s="1">
        <v>5.6</v>
      </c>
      <c r="F146" s="1">
        <v>0</v>
      </c>
    </row>
    <row r="147" spans="1:6" x14ac:dyDescent="0.2">
      <c r="A147" s="1" t="s">
        <v>156</v>
      </c>
      <c r="B147" s="1" t="s">
        <v>7</v>
      </c>
      <c r="C147" s="1" t="s">
        <v>8</v>
      </c>
      <c r="D147" s="1">
        <v>18</v>
      </c>
      <c r="E147" s="1">
        <v>9.58</v>
      </c>
      <c r="F147" s="1">
        <v>0</v>
      </c>
    </row>
    <row r="148" spans="1:6" x14ac:dyDescent="0.2">
      <c r="A148" s="1" t="s">
        <v>157</v>
      </c>
      <c r="B148" s="1" t="s">
        <v>7</v>
      </c>
      <c r="C148" s="1" t="s">
        <v>17</v>
      </c>
      <c r="D148" s="1">
        <v>22</v>
      </c>
      <c r="E148" s="1">
        <v>8.6</v>
      </c>
      <c r="F148" s="1">
        <v>1</v>
      </c>
    </row>
    <row r="149" spans="1:6" x14ac:dyDescent="0.2">
      <c r="A149" s="1" t="s">
        <v>158</v>
      </c>
      <c r="B149" s="1" t="s">
        <v>7</v>
      </c>
      <c r="C149" s="1" t="s">
        <v>8</v>
      </c>
      <c r="D149" s="1">
        <v>18</v>
      </c>
      <c r="E149" s="1">
        <v>7.01</v>
      </c>
      <c r="F149" s="1">
        <v>0</v>
      </c>
    </row>
    <row r="150" spans="1:6" x14ac:dyDescent="0.2">
      <c r="A150" s="1" t="s">
        <v>159</v>
      </c>
      <c r="B150" s="1" t="s">
        <v>7</v>
      </c>
      <c r="C150" s="1" t="s">
        <v>8</v>
      </c>
      <c r="D150" s="1">
        <v>21</v>
      </c>
      <c r="E150" s="1">
        <v>5.79</v>
      </c>
      <c r="F150" s="1">
        <v>1</v>
      </c>
    </row>
    <row r="151" spans="1:6" x14ac:dyDescent="0.2">
      <c r="A151" s="1" t="s">
        <v>160</v>
      </c>
      <c r="B151" s="1" t="s">
        <v>12</v>
      </c>
      <c r="C151" s="1" t="s">
        <v>8</v>
      </c>
      <c r="D151" s="1">
        <v>21</v>
      </c>
      <c r="E151" s="1">
        <v>9.41</v>
      </c>
      <c r="F151" s="1">
        <v>4</v>
      </c>
    </row>
    <row r="152" spans="1:6" x14ac:dyDescent="0.2">
      <c r="A152" s="1" t="s">
        <v>161</v>
      </c>
      <c r="B152" s="1" t="s">
        <v>16</v>
      </c>
      <c r="C152" s="1" t="s">
        <v>17</v>
      </c>
      <c r="D152" s="1">
        <v>23</v>
      </c>
      <c r="E152" s="1">
        <v>9.1199999999999992</v>
      </c>
      <c r="F152" s="1">
        <v>1</v>
      </c>
    </row>
    <row r="153" spans="1:6" x14ac:dyDescent="0.2">
      <c r="A153" s="1" t="s">
        <v>162</v>
      </c>
      <c r="B153" s="1" t="s">
        <v>7</v>
      </c>
      <c r="C153" s="1" t="s">
        <v>17</v>
      </c>
      <c r="D153" s="1">
        <v>19</v>
      </c>
      <c r="E153" s="1">
        <v>8.61</v>
      </c>
      <c r="F153" s="1">
        <v>0</v>
      </c>
    </row>
    <row r="154" spans="1:6" x14ac:dyDescent="0.2">
      <c r="A154" s="1" t="s">
        <v>163</v>
      </c>
      <c r="B154" s="1" t="s">
        <v>31</v>
      </c>
      <c r="C154" s="1" t="s">
        <v>17</v>
      </c>
      <c r="D154" s="1">
        <v>19</v>
      </c>
      <c r="E154" s="1">
        <v>6.36</v>
      </c>
      <c r="F154" s="1">
        <v>5</v>
      </c>
    </row>
    <row r="155" spans="1:6" x14ac:dyDescent="0.2">
      <c r="A155" s="1" t="s">
        <v>164</v>
      </c>
      <c r="B155" s="1" t="s">
        <v>31</v>
      </c>
      <c r="C155" s="1" t="s">
        <v>8</v>
      </c>
      <c r="D155" s="1">
        <v>19</v>
      </c>
      <c r="E155" s="1">
        <v>7.01</v>
      </c>
      <c r="F155" s="1">
        <v>4</v>
      </c>
    </row>
    <row r="156" spans="1:6" x14ac:dyDescent="0.2">
      <c r="A156" s="1" t="s">
        <v>165</v>
      </c>
      <c r="B156" s="1" t="s">
        <v>31</v>
      </c>
      <c r="C156" s="1" t="s">
        <v>8</v>
      </c>
      <c r="D156" s="1">
        <v>23</v>
      </c>
      <c r="E156" s="1">
        <v>5.51</v>
      </c>
      <c r="F156" s="1">
        <v>0</v>
      </c>
    </row>
    <row r="157" spans="1:6" x14ac:dyDescent="0.2">
      <c r="A157" s="1" t="s">
        <v>166</v>
      </c>
      <c r="B157" s="1" t="s">
        <v>31</v>
      </c>
      <c r="C157" s="1" t="s">
        <v>8</v>
      </c>
      <c r="D157" s="1">
        <v>21</v>
      </c>
      <c r="E157" s="1">
        <v>5.95</v>
      </c>
      <c r="F157" s="1">
        <v>1</v>
      </c>
    </row>
    <row r="158" spans="1:6" x14ac:dyDescent="0.2">
      <c r="A158" s="1" t="s">
        <v>167</v>
      </c>
      <c r="B158" s="1" t="s">
        <v>12</v>
      </c>
      <c r="C158" s="1" t="s">
        <v>8</v>
      </c>
      <c r="D158" s="1">
        <v>18</v>
      </c>
      <c r="E158" s="1">
        <v>8.92</v>
      </c>
      <c r="F158" s="1">
        <v>2</v>
      </c>
    </row>
    <row r="159" spans="1:6" x14ac:dyDescent="0.2">
      <c r="A159" s="1" t="s">
        <v>168</v>
      </c>
      <c r="B159" s="1" t="s">
        <v>31</v>
      </c>
      <c r="C159" s="1" t="s">
        <v>8</v>
      </c>
      <c r="D159" s="1">
        <v>23</v>
      </c>
      <c r="E159" s="1">
        <v>8.58</v>
      </c>
      <c r="F159" s="1">
        <v>3</v>
      </c>
    </row>
    <row r="160" spans="1:6" x14ac:dyDescent="0.2">
      <c r="A160" s="1" t="s">
        <v>169</v>
      </c>
      <c r="B160" s="1" t="s">
        <v>7</v>
      </c>
      <c r="C160" s="1" t="s">
        <v>17</v>
      </c>
      <c r="D160" s="1">
        <v>23</v>
      </c>
      <c r="E160" s="1">
        <v>7.97</v>
      </c>
      <c r="F160" s="1">
        <v>0</v>
      </c>
    </row>
    <row r="161" spans="1:6" x14ac:dyDescent="0.2">
      <c r="A161" s="1" t="s">
        <v>170</v>
      </c>
      <c r="B161" s="1" t="s">
        <v>10</v>
      </c>
      <c r="C161" s="1" t="s">
        <v>8</v>
      </c>
      <c r="D161" s="1">
        <v>18</v>
      </c>
      <c r="E161" s="1">
        <v>9.48</v>
      </c>
      <c r="F161" s="1">
        <v>1</v>
      </c>
    </row>
    <row r="162" spans="1:6" x14ac:dyDescent="0.2">
      <c r="A162" s="1" t="s">
        <v>171</v>
      </c>
      <c r="B162" s="1" t="s">
        <v>31</v>
      </c>
      <c r="C162" s="1" t="s">
        <v>17</v>
      </c>
      <c r="D162" s="1">
        <v>19</v>
      </c>
      <c r="E162" s="1">
        <v>7.92</v>
      </c>
      <c r="F162" s="1">
        <v>4</v>
      </c>
    </row>
    <row r="163" spans="1:6" x14ac:dyDescent="0.2">
      <c r="A163" s="1" t="s">
        <v>172</v>
      </c>
      <c r="B163" s="1" t="s">
        <v>12</v>
      </c>
      <c r="C163" s="1" t="s">
        <v>17</v>
      </c>
      <c r="D163" s="1">
        <v>22</v>
      </c>
      <c r="E163" s="1">
        <v>7.33</v>
      </c>
      <c r="F163" s="1">
        <v>0</v>
      </c>
    </row>
    <row r="164" spans="1:6" x14ac:dyDescent="0.2">
      <c r="A164" s="1" t="s">
        <v>173</v>
      </c>
      <c r="B164" s="1" t="s">
        <v>12</v>
      </c>
      <c r="C164" s="1" t="s">
        <v>17</v>
      </c>
      <c r="D164" s="1">
        <v>18</v>
      </c>
      <c r="E164" s="1">
        <v>6.7</v>
      </c>
      <c r="F164" s="1">
        <v>0</v>
      </c>
    </row>
    <row r="165" spans="1:6" x14ac:dyDescent="0.2">
      <c r="A165" s="1" t="s">
        <v>174</v>
      </c>
      <c r="B165" s="1" t="s">
        <v>31</v>
      </c>
      <c r="C165" s="1" t="s">
        <v>17</v>
      </c>
      <c r="D165" s="1">
        <v>21</v>
      </c>
      <c r="E165" s="1">
        <v>9.6999999999999993</v>
      </c>
      <c r="F165" s="1">
        <v>3</v>
      </c>
    </row>
    <row r="166" spans="1:6" x14ac:dyDescent="0.2">
      <c r="A166" s="1" t="s">
        <v>175</v>
      </c>
      <c r="B166" s="1" t="s">
        <v>10</v>
      </c>
      <c r="C166" s="1" t="s">
        <v>17</v>
      </c>
      <c r="D166" s="1">
        <v>20</v>
      </c>
      <c r="E166" s="1">
        <v>5.41</v>
      </c>
      <c r="F166" s="1">
        <v>1</v>
      </c>
    </row>
    <row r="167" spans="1:6" x14ac:dyDescent="0.2">
      <c r="A167" s="1" t="s">
        <v>176</v>
      </c>
      <c r="B167" s="1" t="s">
        <v>31</v>
      </c>
      <c r="C167" s="1" t="s">
        <v>8</v>
      </c>
      <c r="D167" s="1">
        <v>20</v>
      </c>
      <c r="E167" s="1">
        <v>9.65</v>
      </c>
      <c r="F167" s="1">
        <v>2</v>
      </c>
    </row>
    <row r="168" spans="1:6" x14ac:dyDescent="0.2">
      <c r="A168" s="1" t="s">
        <v>177</v>
      </c>
      <c r="B168" s="1" t="s">
        <v>12</v>
      </c>
      <c r="C168" s="1" t="s">
        <v>17</v>
      </c>
      <c r="D168" s="1">
        <v>23</v>
      </c>
      <c r="E168" s="1">
        <v>9.1300000000000008</v>
      </c>
      <c r="F168" s="1">
        <v>4</v>
      </c>
    </row>
    <row r="169" spans="1:6" x14ac:dyDescent="0.2">
      <c r="A169" s="1" t="s">
        <v>178</v>
      </c>
      <c r="B169" s="1" t="s">
        <v>16</v>
      </c>
      <c r="C169" s="1" t="s">
        <v>8</v>
      </c>
      <c r="D169" s="1">
        <v>20</v>
      </c>
      <c r="E169" s="1">
        <v>5.65</v>
      </c>
      <c r="F169" s="1">
        <v>1</v>
      </c>
    </row>
    <row r="170" spans="1:6" x14ac:dyDescent="0.2">
      <c r="A170" s="1" t="s">
        <v>179</v>
      </c>
      <c r="B170" s="1" t="s">
        <v>7</v>
      </c>
      <c r="C170" s="1" t="s">
        <v>17</v>
      </c>
      <c r="D170" s="1">
        <v>22</v>
      </c>
      <c r="E170" s="1">
        <v>7.82</v>
      </c>
      <c r="F170" s="1">
        <v>4</v>
      </c>
    </row>
    <row r="171" spans="1:6" x14ac:dyDescent="0.2">
      <c r="A171" s="1" t="s">
        <v>180</v>
      </c>
      <c r="B171" s="1" t="s">
        <v>12</v>
      </c>
      <c r="C171" s="1" t="s">
        <v>17</v>
      </c>
      <c r="D171" s="1">
        <v>19</v>
      </c>
      <c r="E171" s="1">
        <v>9.33</v>
      </c>
      <c r="F171" s="1">
        <v>0</v>
      </c>
    </row>
    <row r="172" spans="1:6" x14ac:dyDescent="0.2">
      <c r="A172" s="1" t="s">
        <v>181</v>
      </c>
      <c r="B172" s="1" t="s">
        <v>31</v>
      </c>
      <c r="C172" s="1" t="s">
        <v>17</v>
      </c>
      <c r="D172" s="1">
        <v>21</v>
      </c>
      <c r="E172" s="1">
        <v>7.86</v>
      </c>
      <c r="F172" s="1">
        <v>3</v>
      </c>
    </row>
    <row r="173" spans="1:6" x14ac:dyDescent="0.2">
      <c r="A173" s="1" t="s">
        <v>182</v>
      </c>
      <c r="B173" s="1" t="s">
        <v>7</v>
      </c>
      <c r="C173" s="1" t="s">
        <v>17</v>
      </c>
      <c r="D173" s="1">
        <v>22</v>
      </c>
      <c r="E173" s="1">
        <v>9.5399999999999991</v>
      </c>
      <c r="F173" s="1">
        <v>3</v>
      </c>
    </row>
    <row r="174" spans="1:6" x14ac:dyDescent="0.2">
      <c r="A174" s="1" t="s">
        <v>183</v>
      </c>
      <c r="B174" s="1" t="s">
        <v>31</v>
      </c>
      <c r="C174" s="1" t="s">
        <v>8</v>
      </c>
      <c r="D174" s="1">
        <v>21</v>
      </c>
      <c r="E174" s="1">
        <v>9.7100000000000009</v>
      </c>
      <c r="F174" s="1">
        <v>5</v>
      </c>
    </row>
    <row r="175" spans="1:6" x14ac:dyDescent="0.2">
      <c r="A175" s="1" t="s">
        <v>184</v>
      </c>
      <c r="B175" s="1" t="s">
        <v>31</v>
      </c>
      <c r="C175" s="1" t="s">
        <v>17</v>
      </c>
      <c r="D175" s="1">
        <v>21</v>
      </c>
      <c r="E175" s="1">
        <v>7.11</v>
      </c>
      <c r="F175" s="1">
        <v>2</v>
      </c>
    </row>
    <row r="176" spans="1:6" x14ac:dyDescent="0.2">
      <c r="A176" s="1" t="s">
        <v>185</v>
      </c>
      <c r="B176" s="1" t="s">
        <v>16</v>
      </c>
      <c r="C176" s="1" t="s">
        <v>8</v>
      </c>
      <c r="D176" s="1">
        <v>19</v>
      </c>
      <c r="E176" s="1">
        <v>6.89</v>
      </c>
      <c r="F176" s="1">
        <v>3</v>
      </c>
    </row>
    <row r="177" spans="1:6" x14ac:dyDescent="0.2">
      <c r="A177" s="1" t="s">
        <v>186</v>
      </c>
      <c r="B177" s="1" t="s">
        <v>7</v>
      </c>
      <c r="C177" s="1" t="s">
        <v>17</v>
      </c>
      <c r="D177" s="1">
        <v>23</v>
      </c>
      <c r="E177" s="1">
        <v>9.68</v>
      </c>
      <c r="F177" s="1">
        <v>0</v>
      </c>
    </row>
    <row r="178" spans="1:6" x14ac:dyDescent="0.2">
      <c r="A178" s="1" t="s">
        <v>187</v>
      </c>
      <c r="B178" s="1" t="s">
        <v>7</v>
      </c>
      <c r="C178" s="1" t="s">
        <v>8</v>
      </c>
      <c r="D178" s="1">
        <v>20</v>
      </c>
      <c r="E178" s="1">
        <v>8.3800000000000008</v>
      </c>
      <c r="F178" s="1">
        <v>2</v>
      </c>
    </row>
    <row r="179" spans="1:6" x14ac:dyDescent="0.2">
      <c r="A179" s="1" t="s">
        <v>188</v>
      </c>
      <c r="B179" s="1" t="s">
        <v>16</v>
      </c>
      <c r="C179" s="1" t="s">
        <v>8</v>
      </c>
      <c r="D179" s="1">
        <v>19</v>
      </c>
      <c r="E179" s="1">
        <v>5.58</v>
      </c>
      <c r="F179" s="1">
        <v>1</v>
      </c>
    </row>
    <row r="180" spans="1:6" x14ac:dyDescent="0.2">
      <c r="A180" s="1" t="s">
        <v>189</v>
      </c>
      <c r="B180" s="1" t="s">
        <v>12</v>
      </c>
      <c r="C180" s="1" t="s">
        <v>8</v>
      </c>
      <c r="D180" s="1">
        <v>22</v>
      </c>
      <c r="E180" s="1">
        <v>5.21</v>
      </c>
      <c r="F180" s="1">
        <v>3</v>
      </c>
    </row>
    <row r="181" spans="1:6" x14ac:dyDescent="0.2">
      <c r="A181" s="1" t="s">
        <v>190</v>
      </c>
      <c r="B181" s="1" t="s">
        <v>31</v>
      </c>
      <c r="C181" s="1" t="s">
        <v>17</v>
      </c>
      <c r="D181" s="1">
        <v>23</v>
      </c>
      <c r="E181" s="1">
        <v>7.82</v>
      </c>
      <c r="F181" s="1">
        <v>2</v>
      </c>
    </row>
    <row r="182" spans="1:6" x14ac:dyDescent="0.2">
      <c r="A182" s="1" t="s">
        <v>191</v>
      </c>
      <c r="B182" s="1" t="s">
        <v>10</v>
      </c>
      <c r="C182" s="1" t="s">
        <v>17</v>
      </c>
      <c r="D182" s="1">
        <v>22</v>
      </c>
      <c r="E182" s="1">
        <v>9.65</v>
      </c>
      <c r="F182" s="1">
        <v>0</v>
      </c>
    </row>
    <row r="183" spans="1:6" x14ac:dyDescent="0.2">
      <c r="A183" s="1" t="s">
        <v>192</v>
      </c>
      <c r="B183" s="1" t="s">
        <v>31</v>
      </c>
      <c r="C183" s="1" t="s">
        <v>17</v>
      </c>
      <c r="D183" s="1">
        <v>23</v>
      </c>
      <c r="E183" s="1">
        <v>9.2200000000000006</v>
      </c>
      <c r="F183" s="1">
        <v>5</v>
      </c>
    </row>
    <row r="184" spans="1:6" x14ac:dyDescent="0.2">
      <c r="A184" s="1" t="s">
        <v>193</v>
      </c>
      <c r="B184" s="1" t="s">
        <v>31</v>
      </c>
      <c r="C184" s="1" t="s">
        <v>8</v>
      </c>
      <c r="D184" s="1">
        <v>22</v>
      </c>
      <c r="E184" s="1">
        <v>8.3800000000000008</v>
      </c>
      <c r="F184" s="1">
        <v>4</v>
      </c>
    </row>
    <row r="185" spans="1:6" x14ac:dyDescent="0.2">
      <c r="A185" s="1" t="s">
        <v>194</v>
      </c>
      <c r="B185" s="1" t="s">
        <v>12</v>
      </c>
      <c r="C185" s="1" t="s">
        <v>17</v>
      </c>
      <c r="D185" s="1">
        <v>19</v>
      </c>
      <c r="E185" s="1">
        <v>5.7</v>
      </c>
      <c r="F185" s="1">
        <v>4</v>
      </c>
    </row>
    <row r="186" spans="1:6" x14ac:dyDescent="0.2">
      <c r="A186" s="1" t="s">
        <v>195</v>
      </c>
      <c r="B186" s="1" t="s">
        <v>31</v>
      </c>
      <c r="C186" s="1" t="s">
        <v>17</v>
      </c>
      <c r="D186" s="1">
        <v>23</v>
      </c>
      <c r="E186" s="1">
        <v>6.27</v>
      </c>
      <c r="F186" s="1">
        <v>0</v>
      </c>
    </row>
    <row r="187" spans="1:6" x14ac:dyDescent="0.2">
      <c r="A187" s="1" t="s">
        <v>196</v>
      </c>
      <c r="B187" s="1" t="s">
        <v>16</v>
      </c>
      <c r="C187" s="1" t="s">
        <v>8</v>
      </c>
      <c r="D187" s="1">
        <v>23</v>
      </c>
      <c r="E187" s="1">
        <v>9.3800000000000008</v>
      </c>
      <c r="F187" s="1">
        <v>0</v>
      </c>
    </row>
    <row r="188" spans="1:6" x14ac:dyDescent="0.2">
      <c r="A188" s="1" t="s">
        <v>197</v>
      </c>
      <c r="B188" s="1" t="s">
        <v>16</v>
      </c>
      <c r="C188" s="1" t="s">
        <v>17</v>
      </c>
      <c r="D188" s="1">
        <v>21</v>
      </c>
      <c r="E188" s="1">
        <v>5.91</v>
      </c>
      <c r="F188" s="1">
        <v>4</v>
      </c>
    </row>
    <row r="189" spans="1:6" x14ac:dyDescent="0.2">
      <c r="A189" s="1" t="s">
        <v>198</v>
      </c>
      <c r="B189" s="1" t="s">
        <v>7</v>
      </c>
      <c r="C189" s="1" t="s">
        <v>8</v>
      </c>
      <c r="D189" s="1">
        <v>21</v>
      </c>
      <c r="E189" s="1">
        <v>6.39</v>
      </c>
      <c r="F189" s="1">
        <v>5</v>
      </c>
    </row>
    <row r="190" spans="1:6" x14ac:dyDescent="0.2">
      <c r="A190" s="1" t="s">
        <v>199</v>
      </c>
      <c r="B190" s="1" t="s">
        <v>10</v>
      </c>
      <c r="C190" s="1" t="s">
        <v>17</v>
      </c>
      <c r="D190" s="1">
        <v>18</v>
      </c>
      <c r="E190" s="1">
        <v>5.65</v>
      </c>
      <c r="F190" s="1">
        <v>2</v>
      </c>
    </row>
    <row r="191" spans="1:6" x14ac:dyDescent="0.2">
      <c r="A191" s="1" t="s">
        <v>200</v>
      </c>
      <c r="B191" s="1" t="s">
        <v>31</v>
      </c>
      <c r="C191" s="1" t="s">
        <v>17</v>
      </c>
      <c r="D191" s="1">
        <v>22</v>
      </c>
      <c r="E191" s="1">
        <v>8.3800000000000008</v>
      </c>
      <c r="F191" s="1">
        <v>4</v>
      </c>
    </row>
    <row r="192" spans="1:6" x14ac:dyDescent="0.2">
      <c r="A192" s="1" t="s">
        <v>201</v>
      </c>
      <c r="B192" s="1" t="s">
        <v>31</v>
      </c>
      <c r="C192" s="1" t="s">
        <v>8</v>
      </c>
      <c r="D192" s="1">
        <v>21</v>
      </c>
      <c r="E192" s="1">
        <v>9.7200000000000006</v>
      </c>
      <c r="F192" s="1">
        <v>0</v>
      </c>
    </row>
    <row r="193" spans="1:6" x14ac:dyDescent="0.2">
      <c r="A193" s="1" t="s">
        <v>202</v>
      </c>
      <c r="B193" s="1" t="s">
        <v>12</v>
      </c>
      <c r="C193" s="1" t="s">
        <v>17</v>
      </c>
      <c r="D193" s="1">
        <v>18</v>
      </c>
      <c r="E193" s="1">
        <v>6.34</v>
      </c>
      <c r="F193" s="1">
        <v>3</v>
      </c>
    </row>
    <row r="194" spans="1:6" x14ac:dyDescent="0.2">
      <c r="A194" s="1" t="s">
        <v>203</v>
      </c>
      <c r="B194" s="1" t="s">
        <v>16</v>
      </c>
      <c r="C194" s="1" t="s">
        <v>8</v>
      </c>
      <c r="D194" s="1">
        <v>21</v>
      </c>
      <c r="E194" s="1">
        <v>7.38</v>
      </c>
      <c r="F194" s="1">
        <v>1</v>
      </c>
    </row>
    <row r="195" spans="1:6" x14ac:dyDescent="0.2">
      <c r="A195" s="1" t="s">
        <v>204</v>
      </c>
      <c r="B195" s="1" t="s">
        <v>10</v>
      </c>
      <c r="C195" s="1" t="s">
        <v>17</v>
      </c>
      <c r="D195" s="1">
        <v>22</v>
      </c>
      <c r="E195" s="1">
        <v>8.17</v>
      </c>
      <c r="F195" s="1">
        <v>5</v>
      </c>
    </row>
    <row r="196" spans="1:6" x14ac:dyDescent="0.2">
      <c r="A196" s="1" t="s">
        <v>205</v>
      </c>
      <c r="B196" s="1" t="s">
        <v>7</v>
      </c>
      <c r="C196" s="1" t="s">
        <v>17</v>
      </c>
      <c r="D196" s="1">
        <v>23</v>
      </c>
      <c r="E196" s="1">
        <v>10</v>
      </c>
      <c r="F196" s="1">
        <v>5</v>
      </c>
    </row>
    <row r="197" spans="1:6" x14ac:dyDescent="0.2">
      <c r="A197" s="1" t="s">
        <v>206</v>
      </c>
      <c r="B197" s="1" t="s">
        <v>16</v>
      </c>
      <c r="C197" s="1" t="s">
        <v>8</v>
      </c>
      <c r="D197" s="1">
        <v>20</v>
      </c>
      <c r="E197" s="1">
        <v>5.52</v>
      </c>
      <c r="F197" s="1">
        <v>3</v>
      </c>
    </row>
    <row r="198" spans="1:6" x14ac:dyDescent="0.2">
      <c r="A198" s="1" t="s">
        <v>207</v>
      </c>
      <c r="B198" s="1" t="s">
        <v>7</v>
      </c>
      <c r="C198" s="1" t="s">
        <v>8</v>
      </c>
      <c r="D198" s="1">
        <v>22</v>
      </c>
      <c r="E198" s="1">
        <v>7.49</v>
      </c>
      <c r="F198" s="1">
        <v>3</v>
      </c>
    </row>
    <row r="199" spans="1:6" x14ac:dyDescent="0.2">
      <c r="A199" s="1" t="s">
        <v>208</v>
      </c>
      <c r="B199" s="1" t="s">
        <v>12</v>
      </c>
      <c r="C199" s="1" t="s">
        <v>8</v>
      </c>
      <c r="D199" s="1">
        <v>19</v>
      </c>
      <c r="E199" s="1">
        <v>6.93</v>
      </c>
      <c r="F199" s="1">
        <v>0</v>
      </c>
    </row>
    <row r="200" spans="1:6" x14ac:dyDescent="0.2">
      <c r="A200" s="1" t="s">
        <v>209</v>
      </c>
      <c r="B200" s="1" t="s">
        <v>12</v>
      </c>
      <c r="C200" s="1" t="s">
        <v>17</v>
      </c>
      <c r="D200" s="1">
        <v>21</v>
      </c>
      <c r="E200" s="1">
        <v>9.33</v>
      </c>
      <c r="F200" s="1">
        <v>4</v>
      </c>
    </row>
    <row r="201" spans="1:6" x14ac:dyDescent="0.2">
      <c r="A201" s="1" t="s">
        <v>210</v>
      </c>
      <c r="B201" s="1" t="s">
        <v>31</v>
      </c>
      <c r="C201" s="1" t="s">
        <v>8</v>
      </c>
      <c r="D201" s="1">
        <v>21</v>
      </c>
      <c r="E201" s="1">
        <v>7.38</v>
      </c>
      <c r="F201" s="1">
        <v>2</v>
      </c>
    </row>
    <row r="202" spans="1:6" x14ac:dyDescent="0.2">
      <c r="A202" s="1" t="s">
        <v>211</v>
      </c>
      <c r="B202" s="1" t="s">
        <v>10</v>
      </c>
      <c r="C202" s="1" t="s">
        <v>17</v>
      </c>
      <c r="D202" s="1">
        <v>23</v>
      </c>
      <c r="E202" s="1">
        <v>5.55</v>
      </c>
      <c r="F202" s="1">
        <v>5</v>
      </c>
    </row>
    <row r="203" spans="1:6" x14ac:dyDescent="0.2">
      <c r="A203" s="1" t="s">
        <v>212</v>
      </c>
      <c r="B203" s="1" t="s">
        <v>7</v>
      </c>
      <c r="C203" s="1" t="s">
        <v>17</v>
      </c>
      <c r="D203" s="1">
        <v>19</v>
      </c>
      <c r="E203" s="1">
        <v>8.17</v>
      </c>
      <c r="F203" s="1">
        <v>5</v>
      </c>
    </row>
    <row r="204" spans="1:6" x14ac:dyDescent="0.2">
      <c r="A204" s="1" t="s">
        <v>213</v>
      </c>
      <c r="B204" s="1" t="s">
        <v>16</v>
      </c>
      <c r="C204" s="1" t="s">
        <v>8</v>
      </c>
      <c r="D204" s="1">
        <v>23</v>
      </c>
      <c r="E204" s="1">
        <v>8.85</v>
      </c>
      <c r="F204" s="1">
        <v>3</v>
      </c>
    </row>
    <row r="205" spans="1:6" x14ac:dyDescent="0.2">
      <c r="A205" s="1" t="s">
        <v>214</v>
      </c>
      <c r="B205" s="1" t="s">
        <v>12</v>
      </c>
      <c r="C205" s="1" t="s">
        <v>17</v>
      </c>
      <c r="D205" s="1">
        <v>19</v>
      </c>
      <c r="E205" s="1">
        <v>5.01</v>
      </c>
      <c r="F205" s="1">
        <v>4</v>
      </c>
    </row>
    <row r="206" spans="1:6" x14ac:dyDescent="0.2">
      <c r="A206" s="1" t="s">
        <v>215</v>
      </c>
      <c r="B206" s="1" t="s">
        <v>31</v>
      </c>
      <c r="C206" s="1" t="s">
        <v>8</v>
      </c>
      <c r="D206" s="1">
        <v>20</v>
      </c>
      <c r="E206" s="1">
        <v>9.2899999999999991</v>
      </c>
      <c r="F206" s="1">
        <v>5</v>
      </c>
    </row>
    <row r="207" spans="1:6" x14ac:dyDescent="0.2">
      <c r="A207" s="1" t="s">
        <v>216</v>
      </c>
      <c r="B207" s="1" t="s">
        <v>31</v>
      </c>
      <c r="C207" s="1" t="s">
        <v>17</v>
      </c>
      <c r="D207" s="1">
        <v>21</v>
      </c>
      <c r="E207" s="1">
        <v>5.93</v>
      </c>
      <c r="F207" s="1">
        <v>2</v>
      </c>
    </row>
    <row r="208" spans="1:6" x14ac:dyDescent="0.2">
      <c r="A208" s="1" t="s">
        <v>217</v>
      </c>
      <c r="B208" s="1" t="s">
        <v>7</v>
      </c>
      <c r="C208" s="1" t="s">
        <v>17</v>
      </c>
      <c r="D208" s="1">
        <v>21</v>
      </c>
      <c r="E208" s="1">
        <v>7.76</v>
      </c>
      <c r="F208" s="1">
        <v>3</v>
      </c>
    </row>
    <row r="209" spans="1:6" x14ac:dyDescent="0.2">
      <c r="A209" s="1" t="s">
        <v>218</v>
      </c>
      <c r="B209" s="1" t="s">
        <v>12</v>
      </c>
      <c r="C209" s="1" t="s">
        <v>17</v>
      </c>
      <c r="D209" s="1">
        <v>20</v>
      </c>
      <c r="E209" s="1">
        <v>7.08</v>
      </c>
      <c r="F209" s="1">
        <v>2</v>
      </c>
    </row>
    <row r="210" spans="1:6" x14ac:dyDescent="0.2">
      <c r="A210" s="1" t="s">
        <v>219</v>
      </c>
      <c r="B210" s="1" t="s">
        <v>10</v>
      </c>
      <c r="C210" s="1" t="s">
        <v>8</v>
      </c>
      <c r="D210" s="1">
        <v>18</v>
      </c>
      <c r="E210" s="1">
        <v>8.6</v>
      </c>
      <c r="F210" s="1">
        <v>4</v>
      </c>
    </row>
    <row r="211" spans="1:6" x14ac:dyDescent="0.2">
      <c r="A211" s="1" t="s">
        <v>220</v>
      </c>
      <c r="B211" s="1" t="s">
        <v>12</v>
      </c>
      <c r="C211" s="1" t="s">
        <v>8</v>
      </c>
      <c r="D211" s="1">
        <v>23</v>
      </c>
      <c r="E211" s="1">
        <v>6.86</v>
      </c>
      <c r="F211" s="1">
        <v>5</v>
      </c>
    </row>
    <row r="212" spans="1:6" x14ac:dyDescent="0.2">
      <c r="A212" s="1" t="s">
        <v>221</v>
      </c>
      <c r="B212" s="1" t="s">
        <v>7</v>
      </c>
      <c r="C212" s="1" t="s">
        <v>8</v>
      </c>
      <c r="D212" s="1">
        <v>20</v>
      </c>
      <c r="E212" s="1">
        <v>9.35</v>
      </c>
      <c r="F212" s="1">
        <v>1</v>
      </c>
    </row>
    <row r="213" spans="1:6" x14ac:dyDescent="0.2">
      <c r="A213" s="1" t="s">
        <v>222</v>
      </c>
      <c r="B213" s="1" t="s">
        <v>7</v>
      </c>
      <c r="C213" s="1" t="s">
        <v>8</v>
      </c>
      <c r="D213" s="1">
        <v>23</v>
      </c>
      <c r="E213" s="1">
        <v>8.65</v>
      </c>
      <c r="F213" s="1">
        <v>5</v>
      </c>
    </row>
    <row r="214" spans="1:6" x14ac:dyDescent="0.2">
      <c r="A214" s="1" t="s">
        <v>223</v>
      </c>
      <c r="B214" s="1" t="s">
        <v>12</v>
      </c>
      <c r="C214" s="1" t="s">
        <v>8</v>
      </c>
      <c r="D214" s="1">
        <v>22</v>
      </c>
      <c r="E214" s="1">
        <v>8.24</v>
      </c>
      <c r="F214" s="1">
        <v>4</v>
      </c>
    </row>
    <row r="215" spans="1:6" x14ac:dyDescent="0.2">
      <c r="A215" s="1" t="s">
        <v>224</v>
      </c>
      <c r="B215" s="1" t="s">
        <v>7</v>
      </c>
      <c r="C215" s="1" t="s">
        <v>8</v>
      </c>
      <c r="D215" s="1">
        <v>21</v>
      </c>
      <c r="E215" s="1">
        <v>8.98</v>
      </c>
      <c r="F215" s="1">
        <v>5</v>
      </c>
    </row>
    <row r="216" spans="1:6" x14ac:dyDescent="0.2">
      <c r="A216" s="1" t="s">
        <v>225</v>
      </c>
      <c r="B216" s="1" t="s">
        <v>12</v>
      </c>
      <c r="C216" s="1" t="s">
        <v>17</v>
      </c>
      <c r="D216" s="1">
        <v>23</v>
      </c>
      <c r="E216" s="1">
        <v>8.77</v>
      </c>
      <c r="F216" s="1">
        <v>5</v>
      </c>
    </row>
    <row r="217" spans="1:6" x14ac:dyDescent="0.2">
      <c r="A217" s="1" t="s">
        <v>226</v>
      </c>
      <c r="B217" s="1" t="s">
        <v>16</v>
      </c>
      <c r="C217" s="1" t="s">
        <v>17</v>
      </c>
      <c r="D217" s="1">
        <v>19</v>
      </c>
      <c r="E217" s="1">
        <v>5.18</v>
      </c>
      <c r="F217" s="1">
        <v>0</v>
      </c>
    </row>
    <row r="218" spans="1:6" x14ac:dyDescent="0.2">
      <c r="A218" s="1" t="s">
        <v>227</v>
      </c>
      <c r="B218" s="1" t="s">
        <v>12</v>
      </c>
      <c r="C218" s="1" t="s">
        <v>17</v>
      </c>
      <c r="D218" s="1">
        <v>23</v>
      </c>
      <c r="E218" s="1">
        <v>6.97</v>
      </c>
      <c r="F218" s="1">
        <v>5</v>
      </c>
    </row>
    <row r="219" spans="1:6" x14ac:dyDescent="0.2">
      <c r="A219" s="1" t="s">
        <v>228</v>
      </c>
      <c r="B219" s="1" t="s">
        <v>12</v>
      </c>
      <c r="C219" s="1" t="s">
        <v>8</v>
      </c>
      <c r="D219" s="1">
        <v>22</v>
      </c>
      <c r="E219" s="1">
        <v>9.65</v>
      </c>
      <c r="F219" s="1">
        <v>5</v>
      </c>
    </row>
    <row r="220" spans="1:6" x14ac:dyDescent="0.2">
      <c r="A220" s="1" t="s">
        <v>229</v>
      </c>
      <c r="B220" s="1" t="s">
        <v>7</v>
      </c>
      <c r="C220" s="1" t="s">
        <v>8</v>
      </c>
      <c r="D220" s="1">
        <v>21</v>
      </c>
      <c r="E220" s="1">
        <v>5.63</v>
      </c>
      <c r="F220" s="1">
        <v>2</v>
      </c>
    </row>
    <row r="221" spans="1:6" x14ac:dyDescent="0.2">
      <c r="A221" s="1" t="s">
        <v>230</v>
      </c>
      <c r="B221" s="1" t="s">
        <v>7</v>
      </c>
      <c r="C221" s="1" t="s">
        <v>17</v>
      </c>
      <c r="D221" s="1">
        <v>20</v>
      </c>
      <c r="E221" s="1">
        <v>8.69</v>
      </c>
      <c r="F221" s="1">
        <v>1</v>
      </c>
    </row>
    <row r="222" spans="1:6" x14ac:dyDescent="0.2">
      <c r="A222" s="1" t="s">
        <v>231</v>
      </c>
      <c r="B222" s="1" t="s">
        <v>31</v>
      </c>
      <c r="C222" s="1" t="s">
        <v>8</v>
      </c>
      <c r="D222" s="1">
        <v>22</v>
      </c>
      <c r="E222" s="1">
        <v>9.8699999999999992</v>
      </c>
      <c r="F222" s="1">
        <v>2</v>
      </c>
    </row>
    <row r="223" spans="1:6" x14ac:dyDescent="0.2">
      <c r="A223" s="1" t="s">
        <v>232</v>
      </c>
      <c r="B223" s="1" t="s">
        <v>31</v>
      </c>
      <c r="C223" s="1" t="s">
        <v>8</v>
      </c>
      <c r="D223" s="1">
        <v>21</v>
      </c>
      <c r="E223" s="1">
        <v>5.26</v>
      </c>
      <c r="F223" s="1">
        <v>2</v>
      </c>
    </row>
    <row r="224" spans="1:6" x14ac:dyDescent="0.2">
      <c r="A224" s="1" t="s">
        <v>233</v>
      </c>
      <c r="B224" s="1" t="s">
        <v>16</v>
      </c>
      <c r="C224" s="1" t="s">
        <v>17</v>
      </c>
      <c r="D224" s="1">
        <v>23</v>
      </c>
      <c r="E224" s="1">
        <v>8.41</v>
      </c>
      <c r="F224" s="1">
        <v>3</v>
      </c>
    </row>
    <row r="225" spans="1:6" x14ac:dyDescent="0.2">
      <c r="A225" s="1" t="s">
        <v>234</v>
      </c>
      <c r="B225" s="1" t="s">
        <v>31</v>
      </c>
      <c r="C225" s="1" t="s">
        <v>8</v>
      </c>
      <c r="D225" s="1">
        <v>18</v>
      </c>
      <c r="E225" s="1">
        <v>7.34</v>
      </c>
      <c r="F225" s="1">
        <v>0</v>
      </c>
    </row>
    <row r="226" spans="1:6" x14ac:dyDescent="0.2">
      <c r="A226" s="1" t="s">
        <v>235</v>
      </c>
      <c r="B226" s="1" t="s">
        <v>12</v>
      </c>
      <c r="C226" s="1" t="s">
        <v>8</v>
      </c>
      <c r="D226" s="1">
        <v>18</v>
      </c>
      <c r="E226" s="1">
        <v>7.9</v>
      </c>
      <c r="F226" s="1">
        <v>2</v>
      </c>
    </row>
    <row r="227" spans="1:6" x14ac:dyDescent="0.2">
      <c r="A227" s="1" t="s">
        <v>236</v>
      </c>
      <c r="B227" s="1" t="s">
        <v>7</v>
      </c>
      <c r="C227" s="1" t="s">
        <v>17</v>
      </c>
      <c r="D227" s="1">
        <v>19</v>
      </c>
      <c r="E227" s="1">
        <v>5.43</v>
      </c>
      <c r="F227" s="1">
        <v>4</v>
      </c>
    </row>
    <row r="228" spans="1:6" x14ac:dyDescent="0.2">
      <c r="A228" s="1" t="s">
        <v>237</v>
      </c>
      <c r="B228" s="1" t="s">
        <v>31</v>
      </c>
      <c r="C228" s="1" t="s">
        <v>8</v>
      </c>
      <c r="D228" s="1">
        <v>21</v>
      </c>
      <c r="E228" s="1">
        <v>5.22</v>
      </c>
      <c r="F228" s="1">
        <v>4</v>
      </c>
    </row>
    <row r="229" spans="1:6" x14ac:dyDescent="0.2">
      <c r="A229" s="1" t="s">
        <v>238</v>
      </c>
      <c r="B229" s="1" t="s">
        <v>31</v>
      </c>
      <c r="C229" s="1" t="s">
        <v>17</v>
      </c>
      <c r="D229" s="1">
        <v>18</v>
      </c>
      <c r="E229" s="1">
        <v>8.33</v>
      </c>
      <c r="F229" s="1">
        <v>5</v>
      </c>
    </row>
    <row r="230" spans="1:6" x14ac:dyDescent="0.2">
      <c r="A230" s="1" t="s">
        <v>239</v>
      </c>
      <c r="B230" s="1" t="s">
        <v>16</v>
      </c>
      <c r="C230" s="1" t="s">
        <v>8</v>
      </c>
      <c r="D230" s="1">
        <v>20</v>
      </c>
      <c r="E230" s="1">
        <v>9.1199999999999992</v>
      </c>
      <c r="F230" s="1">
        <v>3</v>
      </c>
    </row>
    <row r="231" spans="1:6" x14ac:dyDescent="0.2">
      <c r="A231" s="1" t="s">
        <v>240</v>
      </c>
      <c r="B231" s="1" t="s">
        <v>16</v>
      </c>
      <c r="C231" s="1" t="s">
        <v>8</v>
      </c>
      <c r="D231" s="1">
        <v>21</v>
      </c>
      <c r="E231" s="1">
        <v>8.91</v>
      </c>
      <c r="F231" s="1">
        <v>0</v>
      </c>
    </row>
    <row r="232" spans="1:6" x14ac:dyDescent="0.2">
      <c r="A232" s="1" t="s">
        <v>241</v>
      </c>
      <c r="B232" s="1" t="s">
        <v>12</v>
      </c>
      <c r="C232" s="1" t="s">
        <v>8</v>
      </c>
      <c r="D232" s="1">
        <v>20</v>
      </c>
      <c r="E232" s="1">
        <v>7.72</v>
      </c>
      <c r="F232" s="1">
        <v>0</v>
      </c>
    </row>
    <row r="233" spans="1:6" x14ac:dyDescent="0.2">
      <c r="A233" s="1" t="s">
        <v>242</v>
      </c>
      <c r="B233" s="1" t="s">
        <v>7</v>
      </c>
      <c r="C233" s="1" t="s">
        <v>17</v>
      </c>
      <c r="D233" s="1">
        <v>20</v>
      </c>
      <c r="E233" s="1">
        <v>5.5</v>
      </c>
      <c r="F233" s="1">
        <v>5</v>
      </c>
    </row>
    <row r="234" spans="1:6" x14ac:dyDescent="0.2">
      <c r="A234" s="1" t="s">
        <v>243</v>
      </c>
      <c r="B234" s="1" t="s">
        <v>16</v>
      </c>
      <c r="C234" s="1" t="s">
        <v>8</v>
      </c>
      <c r="D234" s="1">
        <v>18</v>
      </c>
      <c r="E234" s="1">
        <v>8.44</v>
      </c>
      <c r="F234" s="1">
        <v>4</v>
      </c>
    </row>
    <row r="235" spans="1:6" x14ac:dyDescent="0.2">
      <c r="A235" s="1" t="s">
        <v>244</v>
      </c>
      <c r="B235" s="1" t="s">
        <v>31</v>
      </c>
      <c r="C235" s="1" t="s">
        <v>8</v>
      </c>
      <c r="D235" s="1">
        <v>21</v>
      </c>
      <c r="E235" s="1">
        <v>6.21</v>
      </c>
      <c r="F235" s="1">
        <v>1</v>
      </c>
    </row>
    <row r="236" spans="1:6" x14ac:dyDescent="0.2">
      <c r="A236" s="1" t="s">
        <v>245</v>
      </c>
      <c r="B236" s="1" t="s">
        <v>7</v>
      </c>
      <c r="C236" s="1" t="s">
        <v>17</v>
      </c>
      <c r="D236" s="1">
        <v>23</v>
      </c>
      <c r="E236" s="1">
        <v>9.56</v>
      </c>
      <c r="F236" s="1">
        <v>3</v>
      </c>
    </row>
    <row r="237" spans="1:6" x14ac:dyDescent="0.2">
      <c r="A237" s="1" t="s">
        <v>246</v>
      </c>
      <c r="B237" s="1" t="s">
        <v>7</v>
      </c>
      <c r="C237" s="1" t="s">
        <v>8</v>
      </c>
      <c r="D237" s="1">
        <v>22</v>
      </c>
      <c r="E237" s="1">
        <v>9.19</v>
      </c>
      <c r="F237" s="1">
        <v>5</v>
      </c>
    </row>
    <row r="238" spans="1:6" x14ac:dyDescent="0.2">
      <c r="A238" s="1" t="s">
        <v>247</v>
      </c>
      <c r="B238" s="1" t="s">
        <v>31</v>
      </c>
      <c r="C238" s="1" t="s">
        <v>17</v>
      </c>
      <c r="D238" s="1">
        <v>18</v>
      </c>
      <c r="E238" s="1">
        <v>8.5500000000000007</v>
      </c>
      <c r="F238" s="1">
        <v>3</v>
      </c>
    </row>
    <row r="239" spans="1:6" x14ac:dyDescent="0.2">
      <c r="A239" s="1" t="s">
        <v>248</v>
      </c>
      <c r="B239" s="1" t="s">
        <v>16</v>
      </c>
      <c r="C239" s="1" t="s">
        <v>8</v>
      </c>
      <c r="D239" s="1">
        <v>18</v>
      </c>
      <c r="E239" s="1">
        <v>9.74</v>
      </c>
      <c r="F239" s="1">
        <v>4</v>
      </c>
    </row>
    <row r="240" spans="1:6" x14ac:dyDescent="0.2">
      <c r="A240" s="1" t="s">
        <v>249</v>
      </c>
      <c r="B240" s="1" t="s">
        <v>31</v>
      </c>
      <c r="C240" s="1" t="s">
        <v>17</v>
      </c>
      <c r="D240" s="1">
        <v>23</v>
      </c>
      <c r="E240" s="1">
        <v>5.16</v>
      </c>
      <c r="F240" s="1">
        <v>4</v>
      </c>
    </row>
    <row r="241" spans="1:6" x14ac:dyDescent="0.2">
      <c r="A241" s="1" t="s">
        <v>250</v>
      </c>
      <c r="B241" s="1" t="s">
        <v>7</v>
      </c>
      <c r="C241" s="1" t="s">
        <v>17</v>
      </c>
      <c r="D241" s="1">
        <v>21</v>
      </c>
      <c r="E241" s="1">
        <v>8.68</v>
      </c>
      <c r="F241" s="1">
        <v>1</v>
      </c>
    </row>
    <row r="242" spans="1:6" x14ac:dyDescent="0.2">
      <c r="A242" s="1" t="s">
        <v>251</v>
      </c>
      <c r="B242" s="1" t="s">
        <v>10</v>
      </c>
      <c r="C242" s="1" t="s">
        <v>17</v>
      </c>
      <c r="D242" s="1">
        <v>21</v>
      </c>
      <c r="E242" s="1">
        <v>6.65</v>
      </c>
      <c r="F242" s="1">
        <v>1</v>
      </c>
    </row>
    <row r="243" spans="1:6" x14ac:dyDescent="0.2">
      <c r="A243" s="1" t="s">
        <v>252</v>
      </c>
      <c r="B243" s="1" t="s">
        <v>10</v>
      </c>
      <c r="C243" s="1" t="s">
        <v>8</v>
      </c>
      <c r="D243" s="1">
        <v>20</v>
      </c>
      <c r="E243" s="1">
        <v>9.5299999999999994</v>
      </c>
      <c r="F243" s="1">
        <v>0</v>
      </c>
    </row>
    <row r="244" spans="1:6" x14ac:dyDescent="0.2">
      <c r="A244" s="1" t="s">
        <v>253</v>
      </c>
      <c r="B244" s="1" t="s">
        <v>12</v>
      </c>
      <c r="C244" s="1" t="s">
        <v>17</v>
      </c>
      <c r="D244" s="1">
        <v>23</v>
      </c>
      <c r="E244" s="1">
        <v>6.33</v>
      </c>
      <c r="F244" s="1">
        <v>3</v>
      </c>
    </row>
    <row r="245" spans="1:6" x14ac:dyDescent="0.2">
      <c r="A245" s="1" t="s">
        <v>254</v>
      </c>
      <c r="B245" s="1" t="s">
        <v>31</v>
      </c>
      <c r="C245" s="1" t="s">
        <v>8</v>
      </c>
      <c r="D245" s="1">
        <v>23</v>
      </c>
      <c r="E245" s="1">
        <v>8.6199999999999992</v>
      </c>
      <c r="F245" s="1">
        <v>3</v>
      </c>
    </row>
    <row r="246" spans="1:6" x14ac:dyDescent="0.2">
      <c r="A246" s="1" t="s">
        <v>255</v>
      </c>
      <c r="B246" s="1" t="s">
        <v>31</v>
      </c>
      <c r="C246" s="1" t="s">
        <v>17</v>
      </c>
      <c r="D246" s="1">
        <v>21</v>
      </c>
      <c r="E246" s="1">
        <v>9.39</v>
      </c>
      <c r="F246" s="1">
        <v>4</v>
      </c>
    </row>
    <row r="247" spans="1:6" x14ac:dyDescent="0.2">
      <c r="A247" s="1" t="s">
        <v>256</v>
      </c>
      <c r="B247" s="1" t="s">
        <v>12</v>
      </c>
      <c r="C247" s="1" t="s">
        <v>17</v>
      </c>
      <c r="D247" s="1">
        <v>20</v>
      </c>
      <c r="E247" s="1">
        <v>5.21</v>
      </c>
      <c r="F247" s="1">
        <v>0</v>
      </c>
    </row>
    <row r="248" spans="1:6" x14ac:dyDescent="0.2">
      <c r="A248" s="1" t="s">
        <v>257</v>
      </c>
      <c r="B248" s="1" t="s">
        <v>12</v>
      </c>
      <c r="C248" s="1" t="s">
        <v>17</v>
      </c>
      <c r="D248" s="1">
        <v>18</v>
      </c>
      <c r="E248" s="1">
        <v>6.99</v>
      </c>
      <c r="F248" s="1">
        <v>5</v>
      </c>
    </row>
    <row r="249" spans="1:6" x14ac:dyDescent="0.2">
      <c r="A249" s="1" t="s">
        <v>258</v>
      </c>
      <c r="B249" s="1" t="s">
        <v>12</v>
      </c>
      <c r="C249" s="1" t="s">
        <v>8</v>
      </c>
      <c r="D249" s="1">
        <v>19</v>
      </c>
      <c r="E249" s="1">
        <v>8.81</v>
      </c>
      <c r="F249" s="1">
        <v>3</v>
      </c>
    </row>
    <row r="250" spans="1:6" x14ac:dyDescent="0.2">
      <c r="A250" s="1" t="s">
        <v>259</v>
      </c>
      <c r="B250" s="1" t="s">
        <v>7</v>
      </c>
      <c r="C250" s="1" t="s">
        <v>17</v>
      </c>
      <c r="D250" s="1">
        <v>22</v>
      </c>
      <c r="E250" s="1">
        <v>7.27</v>
      </c>
      <c r="F250" s="1">
        <v>0</v>
      </c>
    </row>
    <row r="251" spans="1:6" x14ac:dyDescent="0.2">
      <c r="A251" s="1" t="s">
        <v>260</v>
      </c>
      <c r="B251" s="1" t="s">
        <v>31</v>
      </c>
      <c r="C251" s="1" t="s">
        <v>8</v>
      </c>
      <c r="D251" s="1">
        <v>18</v>
      </c>
      <c r="E251" s="1">
        <v>6.34</v>
      </c>
      <c r="F251" s="1">
        <v>0</v>
      </c>
    </row>
    <row r="252" spans="1:6" x14ac:dyDescent="0.2">
      <c r="A252" s="1" t="s">
        <v>261</v>
      </c>
      <c r="B252" s="1" t="s">
        <v>7</v>
      </c>
      <c r="C252" s="1" t="s">
        <v>8</v>
      </c>
      <c r="D252" s="1">
        <v>21</v>
      </c>
      <c r="E252" s="1">
        <v>6.1</v>
      </c>
      <c r="F252" s="1">
        <v>4</v>
      </c>
    </row>
    <row r="253" spans="1:6" x14ac:dyDescent="0.2">
      <c r="A253" s="1" t="s">
        <v>262</v>
      </c>
      <c r="B253" s="1" t="s">
        <v>12</v>
      </c>
      <c r="C253" s="1" t="s">
        <v>8</v>
      </c>
      <c r="D253" s="1">
        <v>22</v>
      </c>
      <c r="E253" s="1">
        <v>5.66</v>
      </c>
      <c r="F253" s="1">
        <v>0</v>
      </c>
    </row>
    <row r="254" spans="1:6" x14ac:dyDescent="0.2">
      <c r="A254" s="1" t="s">
        <v>263</v>
      </c>
      <c r="B254" s="1" t="s">
        <v>31</v>
      </c>
      <c r="C254" s="1" t="s">
        <v>17</v>
      </c>
      <c r="D254" s="1">
        <v>19</v>
      </c>
      <c r="E254" s="1">
        <v>9.2899999999999991</v>
      </c>
      <c r="F254" s="1">
        <v>1</v>
      </c>
    </row>
    <row r="255" spans="1:6" x14ac:dyDescent="0.2">
      <c r="A255" s="1" t="s">
        <v>264</v>
      </c>
      <c r="B255" s="1" t="s">
        <v>7</v>
      </c>
      <c r="C255" s="1" t="s">
        <v>17</v>
      </c>
      <c r="D255" s="1">
        <v>19</v>
      </c>
      <c r="E255" s="1">
        <v>7.88</v>
      </c>
      <c r="F255" s="1">
        <v>1</v>
      </c>
    </row>
    <row r="256" spans="1:6" x14ac:dyDescent="0.2">
      <c r="A256" s="1" t="s">
        <v>265</v>
      </c>
      <c r="B256" s="1" t="s">
        <v>7</v>
      </c>
      <c r="C256" s="1" t="s">
        <v>8</v>
      </c>
      <c r="D256" s="1">
        <v>20</v>
      </c>
      <c r="E256" s="1">
        <v>5.38</v>
      </c>
      <c r="F256" s="1">
        <v>2</v>
      </c>
    </row>
    <row r="257" spans="1:6" x14ac:dyDescent="0.2">
      <c r="A257" s="1" t="s">
        <v>266</v>
      </c>
      <c r="B257" s="1" t="s">
        <v>12</v>
      </c>
      <c r="C257" s="1" t="s">
        <v>17</v>
      </c>
      <c r="D257" s="1">
        <v>22</v>
      </c>
      <c r="E257" s="1">
        <v>6.91</v>
      </c>
      <c r="F257" s="1">
        <v>4</v>
      </c>
    </row>
    <row r="258" spans="1:6" x14ac:dyDescent="0.2">
      <c r="A258" s="1" t="s">
        <v>267</v>
      </c>
      <c r="B258" s="1" t="s">
        <v>31</v>
      </c>
      <c r="C258" s="1" t="s">
        <v>8</v>
      </c>
      <c r="D258" s="1">
        <v>20</v>
      </c>
      <c r="E258" s="1">
        <v>6.84</v>
      </c>
      <c r="F258" s="1">
        <v>5</v>
      </c>
    </row>
    <row r="259" spans="1:6" x14ac:dyDescent="0.2">
      <c r="A259" s="1" t="s">
        <v>268</v>
      </c>
      <c r="B259" s="1" t="s">
        <v>12</v>
      </c>
      <c r="C259" s="1" t="s">
        <v>17</v>
      </c>
      <c r="D259" s="1">
        <v>18</v>
      </c>
      <c r="E259" s="1">
        <v>5.91</v>
      </c>
      <c r="F259" s="1">
        <v>2</v>
      </c>
    </row>
    <row r="260" spans="1:6" x14ac:dyDescent="0.2">
      <c r="A260" s="1" t="s">
        <v>269</v>
      </c>
      <c r="B260" s="1" t="s">
        <v>31</v>
      </c>
      <c r="C260" s="1" t="s">
        <v>8</v>
      </c>
      <c r="D260" s="1">
        <v>23</v>
      </c>
      <c r="E260" s="1">
        <v>7.18</v>
      </c>
      <c r="F260" s="1">
        <v>1</v>
      </c>
    </row>
    <row r="261" spans="1:6" x14ac:dyDescent="0.2">
      <c r="A261" s="1" t="s">
        <v>270</v>
      </c>
      <c r="B261" s="1" t="s">
        <v>10</v>
      </c>
      <c r="C261" s="1" t="s">
        <v>8</v>
      </c>
      <c r="D261" s="1">
        <v>23</v>
      </c>
      <c r="E261" s="1">
        <v>6.66</v>
      </c>
      <c r="F261" s="1">
        <v>2</v>
      </c>
    </row>
    <row r="262" spans="1:6" x14ac:dyDescent="0.2">
      <c r="A262" s="1" t="s">
        <v>271</v>
      </c>
      <c r="B262" s="1" t="s">
        <v>16</v>
      </c>
      <c r="C262" s="1" t="s">
        <v>8</v>
      </c>
      <c r="D262" s="1">
        <v>23</v>
      </c>
      <c r="E262" s="1">
        <v>6.71</v>
      </c>
      <c r="F262" s="1">
        <v>4</v>
      </c>
    </row>
    <row r="263" spans="1:6" x14ac:dyDescent="0.2">
      <c r="A263" s="1" t="s">
        <v>272</v>
      </c>
      <c r="B263" s="1" t="s">
        <v>16</v>
      </c>
      <c r="C263" s="1" t="s">
        <v>17</v>
      </c>
      <c r="D263" s="1">
        <v>22</v>
      </c>
      <c r="E263" s="1">
        <v>8.6999999999999993</v>
      </c>
      <c r="F263" s="1">
        <v>4</v>
      </c>
    </row>
    <row r="264" spans="1:6" x14ac:dyDescent="0.2">
      <c r="A264" s="1" t="s">
        <v>273</v>
      </c>
      <c r="B264" s="1" t="s">
        <v>16</v>
      </c>
      <c r="C264" s="1" t="s">
        <v>8</v>
      </c>
      <c r="D264" s="1">
        <v>23</v>
      </c>
      <c r="E264" s="1">
        <v>6.12</v>
      </c>
      <c r="F264" s="1">
        <v>0</v>
      </c>
    </row>
    <row r="265" spans="1:6" x14ac:dyDescent="0.2">
      <c r="A265" s="1" t="s">
        <v>274</v>
      </c>
      <c r="B265" s="1" t="s">
        <v>12</v>
      </c>
      <c r="C265" s="1" t="s">
        <v>17</v>
      </c>
      <c r="D265" s="1">
        <v>18</v>
      </c>
      <c r="E265" s="1">
        <v>8.2100000000000009</v>
      </c>
      <c r="F265" s="1">
        <v>3</v>
      </c>
    </row>
    <row r="266" spans="1:6" x14ac:dyDescent="0.2">
      <c r="A266" s="1" t="s">
        <v>275</v>
      </c>
      <c r="B266" s="1" t="s">
        <v>10</v>
      </c>
      <c r="C266" s="1" t="s">
        <v>17</v>
      </c>
      <c r="D266" s="1">
        <v>20</v>
      </c>
      <c r="E266" s="1">
        <v>7.85</v>
      </c>
      <c r="F266" s="1">
        <v>0</v>
      </c>
    </row>
    <row r="267" spans="1:6" x14ac:dyDescent="0.2">
      <c r="A267" s="1" t="s">
        <v>276</v>
      </c>
      <c r="B267" s="1" t="s">
        <v>31</v>
      </c>
      <c r="C267" s="1" t="s">
        <v>8</v>
      </c>
      <c r="D267" s="1">
        <v>22</v>
      </c>
      <c r="E267" s="1">
        <v>7.84</v>
      </c>
      <c r="F267" s="1">
        <v>4</v>
      </c>
    </row>
    <row r="268" spans="1:6" x14ac:dyDescent="0.2">
      <c r="A268" s="1" t="s">
        <v>277</v>
      </c>
      <c r="B268" s="1" t="s">
        <v>7</v>
      </c>
      <c r="C268" s="1" t="s">
        <v>8</v>
      </c>
      <c r="D268" s="1">
        <v>20</v>
      </c>
      <c r="E268" s="1">
        <v>8.32</v>
      </c>
      <c r="F268" s="1">
        <v>1</v>
      </c>
    </row>
    <row r="269" spans="1:6" x14ac:dyDescent="0.2">
      <c r="A269" s="1" t="s">
        <v>278</v>
      </c>
      <c r="B269" s="1" t="s">
        <v>31</v>
      </c>
      <c r="C269" s="1" t="s">
        <v>8</v>
      </c>
      <c r="D269" s="1">
        <v>22</v>
      </c>
      <c r="E269" s="1">
        <v>7.74</v>
      </c>
      <c r="F269" s="1">
        <v>5</v>
      </c>
    </row>
    <row r="270" spans="1:6" x14ac:dyDescent="0.2">
      <c r="A270" s="1" t="s">
        <v>279</v>
      </c>
      <c r="B270" s="1" t="s">
        <v>7</v>
      </c>
      <c r="C270" s="1" t="s">
        <v>8</v>
      </c>
      <c r="D270" s="1">
        <v>20</v>
      </c>
      <c r="E270" s="1">
        <v>9.4</v>
      </c>
      <c r="F270" s="1">
        <v>1</v>
      </c>
    </row>
    <row r="271" spans="1:6" x14ac:dyDescent="0.2">
      <c r="A271" s="1" t="s">
        <v>280</v>
      </c>
      <c r="B271" s="1" t="s">
        <v>31</v>
      </c>
      <c r="C271" s="1" t="s">
        <v>17</v>
      </c>
      <c r="D271" s="1">
        <v>19</v>
      </c>
      <c r="E271" s="1">
        <v>8.3800000000000008</v>
      </c>
      <c r="F271" s="1">
        <v>0</v>
      </c>
    </row>
    <row r="272" spans="1:6" x14ac:dyDescent="0.2">
      <c r="A272" s="1" t="s">
        <v>281</v>
      </c>
      <c r="B272" s="1" t="s">
        <v>10</v>
      </c>
      <c r="C272" s="1" t="s">
        <v>17</v>
      </c>
      <c r="D272" s="1">
        <v>20</v>
      </c>
      <c r="E272" s="1">
        <v>7.73</v>
      </c>
      <c r="F272" s="1">
        <v>5</v>
      </c>
    </row>
    <row r="273" spans="1:6" x14ac:dyDescent="0.2">
      <c r="A273" s="1" t="s">
        <v>282</v>
      </c>
      <c r="B273" s="1" t="s">
        <v>7</v>
      </c>
      <c r="C273" s="1" t="s">
        <v>8</v>
      </c>
      <c r="D273" s="1">
        <v>23</v>
      </c>
      <c r="E273" s="1">
        <v>9.15</v>
      </c>
      <c r="F273" s="1">
        <v>4</v>
      </c>
    </row>
    <row r="274" spans="1:6" x14ac:dyDescent="0.2">
      <c r="A274" s="1" t="s">
        <v>283</v>
      </c>
      <c r="B274" s="1" t="s">
        <v>12</v>
      </c>
      <c r="C274" s="1" t="s">
        <v>17</v>
      </c>
      <c r="D274" s="1">
        <v>19</v>
      </c>
      <c r="E274" s="1">
        <v>8.0299999999999994</v>
      </c>
      <c r="F274" s="1">
        <v>1</v>
      </c>
    </row>
    <row r="275" spans="1:6" x14ac:dyDescent="0.2">
      <c r="A275" s="1" t="s">
        <v>284</v>
      </c>
      <c r="B275" s="1" t="s">
        <v>31</v>
      </c>
      <c r="C275" s="1" t="s">
        <v>17</v>
      </c>
      <c r="D275" s="1">
        <v>20</v>
      </c>
      <c r="E275" s="1">
        <v>6.46</v>
      </c>
      <c r="F275" s="1">
        <v>4</v>
      </c>
    </row>
    <row r="276" spans="1:6" x14ac:dyDescent="0.2">
      <c r="A276" s="1" t="s">
        <v>285</v>
      </c>
      <c r="B276" s="1" t="s">
        <v>31</v>
      </c>
      <c r="C276" s="1" t="s">
        <v>17</v>
      </c>
      <c r="D276" s="1">
        <v>22</v>
      </c>
      <c r="E276" s="1">
        <v>6.04</v>
      </c>
      <c r="F276" s="1">
        <v>5</v>
      </c>
    </row>
    <row r="277" spans="1:6" x14ac:dyDescent="0.2">
      <c r="A277" s="1" t="s">
        <v>286</v>
      </c>
      <c r="B277" s="1" t="s">
        <v>7</v>
      </c>
      <c r="C277" s="1" t="s">
        <v>17</v>
      </c>
      <c r="D277" s="1">
        <v>22</v>
      </c>
      <c r="E277" s="1">
        <v>5.76</v>
      </c>
      <c r="F277" s="1">
        <v>5</v>
      </c>
    </row>
    <row r="278" spans="1:6" x14ac:dyDescent="0.2">
      <c r="A278" s="1" t="s">
        <v>287</v>
      </c>
      <c r="B278" s="1" t="s">
        <v>12</v>
      </c>
      <c r="C278" s="1" t="s">
        <v>17</v>
      </c>
      <c r="D278" s="1">
        <v>22</v>
      </c>
      <c r="E278" s="1">
        <v>9.5</v>
      </c>
      <c r="F278" s="1">
        <v>1</v>
      </c>
    </row>
    <row r="279" spans="1:6" x14ac:dyDescent="0.2">
      <c r="A279" s="1" t="s">
        <v>288</v>
      </c>
      <c r="B279" s="1" t="s">
        <v>12</v>
      </c>
      <c r="C279" s="1" t="s">
        <v>17</v>
      </c>
      <c r="D279" s="1">
        <v>21</v>
      </c>
      <c r="E279" s="1">
        <v>8.5500000000000007</v>
      </c>
      <c r="F279" s="1">
        <v>4</v>
      </c>
    </row>
    <row r="280" spans="1:6" x14ac:dyDescent="0.2">
      <c r="A280" s="1" t="s">
        <v>289</v>
      </c>
      <c r="B280" s="1" t="s">
        <v>10</v>
      </c>
      <c r="C280" s="1" t="s">
        <v>17</v>
      </c>
      <c r="D280" s="1">
        <v>18</v>
      </c>
      <c r="E280" s="1">
        <v>9.69</v>
      </c>
      <c r="F280" s="1">
        <v>2</v>
      </c>
    </row>
    <row r="281" spans="1:6" x14ac:dyDescent="0.2">
      <c r="A281" s="1" t="s">
        <v>290</v>
      </c>
      <c r="B281" s="1" t="s">
        <v>12</v>
      </c>
      <c r="C281" s="1" t="s">
        <v>17</v>
      </c>
      <c r="D281" s="1">
        <v>22</v>
      </c>
      <c r="E281" s="1">
        <v>8.02</v>
      </c>
      <c r="F281" s="1">
        <v>4</v>
      </c>
    </row>
    <row r="282" spans="1:6" x14ac:dyDescent="0.2">
      <c r="A282" s="1" t="s">
        <v>291</v>
      </c>
      <c r="B282" s="1" t="s">
        <v>12</v>
      </c>
      <c r="C282" s="1" t="s">
        <v>8</v>
      </c>
      <c r="D282" s="1">
        <v>19</v>
      </c>
      <c r="E282" s="1">
        <v>7.37</v>
      </c>
      <c r="F282" s="1">
        <v>5</v>
      </c>
    </row>
    <row r="283" spans="1:6" x14ac:dyDescent="0.2">
      <c r="A283" s="1" t="s">
        <v>292</v>
      </c>
      <c r="B283" s="1" t="s">
        <v>12</v>
      </c>
      <c r="C283" s="1" t="s">
        <v>17</v>
      </c>
      <c r="D283" s="1">
        <v>22</v>
      </c>
      <c r="E283" s="1">
        <v>5.3</v>
      </c>
      <c r="F283" s="1">
        <v>4</v>
      </c>
    </row>
    <row r="284" spans="1:6" x14ac:dyDescent="0.2">
      <c r="A284" s="1" t="s">
        <v>293</v>
      </c>
      <c r="B284" s="1" t="s">
        <v>16</v>
      </c>
      <c r="C284" s="1" t="s">
        <v>17</v>
      </c>
      <c r="D284" s="1">
        <v>21</v>
      </c>
      <c r="E284" s="1">
        <v>8.36</v>
      </c>
      <c r="F284" s="1">
        <v>0</v>
      </c>
    </row>
    <row r="285" spans="1:6" x14ac:dyDescent="0.2">
      <c r="A285" s="1" t="s">
        <v>294</v>
      </c>
      <c r="B285" s="1" t="s">
        <v>10</v>
      </c>
      <c r="C285" s="1" t="s">
        <v>8</v>
      </c>
      <c r="D285" s="1">
        <v>23</v>
      </c>
      <c r="E285" s="1">
        <v>7.91</v>
      </c>
      <c r="F285" s="1">
        <v>2</v>
      </c>
    </row>
    <row r="286" spans="1:6" x14ac:dyDescent="0.2">
      <c r="A286" s="1" t="s">
        <v>295</v>
      </c>
      <c r="B286" s="1" t="s">
        <v>31</v>
      </c>
      <c r="C286" s="1" t="s">
        <v>17</v>
      </c>
      <c r="D286" s="1">
        <v>19</v>
      </c>
      <c r="E286" s="1">
        <v>9.9499999999999993</v>
      </c>
      <c r="F286" s="1">
        <v>3</v>
      </c>
    </row>
    <row r="287" spans="1:6" x14ac:dyDescent="0.2">
      <c r="A287" s="1" t="s">
        <v>296</v>
      </c>
      <c r="B287" s="1" t="s">
        <v>7</v>
      </c>
      <c r="C287" s="1" t="s">
        <v>8</v>
      </c>
      <c r="D287" s="1">
        <v>21</v>
      </c>
      <c r="E287" s="1">
        <v>6.2</v>
      </c>
      <c r="F287" s="1">
        <v>0</v>
      </c>
    </row>
    <row r="288" spans="1:6" x14ac:dyDescent="0.2">
      <c r="A288" s="1" t="s">
        <v>297</v>
      </c>
      <c r="B288" s="1" t="s">
        <v>31</v>
      </c>
      <c r="C288" s="1" t="s">
        <v>8</v>
      </c>
      <c r="D288" s="1">
        <v>23</v>
      </c>
      <c r="E288" s="1">
        <v>7.65</v>
      </c>
      <c r="F288" s="1">
        <v>3</v>
      </c>
    </row>
    <row r="289" spans="1:6" x14ac:dyDescent="0.2">
      <c r="A289" s="1" t="s">
        <v>298</v>
      </c>
      <c r="B289" s="1" t="s">
        <v>10</v>
      </c>
      <c r="C289" s="1" t="s">
        <v>17</v>
      </c>
      <c r="D289" s="1">
        <v>19</v>
      </c>
      <c r="E289" s="1">
        <v>8.25</v>
      </c>
      <c r="F289" s="1">
        <v>1</v>
      </c>
    </row>
    <row r="290" spans="1:6" x14ac:dyDescent="0.2">
      <c r="A290" s="1" t="s">
        <v>299</v>
      </c>
      <c r="B290" s="1" t="s">
        <v>7</v>
      </c>
      <c r="C290" s="1" t="s">
        <v>17</v>
      </c>
      <c r="D290" s="1">
        <v>20</v>
      </c>
      <c r="E290" s="1">
        <v>8.2200000000000006</v>
      </c>
      <c r="F290" s="1">
        <v>3</v>
      </c>
    </row>
    <row r="291" spans="1:6" x14ac:dyDescent="0.2">
      <c r="A291" s="1" t="s">
        <v>300</v>
      </c>
      <c r="B291" s="1" t="s">
        <v>10</v>
      </c>
      <c r="C291" s="1" t="s">
        <v>8</v>
      </c>
      <c r="D291" s="1">
        <v>18</v>
      </c>
      <c r="E291" s="1">
        <v>7.81</v>
      </c>
      <c r="F291" s="1">
        <v>4</v>
      </c>
    </row>
    <row r="292" spans="1:6" x14ac:dyDescent="0.2">
      <c r="A292" s="1" t="s">
        <v>301</v>
      </c>
      <c r="B292" s="1" t="s">
        <v>12</v>
      </c>
      <c r="C292" s="1" t="s">
        <v>8</v>
      </c>
      <c r="D292" s="1">
        <v>18</v>
      </c>
      <c r="E292" s="1">
        <v>8.8800000000000008</v>
      </c>
      <c r="F292" s="1">
        <v>3</v>
      </c>
    </row>
    <row r="293" spans="1:6" x14ac:dyDescent="0.2">
      <c r="A293" s="1" t="s">
        <v>302</v>
      </c>
      <c r="B293" s="1" t="s">
        <v>7</v>
      </c>
      <c r="C293" s="1" t="s">
        <v>17</v>
      </c>
      <c r="D293" s="1">
        <v>21</v>
      </c>
      <c r="E293" s="1">
        <v>6.02</v>
      </c>
      <c r="F293" s="1">
        <v>5</v>
      </c>
    </row>
    <row r="294" spans="1:6" x14ac:dyDescent="0.2">
      <c r="A294" s="1" t="s">
        <v>303</v>
      </c>
      <c r="B294" s="1" t="s">
        <v>12</v>
      </c>
      <c r="C294" s="1" t="s">
        <v>8</v>
      </c>
      <c r="D294" s="1">
        <v>23</v>
      </c>
      <c r="E294" s="1">
        <v>8.6300000000000008</v>
      </c>
      <c r="F294" s="1">
        <v>0</v>
      </c>
    </row>
    <row r="295" spans="1:6" x14ac:dyDescent="0.2">
      <c r="A295" s="1" t="s">
        <v>304</v>
      </c>
      <c r="B295" s="1" t="s">
        <v>31</v>
      </c>
      <c r="C295" s="1" t="s">
        <v>17</v>
      </c>
      <c r="D295" s="1">
        <v>18</v>
      </c>
      <c r="E295" s="1">
        <v>8.1</v>
      </c>
      <c r="F295" s="1">
        <v>0</v>
      </c>
    </row>
    <row r="296" spans="1:6" x14ac:dyDescent="0.2">
      <c r="A296" s="1" t="s">
        <v>305</v>
      </c>
      <c r="B296" s="1" t="s">
        <v>31</v>
      </c>
      <c r="C296" s="1" t="s">
        <v>8</v>
      </c>
      <c r="D296" s="1">
        <v>23</v>
      </c>
      <c r="E296" s="1">
        <v>9.48</v>
      </c>
      <c r="F296" s="1">
        <v>3</v>
      </c>
    </row>
    <row r="297" spans="1:6" x14ac:dyDescent="0.2">
      <c r="A297" s="1" t="s">
        <v>306</v>
      </c>
      <c r="B297" s="1" t="s">
        <v>7</v>
      </c>
      <c r="C297" s="1" t="s">
        <v>17</v>
      </c>
      <c r="D297" s="1">
        <v>23</v>
      </c>
      <c r="E297" s="1">
        <v>9.24</v>
      </c>
      <c r="F297" s="1">
        <v>0</v>
      </c>
    </row>
    <row r="298" spans="1:6" x14ac:dyDescent="0.2">
      <c r="A298" s="1" t="s">
        <v>307</v>
      </c>
      <c r="B298" s="1" t="s">
        <v>7</v>
      </c>
      <c r="C298" s="1" t="s">
        <v>8</v>
      </c>
      <c r="D298" s="1">
        <v>21</v>
      </c>
      <c r="E298" s="1">
        <v>6.58</v>
      </c>
      <c r="F298" s="1">
        <v>5</v>
      </c>
    </row>
    <row r="299" spans="1:6" x14ac:dyDescent="0.2">
      <c r="A299" s="1" t="s">
        <v>308</v>
      </c>
      <c r="B299" s="1" t="s">
        <v>10</v>
      </c>
      <c r="C299" s="1" t="s">
        <v>8</v>
      </c>
      <c r="D299" s="1">
        <v>21</v>
      </c>
      <c r="E299" s="1">
        <v>6.38</v>
      </c>
      <c r="F299" s="1">
        <v>0</v>
      </c>
    </row>
    <row r="300" spans="1:6" x14ac:dyDescent="0.2">
      <c r="A300" s="1" t="s">
        <v>309</v>
      </c>
      <c r="B300" s="1" t="s">
        <v>10</v>
      </c>
      <c r="C300" s="1" t="s">
        <v>8</v>
      </c>
      <c r="D300" s="1">
        <v>21</v>
      </c>
      <c r="E300" s="1">
        <v>9.91</v>
      </c>
      <c r="F300" s="1">
        <v>3</v>
      </c>
    </row>
    <row r="301" spans="1:6" x14ac:dyDescent="0.2">
      <c r="A301" s="1" t="s">
        <v>310</v>
      </c>
      <c r="B301" s="1" t="s">
        <v>12</v>
      </c>
      <c r="C301" s="1" t="s">
        <v>17</v>
      </c>
      <c r="D301" s="1">
        <v>18</v>
      </c>
      <c r="E301" s="1">
        <v>7.64</v>
      </c>
      <c r="F301" s="1">
        <v>2</v>
      </c>
    </row>
    <row r="302" spans="1:6" x14ac:dyDescent="0.2">
      <c r="A302" s="1" t="s">
        <v>311</v>
      </c>
      <c r="B302" s="1" t="s">
        <v>7</v>
      </c>
      <c r="C302" s="1" t="s">
        <v>17</v>
      </c>
      <c r="D302" s="1">
        <v>21</v>
      </c>
      <c r="E302" s="1">
        <v>9.5299999999999994</v>
      </c>
      <c r="F302" s="1">
        <v>2</v>
      </c>
    </row>
    <row r="303" spans="1:6" x14ac:dyDescent="0.2">
      <c r="A303" s="1" t="s">
        <v>312</v>
      </c>
      <c r="B303" s="1" t="s">
        <v>31</v>
      </c>
      <c r="C303" s="1" t="s">
        <v>17</v>
      </c>
      <c r="D303" s="1">
        <v>18</v>
      </c>
      <c r="E303" s="1">
        <v>5.82</v>
      </c>
      <c r="F303" s="1">
        <v>1</v>
      </c>
    </row>
    <row r="304" spans="1:6" x14ac:dyDescent="0.2">
      <c r="A304" s="1" t="s">
        <v>313</v>
      </c>
      <c r="B304" s="1" t="s">
        <v>10</v>
      </c>
      <c r="C304" s="1" t="s">
        <v>17</v>
      </c>
      <c r="D304" s="1">
        <v>21</v>
      </c>
      <c r="E304" s="1">
        <v>8.2100000000000009</v>
      </c>
      <c r="F304" s="1">
        <v>0</v>
      </c>
    </row>
    <row r="305" spans="1:6" x14ac:dyDescent="0.2">
      <c r="A305" s="1" t="s">
        <v>314</v>
      </c>
      <c r="B305" s="1" t="s">
        <v>10</v>
      </c>
      <c r="C305" s="1" t="s">
        <v>17</v>
      </c>
      <c r="D305" s="1">
        <v>22</v>
      </c>
      <c r="E305" s="1">
        <v>9.0500000000000007</v>
      </c>
      <c r="F305" s="1">
        <v>3</v>
      </c>
    </row>
    <row r="306" spans="1:6" x14ac:dyDescent="0.2">
      <c r="A306" s="1" t="s">
        <v>315</v>
      </c>
      <c r="B306" s="1" t="s">
        <v>31</v>
      </c>
      <c r="C306" s="1" t="s">
        <v>8</v>
      </c>
      <c r="D306" s="1">
        <v>23</v>
      </c>
      <c r="E306" s="1">
        <v>9.74</v>
      </c>
      <c r="F306" s="1">
        <v>0</v>
      </c>
    </row>
    <row r="307" spans="1:6" x14ac:dyDescent="0.2">
      <c r="A307" s="1" t="s">
        <v>316</v>
      </c>
      <c r="B307" s="1" t="s">
        <v>10</v>
      </c>
      <c r="C307" s="1" t="s">
        <v>17</v>
      </c>
      <c r="D307" s="1">
        <v>21</v>
      </c>
      <c r="E307" s="1">
        <v>6.69</v>
      </c>
      <c r="F307" s="1">
        <v>4</v>
      </c>
    </row>
    <row r="308" spans="1:6" x14ac:dyDescent="0.2">
      <c r="A308" s="1" t="s">
        <v>317</v>
      </c>
      <c r="B308" s="1" t="s">
        <v>12</v>
      </c>
      <c r="C308" s="1" t="s">
        <v>17</v>
      </c>
      <c r="D308" s="1">
        <v>19</v>
      </c>
      <c r="E308" s="1">
        <v>8.6199999999999992</v>
      </c>
      <c r="F308" s="1">
        <v>5</v>
      </c>
    </row>
    <row r="309" spans="1:6" x14ac:dyDescent="0.2">
      <c r="A309" s="1" t="s">
        <v>318</v>
      </c>
      <c r="B309" s="1" t="s">
        <v>7</v>
      </c>
      <c r="C309" s="1" t="s">
        <v>8</v>
      </c>
      <c r="D309" s="1">
        <v>23</v>
      </c>
      <c r="E309" s="1">
        <v>7.69</v>
      </c>
      <c r="F309" s="1">
        <v>0</v>
      </c>
    </row>
    <row r="310" spans="1:6" x14ac:dyDescent="0.2">
      <c r="A310" s="1" t="s">
        <v>319</v>
      </c>
      <c r="B310" s="1" t="s">
        <v>31</v>
      </c>
      <c r="C310" s="1" t="s">
        <v>8</v>
      </c>
      <c r="D310" s="1">
        <v>23</v>
      </c>
      <c r="E310" s="1">
        <v>5.3</v>
      </c>
      <c r="F310" s="1">
        <v>0</v>
      </c>
    </row>
    <row r="311" spans="1:6" x14ac:dyDescent="0.2">
      <c r="A311" s="1" t="s">
        <v>320</v>
      </c>
      <c r="B311" s="1" t="s">
        <v>7</v>
      </c>
      <c r="C311" s="1" t="s">
        <v>8</v>
      </c>
      <c r="D311" s="1">
        <v>21</v>
      </c>
      <c r="E311" s="1">
        <v>8.4499999999999993</v>
      </c>
      <c r="F311" s="1">
        <v>2</v>
      </c>
    </row>
    <row r="312" spans="1:6" x14ac:dyDescent="0.2">
      <c r="A312" s="1" t="s">
        <v>321</v>
      </c>
      <c r="B312" s="1" t="s">
        <v>10</v>
      </c>
      <c r="C312" s="1" t="s">
        <v>8</v>
      </c>
      <c r="D312" s="1">
        <v>20</v>
      </c>
      <c r="E312" s="1">
        <v>8.4499999999999993</v>
      </c>
      <c r="F312" s="1">
        <v>5</v>
      </c>
    </row>
    <row r="313" spans="1:6" x14ac:dyDescent="0.2">
      <c r="A313" s="1" t="s">
        <v>322</v>
      </c>
      <c r="B313" s="1" t="s">
        <v>10</v>
      </c>
      <c r="C313" s="1" t="s">
        <v>17</v>
      </c>
      <c r="D313" s="1">
        <v>21</v>
      </c>
      <c r="E313" s="1">
        <v>9.65</v>
      </c>
      <c r="F313" s="1">
        <v>3</v>
      </c>
    </row>
    <row r="314" spans="1:6" x14ac:dyDescent="0.2">
      <c r="A314" s="1" t="s">
        <v>323</v>
      </c>
      <c r="B314" s="1" t="s">
        <v>31</v>
      </c>
      <c r="C314" s="1" t="s">
        <v>17</v>
      </c>
      <c r="D314" s="1">
        <v>23</v>
      </c>
      <c r="E314" s="1">
        <v>7.49</v>
      </c>
      <c r="F314" s="1">
        <v>0</v>
      </c>
    </row>
    <row r="315" spans="1:6" x14ac:dyDescent="0.2">
      <c r="A315" s="1" t="s">
        <v>324</v>
      </c>
      <c r="B315" s="1" t="s">
        <v>12</v>
      </c>
      <c r="C315" s="1" t="s">
        <v>8</v>
      </c>
      <c r="D315" s="1">
        <v>19</v>
      </c>
      <c r="E315" s="1">
        <v>6.15</v>
      </c>
      <c r="F315" s="1">
        <v>2</v>
      </c>
    </row>
    <row r="316" spans="1:6" x14ac:dyDescent="0.2">
      <c r="A316" s="1" t="s">
        <v>325</v>
      </c>
      <c r="B316" s="1" t="s">
        <v>16</v>
      </c>
      <c r="C316" s="1" t="s">
        <v>8</v>
      </c>
      <c r="D316" s="1">
        <v>23</v>
      </c>
      <c r="E316" s="1">
        <v>5.22</v>
      </c>
      <c r="F316" s="1">
        <v>1</v>
      </c>
    </row>
    <row r="317" spans="1:6" x14ac:dyDescent="0.2">
      <c r="A317" s="1" t="s">
        <v>326</v>
      </c>
      <c r="B317" s="1" t="s">
        <v>31</v>
      </c>
      <c r="C317" s="1" t="s">
        <v>17</v>
      </c>
      <c r="D317" s="1">
        <v>19</v>
      </c>
      <c r="E317" s="1">
        <v>7.08</v>
      </c>
      <c r="F317" s="1">
        <v>5</v>
      </c>
    </row>
    <row r="318" spans="1:6" x14ac:dyDescent="0.2">
      <c r="A318" s="1" t="s">
        <v>327</v>
      </c>
      <c r="B318" s="1" t="s">
        <v>16</v>
      </c>
      <c r="C318" s="1" t="s">
        <v>8</v>
      </c>
      <c r="D318" s="1">
        <v>18</v>
      </c>
      <c r="E318" s="1">
        <v>6.51</v>
      </c>
      <c r="F318" s="1">
        <v>2</v>
      </c>
    </row>
    <row r="319" spans="1:6" x14ac:dyDescent="0.2">
      <c r="A319" s="1" t="s">
        <v>328</v>
      </c>
      <c r="B319" s="1" t="s">
        <v>16</v>
      </c>
      <c r="C319" s="1" t="s">
        <v>17</v>
      </c>
      <c r="D319" s="1">
        <v>22</v>
      </c>
      <c r="E319" s="1">
        <v>8.81</v>
      </c>
      <c r="F319" s="1">
        <v>2</v>
      </c>
    </row>
    <row r="320" spans="1:6" x14ac:dyDescent="0.2">
      <c r="A320" s="1" t="s">
        <v>329</v>
      </c>
      <c r="B320" s="1" t="s">
        <v>12</v>
      </c>
      <c r="C320" s="1" t="s">
        <v>17</v>
      </c>
      <c r="D320" s="1">
        <v>23</v>
      </c>
      <c r="E320" s="1">
        <v>6.77</v>
      </c>
      <c r="F320" s="1">
        <v>2</v>
      </c>
    </row>
    <row r="321" spans="1:6" x14ac:dyDescent="0.2">
      <c r="A321" s="1" t="s">
        <v>330</v>
      </c>
      <c r="B321" s="1" t="s">
        <v>16</v>
      </c>
      <c r="C321" s="1" t="s">
        <v>17</v>
      </c>
      <c r="D321" s="1">
        <v>21</v>
      </c>
      <c r="E321" s="1">
        <v>9.75</v>
      </c>
      <c r="F321" s="1">
        <v>0</v>
      </c>
    </row>
    <row r="322" spans="1:6" x14ac:dyDescent="0.2">
      <c r="A322" s="1" t="s">
        <v>331</v>
      </c>
      <c r="B322" s="1" t="s">
        <v>16</v>
      </c>
      <c r="C322" s="1" t="s">
        <v>8</v>
      </c>
      <c r="D322" s="1">
        <v>18</v>
      </c>
      <c r="E322" s="1">
        <v>9.81</v>
      </c>
      <c r="F322" s="1">
        <v>0</v>
      </c>
    </row>
    <row r="323" spans="1:6" x14ac:dyDescent="0.2">
      <c r="A323" s="1" t="s">
        <v>332</v>
      </c>
      <c r="B323" s="1" t="s">
        <v>12</v>
      </c>
      <c r="C323" s="1" t="s">
        <v>8</v>
      </c>
      <c r="D323" s="1">
        <v>22</v>
      </c>
      <c r="E323" s="1">
        <v>8.1</v>
      </c>
      <c r="F323" s="1">
        <v>1</v>
      </c>
    </row>
    <row r="324" spans="1:6" x14ac:dyDescent="0.2">
      <c r="A324" s="1" t="s">
        <v>333</v>
      </c>
      <c r="B324" s="1" t="s">
        <v>16</v>
      </c>
      <c r="C324" s="1" t="s">
        <v>17</v>
      </c>
      <c r="D324" s="1">
        <v>21</v>
      </c>
      <c r="E324" s="1">
        <v>9.64</v>
      </c>
      <c r="F324" s="1">
        <v>4</v>
      </c>
    </row>
    <row r="325" spans="1:6" x14ac:dyDescent="0.2">
      <c r="A325" s="1" t="s">
        <v>334</v>
      </c>
      <c r="B325" s="1" t="s">
        <v>16</v>
      </c>
      <c r="C325" s="1" t="s">
        <v>8</v>
      </c>
      <c r="D325" s="1">
        <v>20</v>
      </c>
      <c r="E325" s="1">
        <v>8.8000000000000007</v>
      </c>
      <c r="F325" s="1">
        <v>4</v>
      </c>
    </row>
    <row r="326" spans="1:6" x14ac:dyDescent="0.2">
      <c r="A326" s="1" t="s">
        <v>335</v>
      </c>
      <c r="B326" s="1" t="s">
        <v>16</v>
      </c>
      <c r="C326" s="1" t="s">
        <v>17</v>
      </c>
      <c r="D326" s="1">
        <v>21</v>
      </c>
      <c r="E326" s="1">
        <v>7.73</v>
      </c>
      <c r="F326" s="1">
        <v>4</v>
      </c>
    </row>
    <row r="327" spans="1:6" x14ac:dyDescent="0.2">
      <c r="A327" s="1" t="s">
        <v>336</v>
      </c>
      <c r="B327" s="1" t="s">
        <v>31</v>
      </c>
      <c r="C327" s="1" t="s">
        <v>17</v>
      </c>
      <c r="D327" s="1">
        <v>19</v>
      </c>
      <c r="E327" s="1">
        <v>5.9</v>
      </c>
      <c r="F327" s="1">
        <v>5</v>
      </c>
    </row>
    <row r="328" spans="1:6" x14ac:dyDescent="0.2">
      <c r="A328" s="1" t="s">
        <v>337</v>
      </c>
      <c r="B328" s="1" t="s">
        <v>31</v>
      </c>
      <c r="C328" s="1" t="s">
        <v>8</v>
      </c>
      <c r="D328" s="1">
        <v>19</v>
      </c>
      <c r="E328" s="1">
        <v>7.29</v>
      </c>
      <c r="F328" s="1">
        <v>5</v>
      </c>
    </row>
    <row r="329" spans="1:6" x14ac:dyDescent="0.2">
      <c r="A329" s="1" t="s">
        <v>338</v>
      </c>
      <c r="B329" s="1" t="s">
        <v>31</v>
      </c>
      <c r="C329" s="1" t="s">
        <v>8</v>
      </c>
      <c r="D329" s="1">
        <v>20</v>
      </c>
      <c r="E329" s="1">
        <v>7.8</v>
      </c>
      <c r="F329" s="1">
        <v>1</v>
      </c>
    </row>
    <row r="330" spans="1:6" x14ac:dyDescent="0.2">
      <c r="A330" s="1" t="s">
        <v>339</v>
      </c>
      <c r="B330" s="1" t="s">
        <v>12</v>
      </c>
      <c r="C330" s="1" t="s">
        <v>8</v>
      </c>
      <c r="D330" s="1">
        <v>18</v>
      </c>
      <c r="E330" s="1">
        <v>9.32</v>
      </c>
      <c r="F330" s="1">
        <v>5</v>
      </c>
    </row>
    <row r="331" spans="1:6" x14ac:dyDescent="0.2">
      <c r="A331" s="1" t="s">
        <v>340</v>
      </c>
      <c r="B331" s="1" t="s">
        <v>10</v>
      </c>
      <c r="C331" s="1" t="s">
        <v>8</v>
      </c>
      <c r="D331" s="1">
        <v>22</v>
      </c>
      <c r="E331" s="1">
        <v>7.41</v>
      </c>
      <c r="F331" s="1">
        <v>4</v>
      </c>
    </row>
    <row r="332" spans="1:6" x14ac:dyDescent="0.2">
      <c r="A332" s="1" t="s">
        <v>341</v>
      </c>
      <c r="B332" s="1" t="s">
        <v>16</v>
      </c>
      <c r="C332" s="1" t="s">
        <v>8</v>
      </c>
      <c r="D332" s="1">
        <v>21</v>
      </c>
      <c r="E332" s="1">
        <v>9.49</v>
      </c>
      <c r="F332" s="1">
        <v>4</v>
      </c>
    </row>
    <row r="333" spans="1:6" x14ac:dyDescent="0.2">
      <c r="A333" s="1" t="s">
        <v>342</v>
      </c>
      <c r="B333" s="1" t="s">
        <v>16</v>
      </c>
      <c r="C333" s="1" t="s">
        <v>8</v>
      </c>
      <c r="D333" s="1">
        <v>19</v>
      </c>
      <c r="E333" s="1">
        <v>8.3699999999999992</v>
      </c>
      <c r="F333" s="1">
        <v>2</v>
      </c>
    </row>
    <row r="334" spans="1:6" x14ac:dyDescent="0.2">
      <c r="A334" s="1" t="s">
        <v>343</v>
      </c>
      <c r="B334" s="1" t="s">
        <v>12</v>
      </c>
      <c r="C334" s="1" t="s">
        <v>17</v>
      </c>
      <c r="D334" s="1">
        <v>18</v>
      </c>
      <c r="E334" s="1">
        <v>5.68</v>
      </c>
      <c r="F334" s="1">
        <v>5</v>
      </c>
    </row>
    <row r="335" spans="1:6" x14ac:dyDescent="0.2">
      <c r="A335" s="1" t="s">
        <v>344</v>
      </c>
      <c r="B335" s="1" t="s">
        <v>16</v>
      </c>
      <c r="C335" s="1" t="s">
        <v>17</v>
      </c>
      <c r="D335" s="1">
        <v>20</v>
      </c>
      <c r="E335" s="1">
        <v>9.9700000000000006</v>
      </c>
      <c r="F335" s="1">
        <v>0</v>
      </c>
    </row>
    <row r="336" spans="1:6" x14ac:dyDescent="0.2">
      <c r="A336" s="1" t="s">
        <v>345</v>
      </c>
      <c r="B336" s="1" t="s">
        <v>31</v>
      </c>
      <c r="C336" s="1" t="s">
        <v>17</v>
      </c>
      <c r="D336" s="1">
        <v>23</v>
      </c>
      <c r="E336" s="1">
        <v>7.64</v>
      </c>
      <c r="F336" s="1">
        <v>0</v>
      </c>
    </row>
    <row r="337" spans="1:6" x14ac:dyDescent="0.2">
      <c r="A337" s="1" t="s">
        <v>346</v>
      </c>
      <c r="B337" s="1" t="s">
        <v>10</v>
      </c>
      <c r="C337" s="1" t="s">
        <v>17</v>
      </c>
      <c r="D337" s="1">
        <v>19</v>
      </c>
      <c r="E337" s="1">
        <v>6.96</v>
      </c>
      <c r="F337" s="1">
        <v>2</v>
      </c>
    </row>
    <row r="338" spans="1:6" x14ac:dyDescent="0.2">
      <c r="A338" s="1" t="s">
        <v>347</v>
      </c>
      <c r="B338" s="1" t="s">
        <v>7</v>
      </c>
      <c r="C338" s="1" t="s">
        <v>8</v>
      </c>
      <c r="D338" s="1">
        <v>20</v>
      </c>
      <c r="E338" s="1">
        <v>8.3000000000000007</v>
      </c>
      <c r="F338" s="1">
        <v>2</v>
      </c>
    </row>
    <row r="339" spans="1:6" x14ac:dyDescent="0.2">
      <c r="A339" s="1" t="s">
        <v>348</v>
      </c>
      <c r="B339" s="1" t="s">
        <v>16</v>
      </c>
      <c r="C339" s="1" t="s">
        <v>17</v>
      </c>
      <c r="D339" s="1">
        <v>21</v>
      </c>
      <c r="E339" s="1">
        <v>5.54</v>
      </c>
      <c r="F339" s="1">
        <v>2</v>
      </c>
    </row>
    <row r="340" spans="1:6" x14ac:dyDescent="0.2">
      <c r="A340" s="1" t="s">
        <v>349</v>
      </c>
      <c r="B340" s="1" t="s">
        <v>31</v>
      </c>
      <c r="C340" s="1" t="s">
        <v>17</v>
      </c>
      <c r="D340" s="1">
        <v>22</v>
      </c>
      <c r="E340" s="1">
        <v>8.18</v>
      </c>
      <c r="F340" s="1">
        <v>0</v>
      </c>
    </row>
    <row r="341" spans="1:6" x14ac:dyDescent="0.2">
      <c r="A341" s="1" t="s">
        <v>350</v>
      </c>
      <c r="B341" s="1" t="s">
        <v>7</v>
      </c>
      <c r="C341" s="1" t="s">
        <v>17</v>
      </c>
      <c r="D341" s="1">
        <v>19</v>
      </c>
      <c r="E341" s="1">
        <v>7.49</v>
      </c>
      <c r="F341" s="1">
        <v>4</v>
      </c>
    </row>
    <row r="342" spans="1:6" x14ac:dyDescent="0.2">
      <c r="A342" s="1" t="s">
        <v>351</v>
      </c>
      <c r="B342" s="1" t="s">
        <v>10</v>
      </c>
      <c r="C342" s="1" t="s">
        <v>8</v>
      </c>
      <c r="D342" s="1">
        <v>19</v>
      </c>
      <c r="E342" s="1">
        <v>7.03</v>
      </c>
      <c r="F342" s="1">
        <v>2</v>
      </c>
    </row>
    <row r="343" spans="1:6" x14ac:dyDescent="0.2">
      <c r="A343" s="1" t="s">
        <v>352</v>
      </c>
      <c r="B343" s="1" t="s">
        <v>7</v>
      </c>
      <c r="C343" s="1" t="s">
        <v>17</v>
      </c>
      <c r="D343" s="1">
        <v>21</v>
      </c>
      <c r="E343" s="1">
        <v>9.77</v>
      </c>
      <c r="F343" s="1">
        <v>1</v>
      </c>
    </row>
    <row r="344" spans="1:6" x14ac:dyDescent="0.2">
      <c r="A344" s="1" t="s">
        <v>353</v>
      </c>
      <c r="B344" s="1" t="s">
        <v>31</v>
      </c>
      <c r="C344" s="1" t="s">
        <v>8</v>
      </c>
      <c r="D344" s="1">
        <v>23</v>
      </c>
      <c r="E344" s="1">
        <v>7.61</v>
      </c>
      <c r="F344" s="1">
        <v>2</v>
      </c>
    </row>
    <row r="345" spans="1:6" x14ac:dyDescent="0.2">
      <c r="A345" s="1" t="s">
        <v>354</v>
      </c>
      <c r="B345" s="1" t="s">
        <v>7</v>
      </c>
      <c r="C345" s="1" t="s">
        <v>17</v>
      </c>
      <c r="D345" s="1">
        <v>18</v>
      </c>
      <c r="E345" s="1">
        <v>6.1</v>
      </c>
      <c r="F345" s="1">
        <v>3</v>
      </c>
    </row>
    <row r="346" spans="1:6" x14ac:dyDescent="0.2">
      <c r="A346" s="1" t="s">
        <v>355</v>
      </c>
      <c r="B346" s="1" t="s">
        <v>12</v>
      </c>
      <c r="C346" s="1" t="s">
        <v>17</v>
      </c>
      <c r="D346" s="1">
        <v>22</v>
      </c>
      <c r="E346" s="1">
        <v>7.29</v>
      </c>
      <c r="F346" s="1">
        <v>2</v>
      </c>
    </row>
    <row r="347" spans="1:6" x14ac:dyDescent="0.2">
      <c r="A347" s="1" t="s">
        <v>356</v>
      </c>
      <c r="B347" s="1" t="s">
        <v>7</v>
      </c>
      <c r="C347" s="1" t="s">
        <v>8</v>
      </c>
      <c r="D347" s="1">
        <v>19</v>
      </c>
      <c r="E347" s="1">
        <v>9.6</v>
      </c>
      <c r="F347" s="1">
        <v>0</v>
      </c>
    </row>
    <row r="348" spans="1:6" x14ac:dyDescent="0.2">
      <c r="A348" s="1" t="s">
        <v>357</v>
      </c>
      <c r="B348" s="1" t="s">
        <v>16</v>
      </c>
      <c r="C348" s="1" t="s">
        <v>8</v>
      </c>
      <c r="D348" s="1">
        <v>22</v>
      </c>
      <c r="E348" s="1">
        <v>5.88</v>
      </c>
      <c r="F348" s="1">
        <v>5</v>
      </c>
    </row>
    <row r="349" spans="1:6" x14ac:dyDescent="0.2">
      <c r="A349" s="1" t="s">
        <v>358</v>
      </c>
      <c r="B349" s="1" t="s">
        <v>16</v>
      </c>
      <c r="C349" s="1" t="s">
        <v>17</v>
      </c>
      <c r="D349" s="1">
        <v>19</v>
      </c>
      <c r="E349" s="1">
        <v>6.07</v>
      </c>
      <c r="F349" s="1">
        <v>2</v>
      </c>
    </row>
    <row r="350" spans="1:6" x14ac:dyDescent="0.2">
      <c r="A350" s="1" t="s">
        <v>359</v>
      </c>
      <c r="B350" s="1" t="s">
        <v>12</v>
      </c>
      <c r="C350" s="1" t="s">
        <v>8</v>
      </c>
      <c r="D350" s="1">
        <v>22</v>
      </c>
      <c r="E350" s="1">
        <v>5.07</v>
      </c>
      <c r="F350" s="1">
        <v>5</v>
      </c>
    </row>
    <row r="351" spans="1:6" x14ac:dyDescent="0.2">
      <c r="A351" s="1" t="s">
        <v>360</v>
      </c>
      <c r="B351" s="1" t="s">
        <v>31</v>
      </c>
      <c r="C351" s="1" t="s">
        <v>8</v>
      </c>
      <c r="D351" s="1">
        <v>20</v>
      </c>
      <c r="E351" s="1">
        <v>5.07</v>
      </c>
      <c r="F351" s="1">
        <v>3</v>
      </c>
    </row>
    <row r="352" spans="1:6" x14ac:dyDescent="0.2">
      <c r="A352" s="1" t="s">
        <v>361</v>
      </c>
      <c r="B352" s="1" t="s">
        <v>16</v>
      </c>
      <c r="C352" s="1" t="s">
        <v>17</v>
      </c>
      <c r="D352" s="1">
        <v>19</v>
      </c>
      <c r="E352" s="1">
        <v>9.15</v>
      </c>
      <c r="F352" s="1">
        <v>1</v>
      </c>
    </row>
    <row r="353" spans="1:6" x14ac:dyDescent="0.2">
      <c r="A353" s="1" t="s">
        <v>362</v>
      </c>
      <c r="B353" s="1" t="s">
        <v>10</v>
      </c>
      <c r="C353" s="1" t="s">
        <v>8</v>
      </c>
      <c r="D353" s="1">
        <v>22</v>
      </c>
      <c r="E353" s="1">
        <v>8.66</v>
      </c>
      <c r="F353" s="1">
        <v>5</v>
      </c>
    </row>
    <row r="354" spans="1:6" x14ac:dyDescent="0.2">
      <c r="A354" s="1" t="s">
        <v>363</v>
      </c>
      <c r="B354" s="1" t="s">
        <v>16</v>
      </c>
      <c r="C354" s="1" t="s">
        <v>8</v>
      </c>
      <c r="D354" s="1">
        <v>18</v>
      </c>
      <c r="E354" s="1">
        <v>6.78</v>
      </c>
      <c r="F354" s="1">
        <v>4</v>
      </c>
    </row>
    <row r="355" spans="1:6" x14ac:dyDescent="0.2">
      <c r="A355" s="1" t="s">
        <v>364</v>
      </c>
      <c r="B355" s="1" t="s">
        <v>16</v>
      </c>
      <c r="C355" s="1" t="s">
        <v>8</v>
      </c>
      <c r="D355" s="1">
        <v>20</v>
      </c>
      <c r="E355" s="1">
        <v>8.49</v>
      </c>
      <c r="F355" s="1">
        <v>2</v>
      </c>
    </row>
    <row r="356" spans="1:6" x14ac:dyDescent="0.2">
      <c r="A356" s="1" t="s">
        <v>365</v>
      </c>
      <c r="B356" s="1" t="s">
        <v>31</v>
      </c>
      <c r="C356" s="1" t="s">
        <v>8</v>
      </c>
      <c r="D356" s="1">
        <v>20</v>
      </c>
      <c r="E356" s="1">
        <v>6.98</v>
      </c>
      <c r="F356" s="1">
        <v>3</v>
      </c>
    </row>
    <row r="357" spans="1:6" x14ac:dyDescent="0.2">
      <c r="A357" s="1" t="s">
        <v>366</v>
      </c>
      <c r="B357" s="1" t="s">
        <v>7</v>
      </c>
      <c r="C357" s="1" t="s">
        <v>8</v>
      </c>
      <c r="D357" s="1">
        <v>18</v>
      </c>
      <c r="E357" s="1">
        <v>9.76</v>
      </c>
      <c r="F357" s="1">
        <v>3</v>
      </c>
    </row>
    <row r="358" spans="1:6" x14ac:dyDescent="0.2">
      <c r="A358" s="1" t="s">
        <v>367</v>
      </c>
      <c r="B358" s="1" t="s">
        <v>16</v>
      </c>
      <c r="C358" s="1" t="s">
        <v>8</v>
      </c>
      <c r="D358" s="1">
        <v>22</v>
      </c>
      <c r="E358" s="1">
        <v>9.84</v>
      </c>
      <c r="F358" s="1">
        <v>5</v>
      </c>
    </row>
    <row r="359" spans="1:6" x14ac:dyDescent="0.2">
      <c r="A359" s="1" t="s">
        <v>368</v>
      </c>
      <c r="B359" s="1" t="s">
        <v>12</v>
      </c>
      <c r="C359" s="1" t="s">
        <v>8</v>
      </c>
      <c r="D359" s="1">
        <v>21</v>
      </c>
      <c r="E359" s="1">
        <v>6.96</v>
      </c>
      <c r="F359" s="1">
        <v>1</v>
      </c>
    </row>
    <row r="360" spans="1:6" x14ac:dyDescent="0.2">
      <c r="A360" s="1" t="s">
        <v>369</v>
      </c>
      <c r="B360" s="1" t="s">
        <v>7</v>
      </c>
      <c r="C360" s="1" t="s">
        <v>8</v>
      </c>
      <c r="D360" s="1">
        <v>18</v>
      </c>
      <c r="E360" s="1">
        <v>9.27</v>
      </c>
      <c r="F360" s="1">
        <v>0</v>
      </c>
    </row>
    <row r="361" spans="1:6" x14ac:dyDescent="0.2">
      <c r="A361" s="1" t="s">
        <v>370</v>
      </c>
      <c r="B361" s="1" t="s">
        <v>10</v>
      </c>
      <c r="C361" s="1" t="s">
        <v>8</v>
      </c>
      <c r="D361" s="1">
        <v>22</v>
      </c>
      <c r="E361" s="1">
        <v>8.8699999999999992</v>
      </c>
      <c r="F361" s="1">
        <v>2</v>
      </c>
    </row>
    <row r="362" spans="1:6" x14ac:dyDescent="0.2">
      <c r="A362" s="1" t="s">
        <v>371</v>
      </c>
      <c r="B362" s="1" t="s">
        <v>31</v>
      </c>
      <c r="C362" s="1" t="s">
        <v>8</v>
      </c>
      <c r="D362" s="1">
        <v>18</v>
      </c>
      <c r="E362" s="1">
        <v>6.55</v>
      </c>
      <c r="F362" s="1">
        <v>3</v>
      </c>
    </row>
    <row r="363" spans="1:6" x14ac:dyDescent="0.2">
      <c r="A363" s="1" t="s">
        <v>372</v>
      </c>
      <c r="B363" s="1" t="s">
        <v>10</v>
      </c>
      <c r="C363" s="1" t="s">
        <v>8</v>
      </c>
      <c r="D363" s="1">
        <v>18</v>
      </c>
      <c r="E363" s="1">
        <v>6.16</v>
      </c>
      <c r="F363" s="1">
        <v>1</v>
      </c>
    </row>
    <row r="364" spans="1:6" x14ac:dyDescent="0.2">
      <c r="A364" s="1" t="s">
        <v>373</v>
      </c>
      <c r="B364" s="1" t="s">
        <v>7</v>
      </c>
      <c r="C364" s="1" t="s">
        <v>17</v>
      </c>
      <c r="D364" s="1">
        <v>19</v>
      </c>
      <c r="E364" s="1">
        <v>7.29</v>
      </c>
      <c r="F364" s="1">
        <v>4</v>
      </c>
    </row>
    <row r="365" spans="1:6" x14ac:dyDescent="0.2">
      <c r="A365" s="1" t="s">
        <v>374</v>
      </c>
      <c r="B365" s="1" t="s">
        <v>7</v>
      </c>
      <c r="C365" s="1" t="s">
        <v>8</v>
      </c>
      <c r="D365" s="1">
        <v>22</v>
      </c>
      <c r="E365" s="1">
        <v>8.91</v>
      </c>
      <c r="F365" s="1">
        <v>3</v>
      </c>
    </row>
    <row r="366" spans="1:6" x14ac:dyDescent="0.2">
      <c r="A366" s="1" t="s">
        <v>375</v>
      </c>
      <c r="B366" s="1" t="s">
        <v>7</v>
      </c>
      <c r="C366" s="1" t="s">
        <v>8</v>
      </c>
      <c r="D366" s="1">
        <v>21</v>
      </c>
      <c r="E366" s="1">
        <v>9.8000000000000007</v>
      </c>
      <c r="F366" s="1">
        <v>1</v>
      </c>
    </row>
    <row r="367" spans="1:6" x14ac:dyDescent="0.2">
      <c r="A367" s="1" t="s">
        <v>376</v>
      </c>
      <c r="B367" s="1" t="s">
        <v>10</v>
      </c>
      <c r="C367" s="1" t="s">
        <v>17</v>
      </c>
      <c r="D367" s="1">
        <v>19</v>
      </c>
      <c r="E367" s="1">
        <v>8.82</v>
      </c>
      <c r="F367" s="1">
        <v>0</v>
      </c>
    </row>
    <row r="368" spans="1:6" x14ac:dyDescent="0.2">
      <c r="A368" s="1" t="s">
        <v>377</v>
      </c>
      <c r="B368" s="1" t="s">
        <v>7</v>
      </c>
      <c r="C368" s="1" t="s">
        <v>8</v>
      </c>
      <c r="D368" s="1">
        <v>18</v>
      </c>
      <c r="E368" s="1">
        <v>9.2799999999999994</v>
      </c>
      <c r="F368" s="1">
        <v>0</v>
      </c>
    </row>
    <row r="369" spans="1:6" x14ac:dyDescent="0.2">
      <c r="A369" s="1" t="s">
        <v>378</v>
      </c>
      <c r="B369" s="1" t="s">
        <v>10</v>
      </c>
      <c r="C369" s="1" t="s">
        <v>17</v>
      </c>
      <c r="D369" s="1">
        <v>23</v>
      </c>
      <c r="E369" s="1">
        <v>8.02</v>
      </c>
      <c r="F369" s="1">
        <v>3</v>
      </c>
    </row>
    <row r="370" spans="1:6" x14ac:dyDescent="0.2">
      <c r="A370" s="1" t="s">
        <v>379</v>
      </c>
      <c r="B370" s="1" t="s">
        <v>7</v>
      </c>
      <c r="C370" s="1" t="s">
        <v>17</v>
      </c>
      <c r="D370" s="1">
        <v>18</v>
      </c>
      <c r="E370" s="1">
        <v>9.18</v>
      </c>
      <c r="F370" s="1">
        <v>3</v>
      </c>
    </row>
    <row r="371" spans="1:6" x14ac:dyDescent="0.2">
      <c r="A371" s="1" t="s">
        <v>380</v>
      </c>
      <c r="B371" s="1" t="s">
        <v>12</v>
      </c>
      <c r="C371" s="1" t="s">
        <v>8</v>
      </c>
      <c r="D371" s="1">
        <v>18</v>
      </c>
      <c r="E371" s="1">
        <v>8.92</v>
      </c>
      <c r="F371" s="1">
        <v>5</v>
      </c>
    </row>
    <row r="372" spans="1:6" x14ac:dyDescent="0.2">
      <c r="A372" s="1" t="s">
        <v>381</v>
      </c>
      <c r="B372" s="1" t="s">
        <v>7</v>
      </c>
      <c r="C372" s="1" t="s">
        <v>17</v>
      </c>
      <c r="D372" s="1">
        <v>22</v>
      </c>
      <c r="E372" s="1">
        <v>6.88</v>
      </c>
      <c r="F372" s="1">
        <v>2</v>
      </c>
    </row>
    <row r="373" spans="1:6" x14ac:dyDescent="0.2">
      <c r="A373" s="1" t="s">
        <v>382</v>
      </c>
      <c r="B373" s="1" t="s">
        <v>10</v>
      </c>
      <c r="C373" s="1" t="s">
        <v>8</v>
      </c>
      <c r="D373" s="1">
        <v>22</v>
      </c>
      <c r="E373" s="1">
        <v>7.76</v>
      </c>
      <c r="F373" s="1">
        <v>1</v>
      </c>
    </row>
    <row r="374" spans="1:6" x14ac:dyDescent="0.2">
      <c r="A374" s="1" t="s">
        <v>383</v>
      </c>
      <c r="B374" s="1" t="s">
        <v>16</v>
      </c>
      <c r="C374" s="1" t="s">
        <v>8</v>
      </c>
      <c r="D374" s="1">
        <v>19</v>
      </c>
      <c r="E374" s="1">
        <v>9.02</v>
      </c>
      <c r="F374" s="1">
        <v>3</v>
      </c>
    </row>
    <row r="375" spans="1:6" x14ac:dyDescent="0.2">
      <c r="A375" s="1" t="s">
        <v>384</v>
      </c>
      <c r="B375" s="1" t="s">
        <v>7</v>
      </c>
      <c r="C375" s="1" t="s">
        <v>17</v>
      </c>
      <c r="D375" s="1">
        <v>21</v>
      </c>
      <c r="E375" s="1">
        <v>5.23</v>
      </c>
      <c r="F375" s="1">
        <v>2</v>
      </c>
    </row>
    <row r="376" spans="1:6" x14ac:dyDescent="0.2">
      <c r="A376" s="1" t="s">
        <v>385</v>
      </c>
      <c r="B376" s="1" t="s">
        <v>16</v>
      </c>
      <c r="C376" s="1" t="s">
        <v>17</v>
      </c>
      <c r="D376" s="1">
        <v>19</v>
      </c>
      <c r="E376" s="1">
        <v>9.0399999999999991</v>
      </c>
      <c r="F376" s="1">
        <v>5</v>
      </c>
    </row>
    <row r="377" spans="1:6" x14ac:dyDescent="0.2">
      <c r="A377" s="1" t="s">
        <v>386</v>
      </c>
      <c r="B377" s="1" t="s">
        <v>12</v>
      </c>
      <c r="C377" s="1" t="s">
        <v>17</v>
      </c>
      <c r="D377" s="1">
        <v>20</v>
      </c>
      <c r="E377" s="1">
        <v>5.89</v>
      </c>
      <c r="F377" s="1">
        <v>2</v>
      </c>
    </row>
    <row r="378" spans="1:6" x14ac:dyDescent="0.2">
      <c r="A378" s="1" t="s">
        <v>387</v>
      </c>
      <c r="B378" s="1" t="s">
        <v>31</v>
      </c>
      <c r="C378" s="1" t="s">
        <v>8</v>
      </c>
      <c r="D378" s="1">
        <v>18</v>
      </c>
      <c r="E378" s="1">
        <v>7.57</v>
      </c>
      <c r="F378" s="1">
        <v>3</v>
      </c>
    </row>
    <row r="379" spans="1:6" x14ac:dyDescent="0.2">
      <c r="A379" s="1" t="s">
        <v>388</v>
      </c>
      <c r="B379" s="1" t="s">
        <v>12</v>
      </c>
      <c r="C379" s="1" t="s">
        <v>8</v>
      </c>
      <c r="D379" s="1">
        <v>23</v>
      </c>
      <c r="E379" s="1">
        <v>9.0399999999999991</v>
      </c>
      <c r="F379" s="1">
        <v>0</v>
      </c>
    </row>
    <row r="380" spans="1:6" x14ac:dyDescent="0.2">
      <c r="A380" s="1" t="s">
        <v>389</v>
      </c>
      <c r="B380" s="1" t="s">
        <v>7</v>
      </c>
      <c r="C380" s="1" t="s">
        <v>8</v>
      </c>
      <c r="D380" s="1">
        <v>18</v>
      </c>
      <c r="E380" s="1">
        <v>6.27</v>
      </c>
      <c r="F380" s="1">
        <v>1</v>
      </c>
    </row>
    <row r="381" spans="1:6" x14ac:dyDescent="0.2">
      <c r="A381" s="1" t="s">
        <v>390</v>
      </c>
      <c r="B381" s="1" t="s">
        <v>16</v>
      </c>
      <c r="C381" s="1" t="s">
        <v>17</v>
      </c>
      <c r="D381" s="1">
        <v>18</v>
      </c>
      <c r="E381" s="1">
        <v>6.23</v>
      </c>
      <c r="F381" s="1">
        <v>1</v>
      </c>
    </row>
    <row r="382" spans="1:6" x14ac:dyDescent="0.2">
      <c r="A382" s="1" t="s">
        <v>391</v>
      </c>
      <c r="B382" s="1" t="s">
        <v>16</v>
      </c>
      <c r="C382" s="1" t="s">
        <v>8</v>
      </c>
      <c r="D382" s="1">
        <v>19</v>
      </c>
      <c r="E382" s="1">
        <v>7.01</v>
      </c>
      <c r="F382" s="1">
        <v>0</v>
      </c>
    </row>
    <row r="383" spans="1:6" x14ac:dyDescent="0.2">
      <c r="A383" s="1" t="s">
        <v>392</v>
      </c>
      <c r="B383" s="1" t="s">
        <v>10</v>
      </c>
      <c r="C383" s="1" t="s">
        <v>17</v>
      </c>
      <c r="D383" s="1">
        <v>23</v>
      </c>
      <c r="E383" s="1">
        <v>9.4700000000000006</v>
      </c>
      <c r="F383" s="1">
        <v>3</v>
      </c>
    </row>
    <row r="384" spans="1:6" x14ac:dyDescent="0.2">
      <c r="A384" s="1" t="s">
        <v>393</v>
      </c>
      <c r="B384" s="1" t="s">
        <v>16</v>
      </c>
      <c r="C384" s="1" t="s">
        <v>8</v>
      </c>
      <c r="D384" s="1">
        <v>23</v>
      </c>
      <c r="E384" s="1">
        <v>5</v>
      </c>
      <c r="F384" s="1">
        <v>1</v>
      </c>
    </row>
    <row r="385" spans="1:6" x14ac:dyDescent="0.2">
      <c r="A385" s="1" t="s">
        <v>394</v>
      </c>
      <c r="B385" s="1" t="s">
        <v>10</v>
      </c>
      <c r="C385" s="1" t="s">
        <v>17</v>
      </c>
      <c r="D385" s="1">
        <v>23</v>
      </c>
      <c r="E385" s="1">
        <v>9.51</v>
      </c>
      <c r="F385" s="1">
        <v>3</v>
      </c>
    </row>
    <row r="386" spans="1:6" x14ac:dyDescent="0.2">
      <c r="A386" s="1" t="s">
        <v>395</v>
      </c>
      <c r="B386" s="1" t="s">
        <v>31</v>
      </c>
      <c r="C386" s="1" t="s">
        <v>8</v>
      </c>
      <c r="D386" s="1">
        <v>19</v>
      </c>
      <c r="E386" s="1">
        <v>5.77</v>
      </c>
      <c r="F386" s="1">
        <v>5</v>
      </c>
    </row>
    <row r="387" spans="1:6" x14ac:dyDescent="0.2">
      <c r="A387" s="1" t="s">
        <v>396</v>
      </c>
      <c r="B387" s="1" t="s">
        <v>7</v>
      </c>
      <c r="C387" s="1" t="s">
        <v>17</v>
      </c>
      <c r="D387" s="1">
        <v>18</v>
      </c>
      <c r="E387" s="1">
        <v>9.9499999999999993</v>
      </c>
      <c r="F387" s="1">
        <v>3</v>
      </c>
    </row>
    <row r="388" spans="1:6" x14ac:dyDescent="0.2">
      <c r="A388" s="1" t="s">
        <v>397</v>
      </c>
      <c r="B388" s="1" t="s">
        <v>10</v>
      </c>
      <c r="C388" s="1" t="s">
        <v>8</v>
      </c>
      <c r="D388" s="1">
        <v>19</v>
      </c>
      <c r="E388" s="1">
        <v>9.77</v>
      </c>
      <c r="F388" s="1">
        <v>2</v>
      </c>
    </row>
    <row r="389" spans="1:6" x14ac:dyDescent="0.2">
      <c r="A389" s="1" t="s">
        <v>398</v>
      </c>
      <c r="B389" s="1" t="s">
        <v>31</v>
      </c>
      <c r="C389" s="1" t="s">
        <v>17</v>
      </c>
      <c r="D389" s="1">
        <v>22</v>
      </c>
      <c r="E389" s="1">
        <v>7.47</v>
      </c>
      <c r="F389" s="1">
        <v>0</v>
      </c>
    </row>
    <row r="390" spans="1:6" x14ac:dyDescent="0.2">
      <c r="A390" s="1" t="s">
        <v>399</v>
      </c>
      <c r="B390" s="1" t="s">
        <v>16</v>
      </c>
      <c r="C390" s="1" t="s">
        <v>8</v>
      </c>
      <c r="D390" s="1">
        <v>22</v>
      </c>
      <c r="E390" s="1">
        <v>7.56</v>
      </c>
      <c r="F390" s="1">
        <v>3</v>
      </c>
    </row>
    <row r="391" spans="1:6" x14ac:dyDescent="0.2">
      <c r="A391" s="1" t="s">
        <v>400</v>
      </c>
      <c r="B391" s="1" t="s">
        <v>16</v>
      </c>
      <c r="C391" s="1" t="s">
        <v>8</v>
      </c>
      <c r="D391" s="1">
        <v>19</v>
      </c>
      <c r="E391" s="1">
        <v>7.41</v>
      </c>
      <c r="F391" s="1">
        <v>5</v>
      </c>
    </row>
    <row r="392" spans="1:6" x14ac:dyDescent="0.2">
      <c r="A392" s="1" t="s">
        <v>401</v>
      </c>
      <c r="B392" s="1" t="s">
        <v>31</v>
      </c>
      <c r="C392" s="1" t="s">
        <v>17</v>
      </c>
      <c r="D392" s="1">
        <v>23</v>
      </c>
      <c r="E392" s="1">
        <v>8.18</v>
      </c>
      <c r="F392" s="1">
        <v>4</v>
      </c>
    </row>
    <row r="393" spans="1:6" x14ac:dyDescent="0.2">
      <c r="A393" s="1" t="s">
        <v>402</v>
      </c>
      <c r="B393" s="1" t="s">
        <v>16</v>
      </c>
      <c r="C393" s="1" t="s">
        <v>8</v>
      </c>
      <c r="D393" s="1">
        <v>18</v>
      </c>
      <c r="E393" s="1">
        <v>5.45</v>
      </c>
      <c r="F393" s="1">
        <v>0</v>
      </c>
    </row>
    <row r="394" spans="1:6" x14ac:dyDescent="0.2">
      <c r="A394" s="1" t="s">
        <v>403</v>
      </c>
      <c r="B394" s="1" t="s">
        <v>31</v>
      </c>
      <c r="C394" s="1" t="s">
        <v>8</v>
      </c>
      <c r="D394" s="1">
        <v>19</v>
      </c>
      <c r="E394" s="1">
        <v>5.16</v>
      </c>
      <c r="F394" s="1">
        <v>1</v>
      </c>
    </row>
    <row r="395" spans="1:6" x14ac:dyDescent="0.2">
      <c r="A395" s="1" t="s">
        <v>404</v>
      </c>
      <c r="B395" s="1" t="s">
        <v>10</v>
      </c>
      <c r="C395" s="1" t="s">
        <v>17</v>
      </c>
      <c r="D395" s="1">
        <v>19</v>
      </c>
      <c r="E395" s="1">
        <v>5.29</v>
      </c>
      <c r="F395" s="1">
        <v>2</v>
      </c>
    </row>
    <row r="396" spans="1:6" x14ac:dyDescent="0.2">
      <c r="A396" s="1" t="s">
        <v>405</v>
      </c>
      <c r="B396" s="1" t="s">
        <v>10</v>
      </c>
      <c r="C396" s="1" t="s">
        <v>17</v>
      </c>
      <c r="D396" s="1">
        <v>19</v>
      </c>
      <c r="E396" s="1">
        <v>7.22</v>
      </c>
      <c r="F396" s="1">
        <v>1</v>
      </c>
    </row>
    <row r="397" spans="1:6" x14ac:dyDescent="0.2">
      <c r="A397" s="1" t="s">
        <v>406</v>
      </c>
      <c r="B397" s="1" t="s">
        <v>31</v>
      </c>
      <c r="C397" s="1" t="s">
        <v>8</v>
      </c>
      <c r="D397" s="1">
        <v>20</v>
      </c>
      <c r="E397" s="1">
        <v>6.38</v>
      </c>
      <c r="F397" s="1">
        <v>5</v>
      </c>
    </row>
    <row r="398" spans="1:6" x14ac:dyDescent="0.2">
      <c r="A398" s="1" t="s">
        <v>407</v>
      </c>
      <c r="B398" s="1" t="s">
        <v>10</v>
      </c>
      <c r="C398" s="1" t="s">
        <v>17</v>
      </c>
      <c r="D398" s="1">
        <v>22</v>
      </c>
      <c r="E398" s="1">
        <v>8.11</v>
      </c>
      <c r="F398" s="1">
        <v>5</v>
      </c>
    </row>
    <row r="399" spans="1:6" x14ac:dyDescent="0.2">
      <c r="A399" s="1" t="s">
        <v>408</v>
      </c>
      <c r="B399" s="1" t="s">
        <v>10</v>
      </c>
      <c r="C399" s="1" t="s">
        <v>8</v>
      </c>
      <c r="D399" s="1">
        <v>23</v>
      </c>
      <c r="E399" s="1">
        <v>9.9600000000000009</v>
      </c>
      <c r="F399" s="1">
        <v>1</v>
      </c>
    </row>
    <row r="400" spans="1:6" x14ac:dyDescent="0.2">
      <c r="A400" s="1" t="s">
        <v>409</v>
      </c>
      <c r="B400" s="1" t="s">
        <v>10</v>
      </c>
      <c r="C400" s="1" t="s">
        <v>17</v>
      </c>
      <c r="D400" s="1">
        <v>21</v>
      </c>
      <c r="E400" s="1">
        <v>6.93</v>
      </c>
      <c r="F400" s="1">
        <v>0</v>
      </c>
    </row>
    <row r="401" spans="1:6" x14ac:dyDescent="0.2">
      <c r="A401" s="1" t="s">
        <v>410</v>
      </c>
      <c r="B401" s="1" t="s">
        <v>12</v>
      </c>
      <c r="C401" s="1" t="s">
        <v>8</v>
      </c>
      <c r="D401" s="1">
        <v>23</v>
      </c>
      <c r="E401" s="1">
        <v>7.87</v>
      </c>
      <c r="F401" s="1">
        <v>1</v>
      </c>
    </row>
    <row r="402" spans="1:6" x14ac:dyDescent="0.2">
      <c r="A402" s="1" t="s">
        <v>411</v>
      </c>
      <c r="B402" s="1" t="s">
        <v>7</v>
      </c>
      <c r="C402" s="1" t="s">
        <v>17</v>
      </c>
      <c r="D402" s="1">
        <v>21</v>
      </c>
      <c r="E402" s="1">
        <v>7.08</v>
      </c>
      <c r="F402" s="1">
        <v>3</v>
      </c>
    </row>
    <row r="403" spans="1:6" x14ac:dyDescent="0.2">
      <c r="A403" s="1" t="s">
        <v>412</v>
      </c>
      <c r="B403" s="1" t="s">
        <v>16</v>
      </c>
      <c r="C403" s="1" t="s">
        <v>8</v>
      </c>
      <c r="D403" s="1">
        <v>20</v>
      </c>
      <c r="E403" s="1">
        <v>9.24</v>
      </c>
      <c r="F403" s="1">
        <v>1</v>
      </c>
    </row>
    <row r="404" spans="1:6" x14ac:dyDescent="0.2">
      <c r="A404" s="1" t="s">
        <v>413</v>
      </c>
      <c r="B404" s="1" t="s">
        <v>12</v>
      </c>
      <c r="C404" s="1" t="s">
        <v>8</v>
      </c>
      <c r="D404" s="1">
        <v>19</v>
      </c>
      <c r="E404" s="1">
        <v>9.51</v>
      </c>
      <c r="F404" s="1">
        <v>2</v>
      </c>
    </row>
    <row r="405" spans="1:6" x14ac:dyDescent="0.2">
      <c r="A405" s="1" t="s">
        <v>414</v>
      </c>
      <c r="B405" s="1" t="s">
        <v>10</v>
      </c>
      <c r="C405" s="1" t="s">
        <v>8</v>
      </c>
      <c r="D405" s="1">
        <v>20</v>
      </c>
      <c r="E405" s="1">
        <v>9.39</v>
      </c>
      <c r="F405" s="1">
        <v>2</v>
      </c>
    </row>
    <row r="406" spans="1:6" x14ac:dyDescent="0.2">
      <c r="A406" s="1" t="s">
        <v>415</v>
      </c>
      <c r="B406" s="1" t="s">
        <v>31</v>
      </c>
      <c r="C406" s="1" t="s">
        <v>8</v>
      </c>
      <c r="D406" s="1">
        <v>20</v>
      </c>
      <c r="E406" s="1">
        <v>9.8699999999999992</v>
      </c>
      <c r="F406" s="1">
        <v>4</v>
      </c>
    </row>
    <row r="407" spans="1:6" x14ac:dyDescent="0.2">
      <c r="A407" s="1" t="s">
        <v>416</v>
      </c>
      <c r="B407" s="1" t="s">
        <v>10</v>
      </c>
      <c r="C407" s="1" t="s">
        <v>17</v>
      </c>
      <c r="D407" s="1">
        <v>18</v>
      </c>
      <c r="E407" s="1">
        <v>5.14</v>
      </c>
      <c r="F407" s="1">
        <v>2</v>
      </c>
    </row>
    <row r="408" spans="1:6" x14ac:dyDescent="0.2">
      <c r="A408" s="1" t="s">
        <v>417</v>
      </c>
      <c r="B408" s="1" t="s">
        <v>7</v>
      </c>
      <c r="C408" s="1" t="s">
        <v>8</v>
      </c>
      <c r="D408" s="1">
        <v>22</v>
      </c>
      <c r="E408" s="1">
        <v>9.1999999999999993</v>
      </c>
      <c r="F408" s="1">
        <v>1</v>
      </c>
    </row>
    <row r="409" spans="1:6" x14ac:dyDescent="0.2">
      <c r="A409" s="1" t="s">
        <v>418</v>
      </c>
      <c r="B409" s="1" t="s">
        <v>10</v>
      </c>
      <c r="C409" s="1" t="s">
        <v>17</v>
      </c>
      <c r="D409" s="1">
        <v>21</v>
      </c>
      <c r="E409" s="1">
        <v>8.76</v>
      </c>
      <c r="F409" s="1">
        <v>2</v>
      </c>
    </row>
    <row r="410" spans="1:6" x14ac:dyDescent="0.2">
      <c r="A410" s="1" t="s">
        <v>419</v>
      </c>
      <c r="B410" s="1" t="s">
        <v>31</v>
      </c>
      <c r="C410" s="1" t="s">
        <v>17</v>
      </c>
      <c r="D410" s="1">
        <v>19</v>
      </c>
      <c r="E410" s="1">
        <v>6.14</v>
      </c>
      <c r="F410" s="1">
        <v>0</v>
      </c>
    </row>
    <row r="411" spans="1:6" x14ac:dyDescent="0.2">
      <c r="A411" s="1" t="s">
        <v>420</v>
      </c>
      <c r="B411" s="1" t="s">
        <v>7</v>
      </c>
      <c r="C411" s="1" t="s">
        <v>17</v>
      </c>
      <c r="D411" s="1">
        <v>21</v>
      </c>
      <c r="E411" s="1">
        <v>9.7799999999999994</v>
      </c>
      <c r="F411" s="1">
        <v>2</v>
      </c>
    </row>
    <row r="412" spans="1:6" x14ac:dyDescent="0.2">
      <c r="A412" s="1" t="s">
        <v>421</v>
      </c>
      <c r="B412" s="1" t="s">
        <v>10</v>
      </c>
      <c r="C412" s="1" t="s">
        <v>17</v>
      </c>
      <c r="D412" s="1">
        <v>23</v>
      </c>
      <c r="E412" s="1">
        <v>5.74</v>
      </c>
      <c r="F412" s="1">
        <v>3</v>
      </c>
    </row>
    <row r="413" spans="1:6" x14ac:dyDescent="0.2">
      <c r="A413" s="1" t="s">
        <v>422</v>
      </c>
      <c r="B413" s="1" t="s">
        <v>7</v>
      </c>
      <c r="C413" s="1" t="s">
        <v>8</v>
      </c>
      <c r="D413" s="1">
        <v>21</v>
      </c>
      <c r="E413" s="1">
        <v>8.4</v>
      </c>
      <c r="F413" s="1">
        <v>0</v>
      </c>
    </row>
    <row r="414" spans="1:6" x14ac:dyDescent="0.2">
      <c r="A414" s="1" t="s">
        <v>423</v>
      </c>
      <c r="B414" s="1" t="s">
        <v>16</v>
      </c>
      <c r="C414" s="1" t="s">
        <v>8</v>
      </c>
      <c r="D414" s="1">
        <v>23</v>
      </c>
      <c r="E414" s="1">
        <v>6.12</v>
      </c>
      <c r="F414" s="1">
        <v>4</v>
      </c>
    </row>
    <row r="415" spans="1:6" x14ac:dyDescent="0.2">
      <c r="A415" s="1" t="s">
        <v>424</v>
      </c>
      <c r="B415" s="1" t="s">
        <v>16</v>
      </c>
      <c r="C415" s="1" t="s">
        <v>17</v>
      </c>
      <c r="D415" s="1">
        <v>22</v>
      </c>
      <c r="E415" s="1">
        <v>7.16</v>
      </c>
      <c r="F415" s="1">
        <v>3</v>
      </c>
    </row>
    <row r="416" spans="1:6" x14ac:dyDescent="0.2">
      <c r="A416" s="1" t="s">
        <v>425</v>
      </c>
      <c r="B416" s="1" t="s">
        <v>10</v>
      </c>
      <c r="C416" s="1" t="s">
        <v>17</v>
      </c>
      <c r="D416" s="1">
        <v>23</v>
      </c>
      <c r="E416" s="1">
        <v>8.6</v>
      </c>
      <c r="F416" s="1">
        <v>1</v>
      </c>
    </row>
    <row r="417" spans="1:6" x14ac:dyDescent="0.2">
      <c r="A417" s="1" t="s">
        <v>426</v>
      </c>
      <c r="B417" s="1" t="s">
        <v>7</v>
      </c>
      <c r="C417" s="1" t="s">
        <v>8</v>
      </c>
      <c r="D417" s="1">
        <v>21</v>
      </c>
      <c r="E417" s="1">
        <v>7.82</v>
      </c>
      <c r="F417" s="1">
        <v>1</v>
      </c>
    </row>
    <row r="418" spans="1:6" x14ac:dyDescent="0.2">
      <c r="A418" s="1" t="s">
        <v>427</v>
      </c>
      <c r="B418" s="1" t="s">
        <v>31</v>
      </c>
      <c r="C418" s="1" t="s">
        <v>17</v>
      </c>
      <c r="D418" s="1">
        <v>21</v>
      </c>
      <c r="E418" s="1">
        <v>7.14</v>
      </c>
      <c r="F418" s="1">
        <v>1</v>
      </c>
    </row>
    <row r="419" spans="1:6" x14ac:dyDescent="0.2">
      <c r="A419" s="1" t="s">
        <v>428</v>
      </c>
      <c r="B419" s="1" t="s">
        <v>10</v>
      </c>
      <c r="C419" s="1" t="s">
        <v>17</v>
      </c>
      <c r="D419" s="1">
        <v>23</v>
      </c>
      <c r="E419" s="1">
        <v>6.63</v>
      </c>
      <c r="F419" s="1">
        <v>3</v>
      </c>
    </row>
    <row r="420" spans="1:6" x14ac:dyDescent="0.2">
      <c r="A420" s="1" t="s">
        <v>429</v>
      </c>
      <c r="B420" s="1" t="s">
        <v>16</v>
      </c>
      <c r="C420" s="1" t="s">
        <v>17</v>
      </c>
      <c r="D420" s="1">
        <v>20</v>
      </c>
      <c r="E420" s="1">
        <v>9.1999999999999993</v>
      </c>
      <c r="F420" s="1">
        <v>3</v>
      </c>
    </row>
    <row r="421" spans="1:6" x14ac:dyDescent="0.2">
      <c r="A421" s="1" t="s">
        <v>430</v>
      </c>
      <c r="B421" s="1" t="s">
        <v>16</v>
      </c>
      <c r="C421" s="1" t="s">
        <v>8</v>
      </c>
      <c r="D421" s="1">
        <v>22</v>
      </c>
      <c r="E421" s="1">
        <v>5.72</v>
      </c>
      <c r="F421" s="1">
        <v>3</v>
      </c>
    </row>
    <row r="422" spans="1:6" x14ac:dyDescent="0.2">
      <c r="A422" s="1" t="s">
        <v>431</v>
      </c>
      <c r="B422" s="1" t="s">
        <v>10</v>
      </c>
      <c r="C422" s="1" t="s">
        <v>8</v>
      </c>
      <c r="D422" s="1">
        <v>18</v>
      </c>
      <c r="E422" s="1">
        <v>7.15</v>
      </c>
      <c r="F422" s="1">
        <v>0</v>
      </c>
    </row>
    <row r="423" spans="1:6" x14ac:dyDescent="0.2">
      <c r="A423" s="1" t="s">
        <v>432</v>
      </c>
      <c r="B423" s="1" t="s">
        <v>7</v>
      </c>
      <c r="C423" s="1" t="s">
        <v>17</v>
      </c>
      <c r="D423" s="1">
        <v>19</v>
      </c>
      <c r="E423" s="1">
        <v>9.52</v>
      </c>
      <c r="F423" s="1">
        <v>5</v>
      </c>
    </row>
    <row r="424" spans="1:6" x14ac:dyDescent="0.2">
      <c r="A424" s="1" t="s">
        <v>433</v>
      </c>
      <c r="B424" s="1" t="s">
        <v>16</v>
      </c>
      <c r="C424" s="1" t="s">
        <v>17</v>
      </c>
      <c r="D424" s="1">
        <v>21</v>
      </c>
      <c r="E424" s="1">
        <v>9.23</v>
      </c>
      <c r="F424" s="1">
        <v>0</v>
      </c>
    </row>
    <row r="425" spans="1:6" x14ac:dyDescent="0.2">
      <c r="A425" s="1" t="s">
        <v>434</v>
      </c>
      <c r="B425" s="1" t="s">
        <v>7</v>
      </c>
      <c r="C425" s="1" t="s">
        <v>8</v>
      </c>
      <c r="D425" s="1">
        <v>19</v>
      </c>
      <c r="E425" s="1">
        <v>7</v>
      </c>
      <c r="F425" s="1">
        <v>1</v>
      </c>
    </row>
    <row r="426" spans="1:6" x14ac:dyDescent="0.2">
      <c r="A426" s="1" t="s">
        <v>435</v>
      </c>
      <c r="B426" s="1" t="s">
        <v>16</v>
      </c>
      <c r="C426" s="1" t="s">
        <v>8</v>
      </c>
      <c r="D426" s="1">
        <v>18</v>
      </c>
      <c r="E426" s="1">
        <v>8.82</v>
      </c>
      <c r="F426" s="1">
        <v>5</v>
      </c>
    </row>
    <row r="427" spans="1:6" x14ac:dyDescent="0.2">
      <c r="A427" s="1" t="s">
        <v>436</v>
      </c>
      <c r="B427" s="1" t="s">
        <v>16</v>
      </c>
      <c r="C427" s="1" t="s">
        <v>17</v>
      </c>
      <c r="D427" s="1">
        <v>19</v>
      </c>
      <c r="E427" s="1">
        <v>9.1199999999999992</v>
      </c>
      <c r="F427" s="1">
        <v>2</v>
      </c>
    </row>
    <row r="428" spans="1:6" x14ac:dyDescent="0.2">
      <c r="A428" s="1" t="s">
        <v>437</v>
      </c>
      <c r="B428" s="1" t="s">
        <v>12</v>
      </c>
      <c r="C428" s="1" t="s">
        <v>8</v>
      </c>
      <c r="D428" s="1">
        <v>18</v>
      </c>
      <c r="E428" s="1">
        <v>9.44</v>
      </c>
      <c r="F428" s="1">
        <v>1</v>
      </c>
    </row>
    <row r="429" spans="1:6" x14ac:dyDescent="0.2">
      <c r="A429" s="1" t="s">
        <v>438</v>
      </c>
      <c r="B429" s="1" t="s">
        <v>16</v>
      </c>
      <c r="C429" s="1" t="s">
        <v>17</v>
      </c>
      <c r="D429" s="1">
        <v>23</v>
      </c>
      <c r="E429" s="1">
        <v>7.72</v>
      </c>
      <c r="F429" s="1">
        <v>4</v>
      </c>
    </row>
    <row r="430" spans="1:6" x14ac:dyDescent="0.2">
      <c r="A430" s="1" t="s">
        <v>439</v>
      </c>
      <c r="B430" s="1" t="s">
        <v>31</v>
      </c>
      <c r="C430" s="1" t="s">
        <v>17</v>
      </c>
      <c r="D430" s="1">
        <v>20</v>
      </c>
      <c r="E430" s="1">
        <v>6.02</v>
      </c>
      <c r="F430" s="1">
        <v>0</v>
      </c>
    </row>
    <row r="431" spans="1:6" x14ac:dyDescent="0.2">
      <c r="A431" s="1" t="s">
        <v>440</v>
      </c>
      <c r="B431" s="1" t="s">
        <v>10</v>
      </c>
      <c r="C431" s="1" t="s">
        <v>8</v>
      </c>
      <c r="D431" s="1">
        <v>21</v>
      </c>
      <c r="E431" s="1">
        <v>6.28</v>
      </c>
      <c r="F431" s="1">
        <v>3</v>
      </c>
    </row>
    <row r="432" spans="1:6" x14ac:dyDescent="0.2">
      <c r="A432" s="1" t="s">
        <v>441</v>
      </c>
      <c r="B432" s="1" t="s">
        <v>10</v>
      </c>
      <c r="C432" s="1" t="s">
        <v>17</v>
      </c>
      <c r="D432" s="1">
        <v>18</v>
      </c>
      <c r="E432" s="1">
        <v>6.48</v>
      </c>
      <c r="F432" s="1">
        <v>0</v>
      </c>
    </row>
    <row r="433" spans="1:6" x14ac:dyDescent="0.2">
      <c r="A433" s="1" t="s">
        <v>442</v>
      </c>
      <c r="B433" s="1" t="s">
        <v>7</v>
      </c>
      <c r="C433" s="1" t="s">
        <v>8</v>
      </c>
      <c r="D433" s="1">
        <v>19</v>
      </c>
      <c r="E433" s="1">
        <v>7.97</v>
      </c>
      <c r="F433" s="1">
        <v>3</v>
      </c>
    </row>
    <row r="434" spans="1:6" x14ac:dyDescent="0.2">
      <c r="A434" s="1" t="s">
        <v>443</v>
      </c>
      <c r="B434" s="1" t="s">
        <v>16</v>
      </c>
      <c r="C434" s="1" t="s">
        <v>17</v>
      </c>
      <c r="D434" s="1">
        <v>21</v>
      </c>
      <c r="E434" s="1">
        <v>5.16</v>
      </c>
      <c r="F434" s="1">
        <v>5</v>
      </c>
    </row>
    <row r="435" spans="1:6" x14ac:dyDescent="0.2">
      <c r="A435" s="1" t="s">
        <v>444</v>
      </c>
      <c r="B435" s="1" t="s">
        <v>31</v>
      </c>
      <c r="C435" s="1" t="s">
        <v>17</v>
      </c>
      <c r="D435" s="1">
        <v>20</v>
      </c>
      <c r="E435" s="1">
        <v>8.18</v>
      </c>
      <c r="F435" s="1">
        <v>4</v>
      </c>
    </row>
    <row r="436" spans="1:6" x14ac:dyDescent="0.2">
      <c r="A436" s="1" t="s">
        <v>445</v>
      </c>
      <c r="B436" s="1" t="s">
        <v>7</v>
      </c>
      <c r="C436" s="1" t="s">
        <v>8</v>
      </c>
      <c r="D436" s="1">
        <v>23</v>
      </c>
      <c r="E436" s="1">
        <v>6.82</v>
      </c>
      <c r="F436" s="1">
        <v>5</v>
      </c>
    </row>
    <row r="437" spans="1:6" x14ac:dyDescent="0.2">
      <c r="A437" s="1" t="s">
        <v>446</v>
      </c>
      <c r="B437" s="1" t="s">
        <v>12</v>
      </c>
      <c r="C437" s="1" t="s">
        <v>17</v>
      </c>
      <c r="D437" s="1">
        <v>21</v>
      </c>
      <c r="E437" s="1">
        <v>6.48</v>
      </c>
      <c r="F437" s="1">
        <v>4</v>
      </c>
    </row>
    <row r="438" spans="1:6" x14ac:dyDescent="0.2">
      <c r="A438" s="1" t="s">
        <v>447</v>
      </c>
      <c r="B438" s="1" t="s">
        <v>7</v>
      </c>
      <c r="C438" s="1" t="s">
        <v>8</v>
      </c>
      <c r="D438" s="1">
        <v>18</v>
      </c>
      <c r="E438" s="1">
        <v>9.4</v>
      </c>
      <c r="F438" s="1">
        <v>0</v>
      </c>
    </row>
    <row r="439" spans="1:6" x14ac:dyDescent="0.2">
      <c r="A439" s="1" t="s">
        <v>448</v>
      </c>
      <c r="B439" s="1" t="s">
        <v>7</v>
      </c>
      <c r="C439" s="1" t="s">
        <v>17</v>
      </c>
      <c r="D439" s="1">
        <v>20</v>
      </c>
      <c r="E439" s="1">
        <v>7.3</v>
      </c>
      <c r="F439" s="1">
        <v>3</v>
      </c>
    </row>
    <row r="440" spans="1:6" x14ac:dyDescent="0.2">
      <c r="A440" s="1" t="s">
        <v>449</v>
      </c>
      <c r="B440" s="1" t="s">
        <v>16</v>
      </c>
      <c r="C440" s="1" t="s">
        <v>17</v>
      </c>
      <c r="D440" s="1">
        <v>19</v>
      </c>
      <c r="E440" s="1">
        <v>5.48</v>
      </c>
      <c r="F440" s="1">
        <v>5</v>
      </c>
    </row>
    <row r="441" spans="1:6" x14ac:dyDescent="0.2">
      <c r="A441" s="1" t="s">
        <v>450</v>
      </c>
      <c r="B441" s="1" t="s">
        <v>12</v>
      </c>
      <c r="C441" s="1" t="s">
        <v>17</v>
      </c>
      <c r="D441" s="1">
        <v>20</v>
      </c>
      <c r="E441" s="1">
        <v>9.1300000000000008</v>
      </c>
      <c r="F441" s="1">
        <v>4</v>
      </c>
    </row>
    <row r="442" spans="1:6" x14ac:dyDescent="0.2">
      <c r="A442" s="1" t="s">
        <v>451</v>
      </c>
      <c r="B442" s="1" t="s">
        <v>7</v>
      </c>
      <c r="C442" s="1" t="s">
        <v>8</v>
      </c>
      <c r="D442" s="1">
        <v>20</v>
      </c>
      <c r="E442" s="1">
        <v>5.24</v>
      </c>
      <c r="F442" s="1">
        <v>1</v>
      </c>
    </row>
    <row r="443" spans="1:6" x14ac:dyDescent="0.2">
      <c r="A443" s="1" t="s">
        <v>452</v>
      </c>
      <c r="B443" s="1" t="s">
        <v>31</v>
      </c>
      <c r="C443" s="1" t="s">
        <v>17</v>
      </c>
      <c r="D443" s="1">
        <v>22</v>
      </c>
      <c r="E443" s="1">
        <v>8.6300000000000008</v>
      </c>
      <c r="F443" s="1">
        <v>1</v>
      </c>
    </row>
    <row r="444" spans="1:6" x14ac:dyDescent="0.2">
      <c r="A444" s="1" t="s">
        <v>453</v>
      </c>
      <c r="B444" s="1" t="s">
        <v>31</v>
      </c>
      <c r="C444" s="1" t="s">
        <v>8</v>
      </c>
      <c r="D444" s="1">
        <v>20</v>
      </c>
      <c r="E444" s="1">
        <v>8.8699999999999992</v>
      </c>
      <c r="F444" s="1">
        <v>5</v>
      </c>
    </row>
    <row r="445" spans="1:6" x14ac:dyDescent="0.2">
      <c r="A445" s="1" t="s">
        <v>454</v>
      </c>
      <c r="B445" s="1" t="s">
        <v>10</v>
      </c>
      <c r="C445" s="1" t="s">
        <v>17</v>
      </c>
      <c r="D445" s="1">
        <v>20</v>
      </c>
      <c r="E445" s="1">
        <v>6.76</v>
      </c>
      <c r="F445" s="1">
        <v>3</v>
      </c>
    </row>
    <row r="446" spans="1:6" x14ac:dyDescent="0.2">
      <c r="A446" s="1" t="s">
        <v>455</v>
      </c>
      <c r="B446" s="1" t="s">
        <v>12</v>
      </c>
      <c r="C446" s="1" t="s">
        <v>8</v>
      </c>
      <c r="D446" s="1">
        <v>21</v>
      </c>
      <c r="E446" s="1">
        <v>9.1199999999999992</v>
      </c>
      <c r="F446" s="1">
        <v>5</v>
      </c>
    </row>
    <row r="447" spans="1:6" x14ac:dyDescent="0.2">
      <c r="A447" s="1" t="s">
        <v>456</v>
      </c>
      <c r="B447" s="1" t="s">
        <v>12</v>
      </c>
      <c r="C447" s="1" t="s">
        <v>17</v>
      </c>
      <c r="D447" s="1">
        <v>19</v>
      </c>
      <c r="E447" s="1">
        <v>7.58</v>
      </c>
      <c r="F447" s="1">
        <v>0</v>
      </c>
    </row>
    <row r="448" spans="1:6" x14ac:dyDescent="0.2">
      <c r="A448" s="1" t="s">
        <v>457</v>
      </c>
      <c r="B448" s="1" t="s">
        <v>10</v>
      </c>
      <c r="C448" s="1" t="s">
        <v>8</v>
      </c>
      <c r="D448" s="1">
        <v>21</v>
      </c>
      <c r="E448" s="1">
        <v>7.32</v>
      </c>
      <c r="F448" s="1">
        <v>4</v>
      </c>
    </row>
    <row r="449" spans="1:6" x14ac:dyDescent="0.2">
      <c r="A449" s="1" t="s">
        <v>458</v>
      </c>
      <c r="B449" s="1" t="s">
        <v>7</v>
      </c>
      <c r="C449" s="1" t="s">
        <v>8</v>
      </c>
      <c r="D449" s="1">
        <v>21</v>
      </c>
      <c r="E449" s="1">
        <v>5.23</v>
      </c>
      <c r="F449" s="1">
        <v>0</v>
      </c>
    </row>
    <row r="450" spans="1:6" x14ac:dyDescent="0.2">
      <c r="A450" s="1" t="s">
        <v>459</v>
      </c>
      <c r="B450" s="1" t="s">
        <v>12</v>
      </c>
      <c r="C450" s="1" t="s">
        <v>8</v>
      </c>
      <c r="D450" s="1">
        <v>18</v>
      </c>
      <c r="E450" s="1">
        <v>6.45</v>
      </c>
      <c r="F450" s="1">
        <v>1</v>
      </c>
    </row>
    <row r="451" spans="1:6" x14ac:dyDescent="0.2">
      <c r="A451" s="1" t="s">
        <v>460</v>
      </c>
      <c r="B451" s="1" t="s">
        <v>31</v>
      </c>
      <c r="C451" s="1" t="s">
        <v>8</v>
      </c>
      <c r="D451" s="1">
        <v>21</v>
      </c>
      <c r="E451" s="1">
        <v>9.66</v>
      </c>
      <c r="F451" s="1">
        <v>4</v>
      </c>
    </row>
    <row r="452" spans="1:6" x14ac:dyDescent="0.2">
      <c r="A452" s="1" t="s">
        <v>461</v>
      </c>
      <c r="B452" s="1" t="s">
        <v>31</v>
      </c>
      <c r="C452" s="1" t="s">
        <v>8</v>
      </c>
      <c r="D452" s="1">
        <v>22</v>
      </c>
      <c r="E452" s="1">
        <v>6.96</v>
      </c>
      <c r="F452" s="1">
        <v>5</v>
      </c>
    </row>
    <row r="453" spans="1:6" x14ac:dyDescent="0.2">
      <c r="A453" s="1" t="s">
        <v>462</v>
      </c>
      <c r="B453" s="1" t="s">
        <v>16</v>
      </c>
      <c r="C453" s="1" t="s">
        <v>8</v>
      </c>
      <c r="D453" s="1">
        <v>22</v>
      </c>
      <c r="E453" s="1">
        <v>7.73</v>
      </c>
      <c r="F453" s="1">
        <v>0</v>
      </c>
    </row>
    <row r="454" spans="1:6" x14ac:dyDescent="0.2">
      <c r="A454" s="1" t="s">
        <v>463</v>
      </c>
      <c r="B454" s="1" t="s">
        <v>12</v>
      </c>
      <c r="C454" s="1" t="s">
        <v>17</v>
      </c>
      <c r="D454" s="1">
        <v>18</v>
      </c>
      <c r="E454" s="1">
        <v>7.66</v>
      </c>
      <c r="F454" s="1">
        <v>2</v>
      </c>
    </row>
    <row r="455" spans="1:6" x14ac:dyDescent="0.2">
      <c r="A455" s="1" t="s">
        <v>464</v>
      </c>
      <c r="B455" s="1" t="s">
        <v>7</v>
      </c>
      <c r="C455" s="1" t="s">
        <v>17</v>
      </c>
      <c r="D455" s="1">
        <v>23</v>
      </c>
      <c r="E455" s="1">
        <v>7.95</v>
      </c>
      <c r="F455" s="1">
        <v>3</v>
      </c>
    </row>
    <row r="456" spans="1:6" x14ac:dyDescent="0.2">
      <c r="A456" s="1" t="s">
        <v>465</v>
      </c>
      <c r="B456" s="1" t="s">
        <v>10</v>
      </c>
      <c r="C456" s="1" t="s">
        <v>8</v>
      </c>
      <c r="D456" s="1">
        <v>19</v>
      </c>
      <c r="E456" s="1">
        <v>5.31</v>
      </c>
      <c r="F456" s="1">
        <v>3</v>
      </c>
    </row>
    <row r="457" spans="1:6" x14ac:dyDescent="0.2">
      <c r="A457" s="1" t="s">
        <v>466</v>
      </c>
      <c r="B457" s="1" t="s">
        <v>10</v>
      </c>
      <c r="C457" s="1" t="s">
        <v>8</v>
      </c>
      <c r="D457" s="1">
        <v>19</v>
      </c>
      <c r="E457" s="1">
        <v>6.81</v>
      </c>
      <c r="F457" s="1">
        <v>2</v>
      </c>
    </row>
    <row r="458" spans="1:6" x14ac:dyDescent="0.2">
      <c r="A458" s="1" t="s">
        <v>467</v>
      </c>
      <c r="B458" s="1" t="s">
        <v>7</v>
      </c>
      <c r="C458" s="1" t="s">
        <v>8</v>
      </c>
      <c r="D458" s="1">
        <v>21</v>
      </c>
      <c r="E458" s="1">
        <v>8.6199999999999992</v>
      </c>
      <c r="F458" s="1">
        <v>1</v>
      </c>
    </row>
    <row r="459" spans="1:6" x14ac:dyDescent="0.2">
      <c r="A459" s="1" t="s">
        <v>468</v>
      </c>
      <c r="B459" s="1" t="s">
        <v>16</v>
      </c>
      <c r="C459" s="1" t="s">
        <v>17</v>
      </c>
      <c r="D459" s="1">
        <v>21</v>
      </c>
      <c r="E459" s="1">
        <v>6</v>
      </c>
      <c r="F459" s="1">
        <v>4</v>
      </c>
    </row>
    <row r="460" spans="1:6" x14ac:dyDescent="0.2">
      <c r="A460" s="1" t="s">
        <v>469</v>
      </c>
      <c r="B460" s="1" t="s">
        <v>10</v>
      </c>
      <c r="C460" s="1" t="s">
        <v>17</v>
      </c>
      <c r="D460" s="1">
        <v>23</v>
      </c>
      <c r="E460" s="1">
        <v>6.02</v>
      </c>
      <c r="F460" s="1">
        <v>3</v>
      </c>
    </row>
    <row r="461" spans="1:6" x14ac:dyDescent="0.2">
      <c r="A461" s="1" t="s">
        <v>470</v>
      </c>
      <c r="B461" s="1" t="s">
        <v>12</v>
      </c>
      <c r="C461" s="1" t="s">
        <v>17</v>
      </c>
      <c r="D461" s="1">
        <v>21</v>
      </c>
      <c r="E461" s="1">
        <v>5.05</v>
      </c>
      <c r="F461" s="1">
        <v>2</v>
      </c>
    </row>
    <row r="462" spans="1:6" x14ac:dyDescent="0.2">
      <c r="A462" s="1" t="s">
        <v>471</v>
      </c>
      <c r="B462" s="1" t="s">
        <v>16</v>
      </c>
      <c r="C462" s="1" t="s">
        <v>8</v>
      </c>
      <c r="D462" s="1">
        <v>19</v>
      </c>
      <c r="E462" s="1">
        <v>7.19</v>
      </c>
      <c r="F462" s="1">
        <v>5</v>
      </c>
    </row>
    <row r="463" spans="1:6" x14ac:dyDescent="0.2">
      <c r="A463" s="1" t="s">
        <v>472</v>
      </c>
      <c r="B463" s="1" t="s">
        <v>12</v>
      </c>
      <c r="C463" s="1" t="s">
        <v>17</v>
      </c>
      <c r="D463" s="1">
        <v>20</v>
      </c>
      <c r="E463" s="1">
        <v>9.41</v>
      </c>
      <c r="F463" s="1">
        <v>2</v>
      </c>
    </row>
    <row r="464" spans="1:6" x14ac:dyDescent="0.2">
      <c r="A464" s="1" t="s">
        <v>473</v>
      </c>
      <c r="B464" s="1" t="s">
        <v>31</v>
      </c>
      <c r="C464" s="1" t="s">
        <v>17</v>
      </c>
      <c r="D464" s="1">
        <v>22</v>
      </c>
      <c r="E464" s="1">
        <v>5.26</v>
      </c>
      <c r="F464" s="1">
        <v>1</v>
      </c>
    </row>
    <row r="465" spans="1:6" x14ac:dyDescent="0.2">
      <c r="A465" s="1" t="s">
        <v>474</v>
      </c>
      <c r="B465" s="1" t="s">
        <v>16</v>
      </c>
      <c r="C465" s="1" t="s">
        <v>17</v>
      </c>
      <c r="D465" s="1">
        <v>20</v>
      </c>
      <c r="E465" s="1">
        <v>5.96</v>
      </c>
      <c r="F465" s="1">
        <v>1</v>
      </c>
    </row>
    <row r="466" spans="1:6" x14ac:dyDescent="0.2">
      <c r="A466" s="1" t="s">
        <v>475</v>
      </c>
      <c r="B466" s="1" t="s">
        <v>10</v>
      </c>
      <c r="C466" s="1" t="s">
        <v>17</v>
      </c>
      <c r="D466" s="1">
        <v>20</v>
      </c>
      <c r="E466" s="1">
        <v>6.55</v>
      </c>
      <c r="F466" s="1">
        <v>0</v>
      </c>
    </row>
    <row r="467" spans="1:6" x14ac:dyDescent="0.2">
      <c r="A467" s="1" t="s">
        <v>476</v>
      </c>
      <c r="B467" s="1" t="s">
        <v>16</v>
      </c>
      <c r="C467" s="1" t="s">
        <v>8</v>
      </c>
      <c r="D467" s="1">
        <v>19</v>
      </c>
      <c r="E467" s="1">
        <v>8.66</v>
      </c>
      <c r="F467" s="1">
        <v>3</v>
      </c>
    </row>
    <row r="468" spans="1:6" x14ac:dyDescent="0.2">
      <c r="A468" s="1" t="s">
        <v>477</v>
      </c>
      <c r="B468" s="1" t="s">
        <v>16</v>
      </c>
      <c r="C468" s="1" t="s">
        <v>17</v>
      </c>
      <c r="D468" s="1">
        <v>20</v>
      </c>
      <c r="E468" s="1">
        <v>8.1999999999999993</v>
      </c>
      <c r="F468" s="1">
        <v>0</v>
      </c>
    </row>
    <row r="469" spans="1:6" x14ac:dyDescent="0.2">
      <c r="A469" s="1" t="s">
        <v>478</v>
      </c>
      <c r="B469" s="1" t="s">
        <v>16</v>
      </c>
      <c r="C469" s="1" t="s">
        <v>8</v>
      </c>
      <c r="D469" s="1">
        <v>23</v>
      </c>
      <c r="E469" s="1">
        <v>7.08</v>
      </c>
      <c r="F469" s="1">
        <v>2</v>
      </c>
    </row>
    <row r="470" spans="1:6" x14ac:dyDescent="0.2">
      <c r="A470" s="1" t="s">
        <v>479</v>
      </c>
      <c r="B470" s="1" t="s">
        <v>16</v>
      </c>
      <c r="C470" s="1" t="s">
        <v>17</v>
      </c>
      <c r="D470" s="1">
        <v>18</v>
      </c>
      <c r="E470" s="1">
        <v>8.8000000000000007</v>
      </c>
      <c r="F470" s="1">
        <v>4</v>
      </c>
    </row>
    <row r="471" spans="1:6" x14ac:dyDescent="0.2">
      <c r="A471" s="1" t="s">
        <v>480</v>
      </c>
      <c r="B471" s="1" t="s">
        <v>12</v>
      </c>
      <c r="C471" s="1" t="s">
        <v>17</v>
      </c>
      <c r="D471" s="1">
        <v>21</v>
      </c>
      <c r="E471" s="1">
        <v>8.0500000000000007</v>
      </c>
      <c r="F471" s="1">
        <v>4</v>
      </c>
    </row>
    <row r="472" spans="1:6" x14ac:dyDescent="0.2">
      <c r="A472" s="1" t="s">
        <v>481</v>
      </c>
      <c r="B472" s="1" t="s">
        <v>31</v>
      </c>
      <c r="C472" s="1" t="s">
        <v>17</v>
      </c>
      <c r="D472" s="1">
        <v>18</v>
      </c>
      <c r="E472" s="1">
        <v>9.48</v>
      </c>
      <c r="F472" s="1">
        <v>1</v>
      </c>
    </row>
    <row r="473" spans="1:6" x14ac:dyDescent="0.2">
      <c r="A473" s="1" t="s">
        <v>482</v>
      </c>
      <c r="B473" s="1" t="s">
        <v>7</v>
      </c>
      <c r="C473" s="1" t="s">
        <v>17</v>
      </c>
      <c r="D473" s="1">
        <v>22</v>
      </c>
      <c r="E473" s="1">
        <v>9.09</v>
      </c>
      <c r="F473" s="1">
        <v>4</v>
      </c>
    </row>
    <row r="474" spans="1:6" x14ac:dyDescent="0.2">
      <c r="A474" s="1" t="s">
        <v>483</v>
      </c>
      <c r="B474" s="1" t="s">
        <v>16</v>
      </c>
      <c r="C474" s="1" t="s">
        <v>17</v>
      </c>
      <c r="D474" s="1">
        <v>21</v>
      </c>
      <c r="E474" s="1">
        <v>6.26</v>
      </c>
      <c r="F474" s="1">
        <v>4</v>
      </c>
    </row>
    <row r="475" spans="1:6" x14ac:dyDescent="0.2">
      <c r="A475" s="1" t="s">
        <v>484</v>
      </c>
      <c r="B475" s="1" t="s">
        <v>10</v>
      </c>
      <c r="C475" s="1" t="s">
        <v>17</v>
      </c>
      <c r="D475" s="1">
        <v>20</v>
      </c>
      <c r="E475" s="1">
        <v>6.36</v>
      </c>
      <c r="F475" s="1">
        <v>4</v>
      </c>
    </row>
    <row r="476" spans="1:6" x14ac:dyDescent="0.2">
      <c r="A476" s="1" t="s">
        <v>485</v>
      </c>
      <c r="B476" s="1" t="s">
        <v>16</v>
      </c>
      <c r="C476" s="1" t="s">
        <v>8</v>
      </c>
      <c r="D476" s="1">
        <v>22</v>
      </c>
      <c r="E476" s="1">
        <v>5.63</v>
      </c>
      <c r="F476" s="1">
        <v>2</v>
      </c>
    </row>
    <row r="477" spans="1:6" x14ac:dyDescent="0.2">
      <c r="A477" s="1" t="s">
        <v>486</v>
      </c>
      <c r="B477" s="1" t="s">
        <v>10</v>
      </c>
      <c r="C477" s="1" t="s">
        <v>17</v>
      </c>
      <c r="D477" s="1">
        <v>21</v>
      </c>
      <c r="E477" s="1">
        <v>6.68</v>
      </c>
      <c r="F477" s="1">
        <v>4</v>
      </c>
    </row>
    <row r="478" spans="1:6" x14ac:dyDescent="0.2">
      <c r="A478" s="1" t="s">
        <v>487</v>
      </c>
      <c r="B478" s="1" t="s">
        <v>12</v>
      </c>
      <c r="C478" s="1" t="s">
        <v>8</v>
      </c>
      <c r="D478" s="1">
        <v>23</v>
      </c>
      <c r="E478" s="1">
        <v>10</v>
      </c>
      <c r="F478" s="1">
        <v>5</v>
      </c>
    </row>
    <row r="479" spans="1:6" x14ac:dyDescent="0.2">
      <c r="A479" s="1" t="s">
        <v>488</v>
      </c>
      <c r="B479" s="1" t="s">
        <v>10</v>
      </c>
      <c r="C479" s="1" t="s">
        <v>8</v>
      </c>
      <c r="D479" s="1">
        <v>23</v>
      </c>
      <c r="E479" s="1">
        <v>7.03</v>
      </c>
      <c r="F479" s="1">
        <v>4</v>
      </c>
    </row>
    <row r="480" spans="1:6" x14ac:dyDescent="0.2">
      <c r="A480" s="1" t="s">
        <v>489</v>
      </c>
      <c r="B480" s="1" t="s">
        <v>7</v>
      </c>
      <c r="C480" s="1" t="s">
        <v>8</v>
      </c>
      <c r="D480" s="1">
        <v>23</v>
      </c>
      <c r="E480" s="1">
        <v>6.1</v>
      </c>
      <c r="F480" s="1">
        <v>4</v>
      </c>
    </row>
    <row r="481" spans="1:6" x14ac:dyDescent="0.2">
      <c r="A481" s="1" t="s">
        <v>490</v>
      </c>
      <c r="B481" s="1" t="s">
        <v>31</v>
      </c>
      <c r="C481" s="1" t="s">
        <v>17</v>
      </c>
      <c r="D481" s="1">
        <v>23</v>
      </c>
      <c r="E481" s="1">
        <v>8.81</v>
      </c>
      <c r="F481" s="1">
        <v>0</v>
      </c>
    </row>
    <row r="482" spans="1:6" x14ac:dyDescent="0.2">
      <c r="A482" s="1" t="s">
        <v>491</v>
      </c>
      <c r="B482" s="1" t="s">
        <v>10</v>
      </c>
      <c r="C482" s="1" t="s">
        <v>17</v>
      </c>
      <c r="D482" s="1">
        <v>20</v>
      </c>
      <c r="E482" s="1">
        <v>7.71</v>
      </c>
      <c r="F482" s="1">
        <v>2</v>
      </c>
    </row>
    <row r="483" spans="1:6" x14ac:dyDescent="0.2">
      <c r="A483" s="1" t="s">
        <v>492</v>
      </c>
      <c r="B483" s="1" t="s">
        <v>10</v>
      </c>
      <c r="C483" s="1" t="s">
        <v>17</v>
      </c>
      <c r="D483" s="1">
        <v>18</v>
      </c>
      <c r="E483" s="1">
        <v>5.75</v>
      </c>
      <c r="F483" s="1">
        <v>1</v>
      </c>
    </row>
    <row r="484" spans="1:6" x14ac:dyDescent="0.2">
      <c r="A484" s="1" t="s">
        <v>493</v>
      </c>
      <c r="B484" s="1" t="s">
        <v>31</v>
      </c>
      <c r="C484" s="1" t="s">
        <v>17</v>
      </c>
      <c r="D484" s="1">
        <v>21</v>
      </c>
      <c r="E484" s="1">
        <v>6.9</v>
      </c>
      <c r="F484" s="1">
        <v>0</v>
      </c>
    </row>
    <row r="485" spans="1:6" x14ac:dyDescent="0.2">
      <c r="A485" s="1" t="s">
        <v>494</v>
      </c>
      <c r="B485" s="1" t="s">
        <v>7</v>
      </c>
      <c r="C485" s="1" t="s">
        <v>8</v>
      </c>
      <c r="D485" s="1">
        <v>20</v>
      </c>
      <c r="E485" s="1">
        <v>7.07</v>
      </c>
      <c r="F485" s="1">
        <v>3</v>
      </c>
    </row>
    <row r="486" spans="1:6" x14ac:dyDescent="0.2">
      <c r="A486" s="1" t="s">
        <v>495</v>
      </c>
      <c r="B486" s="1" t="s">
        <v>16</v>
      </c>
      <c r="C486" s="1" t="s">
        <v>17</v>
      </c>
      <c r="D486" s="1">
        <v>23</v>
      </c>
      <c r="E486" s="1">
        <v>8.77</v>
      </c>
      <c r="F486" s="1">
        <v>2</v>
      </c>
    </row>
    <row r="487" spans="1:6" x14ac:dyDescent="0.2">
      <c r="A487" s="1" t="s">
        <v>496</v>
      </c>
      <c r="B487" s="1" t="s">
        <v>10</v>
      </c>
      <c r="C487" s="1" t="s">
        <v>17</v>
      </c>
      <c r="D487" s="1">
        <v>18</v>
      </c>
      <c r="E487" s="1">
        <v>5.0999999999999996</v>
      </c>
      <c r="F487" s="1">
        <v>5</v>
      </c>
    </row>
    <row r="488" spans="1:6" x14ac:dyDescent="0.2">
      <c r="A488" s="1" t="s">
        <v>497</v>
      </c>
      <c r="B488" s="1" t="s">
        <v>31</v>
      </c>
      <c r="C488" s="1" t="s">
        <v>8</v>
      </c>
      <c r="D488" s="1">
        <v>22</v>
      </c>
      <c r="E488" s="1">
        <v>6.35</v>
      </c>
      <c r="F488" s="1">
        <v>2</v>
      </c>
    </row>
    <row r="489" spans="1:6" x14ac:dyDescent="0.2">
      <c r="A489" s="1" t="s">
        <v>498</v>
      </c>
      <c r="B489" s="1" t="s">
        <v>12</v>
      </c>
      <c r="C489" s="1" t="s">
        <v>8</v>
      </c>
      <c r="D489" s="1">
        <v>22</v>
      </c>
      <c r="E489" s="1">
        <v>7.59</v>
      </c>
      <c r="F489" s="1">
        <v>3</v>
      </c>
    </row>
    <row r="490" spans="1:6" x14ac:dyDescent="0.2">
      <c r="A490" s="1" t="s">
        <v>499</v>
      </c>
      <c r="B490" s="1" t="s">
        <v>31</v>
      </c>
      <c r="C490" s="1" t="s">
        <v>8</v>
      </c>
      <c r="D490" s="1">
        <v>22</v>
      </c>
      <c r="E490" s="1">
        <v>6.34</v>
      </c>
      <c r="F490" s="1">
        <v>3</v>
      </c>
    </row>
    <row r="491" spans="1:6" x14ac:dyDescent="0.2">
      <c r="A491" s="1" t="s">
        <v>500</v>
      </c>
      <c r="B491" s="1" t="s">
        <v>12</v>
      </c>
      <c r="C491" s="1" t="s">
        <v>17</v>
      </c>
      <c r="D491" s="1">
        <v>23</v>
      </c>
      <c r="E491" s="1">
        <v>8.14</v>
      </c>
      <c r="F491" s="1">
        <v>3</v>
      </c>
    </row>
    <row r="492" spans="1:6" x14ac:dyDescent="0.2">
      <c r="A492" s="1" t="s">
        <v>501</v>
      </c>
      <c r="B492" s="1" t="s">
        <v>7</v>
      </c>
      <c r="C492" s="1" t="s">
        <v>17</v>
      </c>
      <c r="D492" s="1">
        <v>22</v>
      </c>
      <c r="E492" s="1">
        <v>7.41</v>
      </c>
      <c r="F492" s="1">
        <v>1</v>
      </c>
    </row>
    <row r="493" spans="1:6" x14ac:dyDescent="0.2">
      <c r="A493" s="1" t="s">
        <v>502</v>
      </c>
      <c r="B493" s="1" t="s">
        <v>16</v>
      </c>
      <c r="C493" s="1" t="s">
        <v>17</v>
      </c>
      <c r="D493" s="1">
        <v>19</v>
      </c>
      <c r="E493" s="1">
        <v>6.81</v>
      </c>
      <c r="F493" s="1">
        <v>4</v>
      </c>
    </row>
    <row r="494" spans="1:6" x14ac:dyDescent="0.2">
      <c r="A494" s="1" t="s">
        <v>503</v>
      </c>
      <c r="B494" s="1" t="s">
        <v>31</v>
      </c>
      <c r="C494" s="1" t="s">
        <v>17</v>
      </c>
      <c r="D494" s="1">
        <v>21</v>
      </c>
      <c r="E494" s="1">
        <v>9.75</v>
      </c>
      <c r="F494" s="1">
        <v>2</v>
      </c>
    </row>
    <row r="495" spans="1:6" x14ac:dyDescent="0.2">
      <c r="A495" s="1" t="s">
        <v>504</v>
      </c>
      <c r="B495" s="1" t="s">
        <v>10</v>
      </c>
      <c r="C495" s="1" t="s">
        <v>17</v>
      </c>
      <c r="D495" s="1">
        <v>21</v>
      </c>
      <c r="E495" s="1">
        <v>8.16</v>
      </c>
      <c r="F495" s="1">
        <v>4</v>
      </c>
    </row>
    <row r="496" spans="1:6" x14ac:dyDescent="0.2">
      <c r="A496" s="1" t="s">
        <v>505</v>
      </c>
      <c r="B496" s="1" t="s">
        <v>7</v>
      </c>
      <c r="C496" s="1" t="s">
        <v>17</v>
      </c>
      <c r="D496" s="1">
        <v>23</v>
      </c>
      <c r="E496" s="1">
        <v>5.65</v>
      </c>
      <c r="F496" s="1">
        <v>4</v>
      </c>
    </row>
    <row r="497" spans="1:6" x14ac:dyDescent="0.2">
      <c r="A497" s="1" t="s">
        <v>506</v>
      </c>
      <c r="B497" s="1" t="s">
        <v>31</v>
      </c>
      <c r="C497" s="1" t="s">
        <v>17</v>
      </c>
      <c r="D497" s="1">
        <v>19</v>
      </c>
      <c r="E497" s="1">
        <v>7.8</v>
      </c>
      <c r="F497" s="1">
        <v>5</v>
      </c>
    </row>
    <row r="498" spans="1:6" x14ac:dyDescent="0.2">
      <c r="A498" s="1" t="s">
        <v>507</v>
      </c>
      <c r="B498" s="1" t="s">
        <v>10</v>
      </c>
      <c r="C498" s="1" t="s">
        <v>17</v>
      </c>
      <c r="D498" s="1">
        <v>20</v>
      </c>
      <c r="E498" s="1">
        <v>8.9</v>
      </c>
      <c r="F498" s="1">
        <v>3</v>
      </c>
    </row>
    <row r="499" spans="1:6" x14ac:dyDescent="0.2">
      <c r="A499" s="1" t="s">
        <v>508</v>
      </c>
      <c r="B499" s="1" t="s">
        <v>31</v>
      </c>
      <c r="C499" s="1" t="s">
        <v>17</v>
      </c>
      <c r="D499" s="1">
        <v>20</v>
      </c>
      <c r="E499" s="1">
        <v>8.5399999999999991</v>
      </c>
      <c r="F499" s="1">
        <v>1</v>
      </c>
    </row>
    <row r="500" spans="1:6" x14ac:dyDescent="0.2">
      <c r="A500" s="1" t="s">
        <v>509</v>
      </c>
      <c r="B500" s="1" t="s">
        <v>12</v>
      </c>
      <c r="C500" s="1" t="s">
        <v>8</v>
      </c>
      <c r="D500" s="1">
        <v>22</v>
      </c>
      <c r="E500" s="1">
        <v>5.86</v>
      </c>
      <c r="F500" s="1">
        <v>5</v>
      </c>
    </row>
    <row r="501" spans="1:6" x14ac:dyDescent="0.2">
      <c r="A501" s="1" t="s">
        <v>510</v>
      </c>
      <c r="B501" s="1" t="s">
        <v>31</v>
      </c>
      <c r="C501" s="1" t="s">
        <v>8</v>
      </c>
      <c r="D501" s="1">
        <v>18</v>
      </c>
      <c r="E501" s="1">
        <v>9.86</v>
      </c>
      <c r="F501" s="1">
        <v>0</v>
      </c>
    </row>
    <row r="502" spans="1:6" x14ac:dyDescent="0.2">
      <c r="A502" s="1" t="s">
        <v>511</v>
      </c>
      <c r="B502" s="1" t="s">
        <v>31</v>
      </c>
      <c r="C502" s="1" t="s">
        <v>8</v>
      </c>
      <c r="D502" s="1">
        <v>20</v>
      </c>
      <c r="E502" s="1">
        <v>7.24</v>
      </c>
      <c r="F502" s="1">
        <v>1</v>
      </c>
    </row>
    <row r="503" spans="1:6" x14ac:dyDescent="0.2">
      <c r="A503" s="1" t="s">
        <v>512</v>
      </c>
      <c r="B503" s="1" t="s">
        <v>31</v>
      </c>
      <c r="C503" s="1" t="s">
        <v>17</v>
      </c>
      <c r="D503" s="1">
        <v>18</v>
      </c>
      <c r="E503" s="1">
        <v>5.8</v>
      </c>
      <c r="F503" s="1">
        <v>4</v>
      </c>
    </row>
    <row r="504" spans="1:6" x14ac:dyDescent="0.2">
      <c r="A504" s="1" t="s">
        <v>513</v>
      </c>
      <c r="B504" s="1" t="s">
        <v>7</v>
      </c>
      <c r="C504" s="1" t="s">
        <v>17</v>
      </c>
      <c r="D504" s="1">
        <v>21</v>
      </c>
      <c r="E504" s="1">
        <v>5.9</v>
      </c>
      <c r="F504" s="1">
        <v>1</v>
      </c>
    </row>
    <row r="505" spans="1:6" x14ac:dyDescent="0.2">
      <c r="A505" s="1" t="s">
        <v>514</v>
      </c>
      <c r="B505" s="1" t="s">
        <v>31</v>
      </c>
      <c r="C505" s="1" t="s">
        <v>17</v>
      </c>
      <c r="D505" s="1">
        <v>18</v>
      </c>
      <c r="E505" s="1">
        <v>5.49</v>
      </c>
      <c r="F505" s="1">
        <v>3</v>
      </c>
    </row>
    <row r="506" spans="1:6" x14ac:dyDescent="0.2">
      <c r="A506" s="1" t="s">
        <v>515</v>
      </c>
      <c r="B506" s="1" t="s">
        <v>10</v>
      </c>
      <c r="C506" s="1" t="s">
        <v>8</v>
      </c>
      <c r="D506" s="1">
        <v>21</v>
      </c>
      <c r="E506" s="1">
        <v>9.02</v>
      </c>
      <c r="F506" s="1">
        <v>0</v>
      </c>
    </row>
    <row r="507" spans="1:6" x14ac:dyDescent="0.2">
      <c r="A507" s="1" t="s">
        <v>516</v>
      </c>
      <c r="B507" s="1" t="s">
        <v>12</v>
      </c>
      <c r="C507" s="1" t="s">
        <v>8</v>
      </c>
      <c r="D507" s="1">
        <v>19</v>
      </c>
      <c r="E507" s="1">
        <v>5.61</v>
      </c>
      <c r="F507" s="1">
        <v>3</v>
      </c>
    </row>
    <row r="508" spans="1:6" x14ac:dyDescent="0.2">
      <c r="A508" s="1" t="s">
        <v>517</v>
      </c>
      <c r="B508" s="1" t="s">
        <v>12</v>
      </c>
      <c r="C508" s="1" t="s">
        <v>17</v>
      </c>
      <c r="D508" s="1">
        <v>19</v>
      </c>
      <c r="E508" s="1">
        <v>5.63</v>
      </c>
      <c r="F508" s="1">
        <v>0</v>
      </c>
    </row>
    <row r="509" spans="1:6" x14ac:dyDescent="0.2">
      <c r="A509" s="1" t="s">
        <v>518</v>
      </c>
      <c r="B509" s="1" t="s">
        <v>31</v>
      </c>
      <c r="C509" s="1" t="s">
        <v>8</v>
      </c>
      <c r="D509" s="1">
        <v>23</v>
      </c>
      <c r="E509" s="1">
        <v>9.25</v>
      </c>
      <c r="F509" s="1">
        <v>5</v>
      </c>
    </row>
    <row r="510" spans="1:6" x14ac:dyDescent="0.2">
      <c r="A510" s="1" t="s">
        <v>519</v>
      </c>
      <c r="B510" s="1" t="s">
        <v>7</v>
      </c>
      <c r="C510" s="1" t="s">
        <v>17</v>
      </c>
      <c r="D510" s="1">
        <v>23</v>
      </c>
      <c r="E510" s="1">
        <v>6.72</v>
      </c>
      <c r="F510" s="1">
        <v>4</v>
      </c>
    </row>
    <row r="511" spans="1:6" x14ac:dyDescent="0.2">
      <c r="A511" s="1" t="s">
        <v>520</v>
      </c>
      <c r="B511" s="1" t="s">
        <v>7</v>
      </c>
      <c r="C511" s="1" t="s">
        <v>17</v>
      </c>
      <c r="D511" s="1">
        <v>22</v>
      </c>
      <c r="E511" s="1">
        <v>5.15</v>
      </c>
      <c r="F511" s="1">
        <v>0</v>
      </c>
    </row>
    <row r="512" spans="1:6" x14ac:dyDescent="0.2">
      <c r="A512" s="1" t="s">
        <v>521</v>
      </c>
      <c r="B512" s="1" t="s">
        <v>10</v>
      </c>
      <c r="C512" s="1" t="s">
        <v>8</v>
      </c>
      <c r="D512" s="1">
        <v>20</v>
      </c>
      <c r="E512" s="1">
        <v>5.26</v>
      </c>
      <c r="F512" s="1">
        <v>0</v>
      </c>
    </row>
    <row r="513" spans="1:6" x14ac:dyDescent="0.2">
      <c r="A513" s="1" t="s">
        <v>522</v>
      </c>
      <c r="B513" s="1" t="s">
        <v>31</v>
      </c>
      <c r="C513" s="1" t="s">
        <v>8</v>
      </c>
      <c r="D513" s="1">
        <v>22</v>
      </c>
      <c r="E513" s="1">
        <v>5.71</v>
      </c>
      <c r="F513" s="1">
        <v>0</v>
      </c>
    </row>
    <row r="514" spans="1:6" x14ac:dyDescent="0.2">
      <c r="A514" s="1" t="s">
        <v>523</v>
      </c>
      <c r="B514" s="1" t="s">
        <v>12</v>
      </c>
      <c r="C514" s="1" t="s">
        <v>8</v>
      </c>
      <c r="D514" s="1">
        <v>21</v>
      </c>
      <c r="E514" s="1">
        <v>6.07</v>
      </c>
      <c r="F514" s="1">
        <v>1</v>
      </c>
    </row>
    <row r="515" spans="1:6" x14ac:dyDescent="0.2">
      <c r="A515" s="1" t="s">
        <v>524</v>
      </c>
      <c r="B515" s="1" t="s">
        <v>7</v>
      </c>
      <c r="C515" s="1" t="s">
        <v>8</v>
      </c>
      <c r="D515" s="1">
        <v>22</v>
      </c>
      <c r="E515" s="1">
        <v>8.33</v>
      </c>
      <c r="F515" s="1">
        <v>5</v>
      </c>
    </row>
    <row r="516" spans="1:6" x14ac:dyDescent="0.2">
      <c r="A516" s="1" t="s">
        <v>525</v>
      </c>
      <c r="B516" s="1" t="s">
        <v>31</v>
      </c>
      <c r="C516" s="1" t="s">
        <v>17</v>
      </c>
      <c r="D516" s="1">
        <v>18</v>
      </c>
      <c r="E516" s="1">
        <v>5.79</v>
      </c>
      <c r="F516" s="1">
        <v>1</v>
      </c>
    </row>
    <row r="517" spans="1:6" x14ac:dyDescent="0.2">
      <c r="A517" s="1" t="s">
        <v>526</v>
      </c>
      <c r="B517" s="1" t="s">
        <v>7</v>
      </c>
      <c r="C517" s="1" t="s">
        <v>8</v>
      </c>
      <c r="D517" s="1">
        <v>21</v>
      </c>
      <c r="E517" s="1">
        <v>5.59</v>
      </c>
      <c r="F517" s="1">
        <v>4</v>
      </c>
    </row>
    <row r="518" spans="1:6" x14ac:dyDescent="0.2">
      <c r="A518" s="1" t="s">
        <v>527</v>
      </c>
      <c r="B518" s="1" t="s">
        <v>7</v>
      </c>
      <c r="C518" s="1" t="s">
        <v>17</v>
      </c>
      <c r="D518" s="1">
        <v>23</v>
      </c>
      <c r="E518" s="1">
        <v>8.82</v>
      </c>
      <c r="F518" s="1">
        <v>0</v>
      </c>
    </row>
    <row r="519" spans="1:6" x14ac:dyDescent="0.2">
      <c r="A519" s="1" t="s">
        <v>528</v>
      </c>
      <c r="B519" s="1" t="s">
        <v>12</v>
      </c>
      <c r="C519" s="1" t="s">
        <v>8</v>
      </c>
      <c r="D519" s="1">
        <v>19</v>
      </c>
      <c r="E519" s="1">
        <v>8.36</v>
      </c>
      <c r="F519" s="1">
        <v>5</v>
      </c>
    </row>
    <row r="520" spans="1:6" x14ac:dyDescent="0.2">
      <c r="A520" s="1" t="s">
        <v>529</v>
      </c>
      <c r="B520" s="1" t="s">
        <v>16</v>
      </c>
      <c r="C520" s="1" t="s">
        <v>17</v>
      </c>
      <c r="D520" s="1">
        <v>23</v>
      </c>
      <c r="E520" s="1">
        <v>7.18</v>
      </c>
      <c r="F520" s="1">
        <v>5</v>
      </c>
    </row>
    <row r="521" spans="1:6" x14ac:dyDescent="0.2">
      <c r="A521" s="1" t="s">
        <v>530</v>
      </c>
      <c r="B521" s="1" t="s">
        <v>10</v>
      </c>
      <c r="C521" s="1" t="s">
        <v>8</v>
      </c>
      <c r="D521" s="1">
        <v>20</v>
      </c>
      <c r="E521" s="1">
        <v>7.75</v>
      </c>
      <c r="F521" s="1">
        <v>2</v>
      </c>
    </row>
    <row r="522" spans="1:6" x14ac:dyDescent="0.2">
      <c r="A522" s="1" t="s">
        <v>531</v>
      </c>
      <c r="B522" s="1" t="s">
        <v>10</v>
      </c>
      <c r="C522" s="1" t="s">
        <v>17</v>
      </c>
      <c r="D522" s="1">
        <v>21</v>
      </c>
      <c r="E522" s="1">
        <v>6.56</v>
      </c>
      <c r="F522" s="1">
        <v>4</v>
      </c>
    </row>
    <row r="523" spans="1:6" x14ac:dyDescent="0.2">
      <c r="A523" s="1" t="s">
        <v>532</v>
      </c>
      <c r="B523" s="1" t="s">
        <v>12</v>
      </c>
      <c r="C523" s="1" t="s">
        <v>8</v>
      </c>
      <c r="D523" s="1">
        <v>21</v>
      </c>
      <c r="E523" s="1">
        <v>7.41</v>
      </c>
      <c r="F523" s="1">
        <v>5</v>
      </c>
    </row>
    <row r="524" spans="1:6" x14ac:dyDescent="0.2">
      <c r="A524" s="1" t="s">
        <v>533</v>
      </c>
      <c r="B524" s="1" t="s">
        <v>7</v>
      </c>
      <c r="C524" s="1" t="s">
        <v>17</v>
      </c>
      <c r="D524" s="1">
        <v>18</v>
      </c>
      <c r="E524" s="1">
        <v>7.53</v>
      </c>
      <c r="F524" s="1">
        <v>0</v>
      </c>
    </row>
    <row r="525" spans="1:6" x14ac:dyDescent="0.2">
      <c r="A525" s="1" t="s">
        <v>534</v>
      </c>
      <c r="B525" s="1" t="s">
        <v>31</v>
      </c>
      <c r="C525" s="1" t="s">
        <v>8</v>
      </c>
      <c r="D525" s="1">
        <v>20</v>
      </c>
      <c r="E525" s="1">
        <v>6.94</v>
      </c>
      <c r="F525" s="1">
        <v>0</v>
      </c>
    </row>
    <row r="526" spans="1:6" x14ac:dyDescent="0.2">
      <c r="A526" s="1" t="s">
        <v>535</v>
      </c>
      <c r="B526" s="1" t="s">
        <v>7</v>
      </c>
      <c r="C526" s="1" t="s">
        <v>17</v>
      </c>
      <c r="D526" s="1">
        <v>19</v>
      </c>
      <c r="E526" s="1">
        <v>9.5299999999999994</v>
      </c>
      <c r="F526" s="1">
        <v>5</v>
      </c>
    </row>
    <row r="527" spans="1:6" x14ac:dyDescent="0.2">
      <c r="A527" s="1" t="s">
        <v>536</v>
      </c>
      <c r="B527" s="1" t="s">
        <v>12</v>
      </c>
      <c r="C527" s="1" t="s">
        <v>17</v>
      </c>
      <c r="D527" s="1">
        <v>21</v>
      </c>
      <c r="E527" s="1">
        <v>5.08</v>
      </c>
      <c r="F527" s="1">
        <v>1</v>
      </c>
    </row>
    <row r="528" spans="1:6" x14ac:dyDescent="0.2">
      <c r="A528" s="1" t="s">
        <v>537</v>
      </c>
      <c r="B528" s="1" t="s">
        <v>10</v>
      </c>
      <c r="C528" s="1" t="s">
        <v>17</v>
      </c>
      <c r="D528" s="1">
        <v>21</v>
      </c>
      <c r="E528" s="1">
        <v>8.91</v>
      </c>
      <c r="F528" s="1">
        <v>4</v>
      </c>
    </row>
    <row r="529" spans="1:6" x14ac:dyDescent="0.2">
      <c r="A529" s="1" t="s">
        <v>538</v>
      </c>
      <c r="B529" s="1" t="s">
        <v>7</v>
      </c>
      <c r="C529" s="1" t="s">
        <v>17</v>
      </c>
      <c r="D529" s="1">
        <v>18</v>
      </c>
      <c r="E529" s="1">
        <v>5.62</v>
      </c>
      <c r="F529" s="1">
        <v>0</v>
      </c>
    </row>
    <row r="530" spans="1:6" x14ac:dyDescent="0.2">
      <c r="A530" s="1" t="s">
        <v>539</v>
      </c>
      <c r="B530" s="1" t="s">
        <v>10</v>
      </c>
      <c r="C530" s="1" t="s">
        <v>8</v>
      </c>
      <c r="D530" s="1">
        <v>22</v>
      </c>
      <c r="E530" s="1">
        <v>8.99</v>
      </c>
      <c r="F530" s="1">
        <v>5</v>
      </c>
    </row>
    <row r="531" spans="1:6" x14ac:dyDescent="0.2">
      <c r="A531" s="1" t="s">
        <v>540</v>
      </c>
      <c r="B531" s="1" t="s">
        <v>31</v>
      </c>
      <c r="C531" s="1" t="s">
        <v>17</v>
      </c>
      <c r="D531" s="1">
        <v>19</v>
      </c>
      <c r="E531" s="1">
        <v>8.08</v>
      </c>
      <c r="F531" s="1">
        <v>0</v>
      </c>
    </row>
    <row r="532" spans="1:6" x14ac:dyDescent="0.2">
      <c r="A532" s="1" t="s">
        <v>541</v>
      </c>
      <c r="B532" s="1" t="s">
        <v>10</v>
      </c>
      <c r="C532" s="1" t="s">
        <v>8</v>
      </c>
      <c r="D532" s="1">
        <v>23</v>
      </c>
      <c r="E532" s="1">
        <v>9.2200000000000006</v>
      </c>
      <c r="F532" s="1">
        <v>5</v>
      </c>
    </row>
    <row r="533" spans="1:6" x14ac:dyDescent="0.2">
      <c r="A533" s="1" t="s">
        <v>542</v>
      </c>
      <c r="B533" s="1" t="s">
        <v>10</v>
      </c>
      <c r="C533" s="1" t="s">
        <v>17</v>
      </c>
      <c r="D533" s="1">
        <v>20</v>
      </c>
      <c r="E533" s="1">
        <v>5.49</v>
      </c>
      <c r="F533" s="1">
        <v>4</v>
      </c>
    </row>
    <row r="534" spans="1:6" x14ac:dyDescent="0.2">
      <c r="A534" s="1" t="s">
        <v>543</v>
      </c>
      <c r="B534" s="1" t="s">
        <v>16</v>
      </c>
      <c r="C534" s="1" t="s">
        <v>17</v>
      </c>
      <c r="D534" s="1">
        <v>21</v>
      </c>
      <c r="E534" s="1">
        <v>7.79</v>
      </c>
      <c r="F534" s="1">
        <v>5</v>
      </c>
    </row>
    <row r="535" spans="1:6" x14ac:dyDescent="0.2">
      <c r="A535" s="1" t="s">
        <v>544</v>
      </c>
      <c r="B535" s="1" t="s">
        <v>16</v>
      </c>
      <c r="C535" s="1" t="s">
        <v>8</v>
      </c>
      <c r="D535" s="1">
        <v>21</v>
      </c>
      <c r="E535" s="1">
        <v>7.51</v>
      </c>
      <c r="F535" s="1">
        <v>2</v>
      </c>
    </row>
    <row r="536" spans="1:6" x14ac:dyDescent="0.2">
      <c r="A536" s="1" t="s">
        <v>545</v>
      </c>
      <c r="B536" s="1" t="s">
        <v>16</v>
      </c>
      <c r="C536" s="1" t="s">
        <v>8</v>
      </c>
      <c r="D536" s="1">
        <v>23</v>
      </c>
      <c r="E536" s="1">
        <v>8.5299999999999994</v>
      </c>
      <c r="F536" s="1">
        <v>5</v>
      </c>
    </row>
    <row r="537" spans="1:6" x14ac:dyDescent="0.2">
      <c r="A537" s="1" t="s">
        <v>546</v>
      </c>
      <c r="B537" s="1" t="s">
        <v>10</v>
      </c>
      <c r="C537" s="1" t="s">
        <v>17</v>
      </c>
      <c r="D537" s="1">
        <v>19</v>
      </c>
      <c r="E537" s="1">
        <v>7.67</v>
      </c>
      <c r="F537" s="1">
        <v>5</v>
      </c>
    </row>
    <row r="538" spans="1:6" x14ac:dyDescent="0.2">
      <c r="A538" s="1" t="s">
        <v>547</v>
      </c>
      <c r="B538" s="1" t="s">
        <v>12</v>
      </c>
      <c r="C538" s="1" t="s">
        <v>8</v>
      </c>
      <c r="D538" s="1">
        <v>22</v>
      </c>
      <c r="E538" s="1">
        <v>7.7</v>
      </c>
      <c r="F538" s="1">
        <v>4</v>
      </c>
    </row>
    <row r="539" spans="1:6" x14ac:dyDescent="0.2">
      <c r="A539" s="1" t="s">
        <v>548</v>
      </c>
      <c r="B539" s="1" t="s">
        <v>10</v>
      </c>
      <c r="C539" s="1" t="s">
        <v>8</v>
      </c>
      <c r="D539" s="1">
        <v>21</v>
      </c>
      <c r="E539" s="1">
        <v>7.15</v>
      </c>
      <c r="F539" s="1">
        <v>5</v>
      </c>
    </row>
    <row r="540" spans="1:6" x14ac:dyDescent="0.2">
      <c r="A540" s="1" t="s">
        <v>549</v>
      </c>
      <c r="B540" s="1" t="s">
        <v>12</v>
      </c>
      <c r="C540" s="1" t="s">
        <v>17</v>
      </c>
      <c r="D540" s="1">
        <v>19</v>
      </c>
      <c r="E540" s="1">
        <v>6.54</v>
      </c>
      <c r="F540" s="1">
        <v>4</v>
      </c>
    </row>
    <row r="541" spans="1:6" x14ac:dyDescent="0.2">
      <c r="A541" s="1" t="s">
        <v>550</v>
      </c>
      <c r="B541" s="1" t="s">
        <v>12</v>
      </c>
      <c r="C541" s="1" t="s">
        <v>8</v>
      </c>
      <c r="D541" s="1">
        <v>23</v>
      </c>
      <c r="E541" s="1">
        <v>7.41</v>
      </c>
      <c r="F541" s="1">
        <v>2</v>
      </c>
    </row>
    <row r="542" spans="1:6" x14ac:dyDescent="0.2">
      <c r="A542" s="1" t="s">
        <v>551</v>
      </c>
      <c r="B542" s="1" t="s">
        <v>16</v>
      </c>
      <c r="C542" s="1" t="s">
        <v>8</v>
      </c>
      <c r="D542" s="1">
        <v>18</v>
      </c>
      <c r="E542" s="1">
        <v>5.59</v>
      </c>
      <c r="F542" s="1">
        <v>4</v>
      </c>
    </row>
    <row r="543" spans="1:6" x14ac:dyDescent="0.2">
      <c r="A543" s="1" t="s">
        <v>552</v>
      </c>
      <c r="B543" s="1" t="s">
        <v>7</v>
      </c>
      <c r="C543" s="1" t="s">
        <v>8</v>
      </c>
      <c r="D543" s="1">
        <v>22</v>
      </c>
      <c r="E543" s="1">
        <v>9.81</v>
      </c>
      <c r="F543" s="1">
        <v>0</v>
      </c>
    </row>
    <row r="544" spans="1:6" x14ac:dyDescent="0.2">
      <c r="A544" s="1" t="s">
        <v>553</v>
      </c>
      <c r="B544" s="1" t="s">
        <v>31</v>
      </c>
      <c r="C544" s="1" t="s">
        <v>17</v>
      </c>
      <c r="D544" s="1">
        <v>20</v>
      </c>
      <c r="E544" s="1">
        <v>8.57</v>
      </c>
      <c r="F544" s="1">
        <v>4</v>
      </c>
    </row>
    <row r="545" spans="1:6" x14ac:dyDescent="0.2">
      <c r="A545" s="1" t="s">
        <v>554</v>
      </c>
      <c r="B545" s="1" t="s">
        <v>16</v>
      </c>
      <c r="C545" s="1" t="s">
        <v>8</v>
      </c>
      <c r="D545" s="1">
        <v>21</v>
      </c>
      <c r="E545" s="1">
        <v>9.76</v>
      </c>
      <c r="F545" s="1">
        <v>2</v>
      </c>
    </row>
    <row r="546" spans="1:6" x14ac:dyDescent="0.2">
      <c r="A546" s="1" t="s">
        <v>555</v>
      </c>
      <c r="B546" s="1" t="s">
        <v>16</v>
      </c>
      <c r="C546" s="1" t="s">
        <v>17</v>
      </c>
      <c r="D546" s="1">
        <v>19</v>
      </c>
      <c r="E546" s="1">
        <v>6.13</v>
      </c>
      <c r="F546" s="1">
        <v>3</v>
      </c>
    </row>
    <row r="547" spans="1:6" x14ac:dyDescent="0.2">
      <c r="A547" s="1" t="s">
        <v>556</v>
      </c>
      <c r="B547" s="1" t="s">
        <v>7</v>
      </c>
      <c r="C547" s="1" t="s">
        <v>17</v>
      </c>
      <c r="D547" s="1">
        <v>18</v>
      </c>
      <c r="E547" s="1">
        <v>9.4</v>
      </c>
      <c r="F547" s="1">
        <v>5</v>
      </c>
    </row>
    <row r="548" spans="1:6" x14ac:dyDescent="0.2">
      <c r="A548" s="1" t="s">
        <v>557</v>
      </c>
      <c r="B548" s="1" t="s">
        <v>31</v>
      </c>
      <c r="C548" s="1" t="s">
        <v>17</v>
      </c>
      <c r="D548" s="1">
        <v>20</v>
      </c>
      <c r="E548" s="1">
        <v>9.0399999999999991</v>
      </c>
      <c r="F548" s="1">
        <v>4</v>
      </c>
    </row>
    <row r="549" spans="1:6" x14ac:dyDescent="0.2">
      <c r="A549" s="1" t="s">
        <v>558</v>
      </c>
      <c r="B549" s="1" t="s">
        <v>10</v>
      </c>
      <c r="C549" s="1" t="s">
        <v>17</v>
      </c>
      <c r="D549" s="1">
        <v>19</v>
      </c>
      <c r="E549" s="1">
        <v>8.39</v>
      </c>
      <c r="F549" s="1">
        <v>5</v>
      </c>
    </row>
    <row r="550" spans="1:6" x14ac:dyDescent="0.2">
      <c r="A550" s="1" t="s">
        <v>559</v>
      </c>
      <c r="B550" s="1" t="s">
        <v>10</v>
      </c>
      <c r="C550" s="1" t="s">
        <v>8</v>
      </c>
      <c r="D550" s="1">
        <v>19</v>
      </c>
      <c r="E550" s="1">
        <v>8.1300000000000008</v>
      </c>
      <c r="F550" s="1">
        <v>1</v>
      </c>
    </row>
    <row r="551" spans="1:6" x14ac:dyDescent="0.2">
      <c r="A551" s="1" t="s">
        <v>560</v>
      </c>
      <c r="B551" s="1" t="s">
        <v>16</v>
      </c>
      <c r="C551" s="1" t="s">
        <v>8</v>
      </c>
      <c r="D551" s="1">
        <v>20</v>
      </c>
      <c r="E551" s="1">
        <v>6.58</v>
      </c>
      <c r="F551" s="1">
        <v>0</v>
      </c>
    </row>
    <row r="552" spans="1:6" x14ac:dyDescent="0.2">
      <c r="A552" s="1" t="s">
        <v>561</v>
      </c>
      <c r="B552" s="1" t="s">
        <v>31</v>
      </c>
      <c r="C552" s="1" t="s">
        <v>8</v>
      </c>
      <c r="D552" s="1">
        <v>18</v>
      </c>
      <c r="E552" s="1">
        <v>9.08</v>
      </c>
      <c r="F552" s="1">
        <v>0</v>
      </c>
    </row>
    <row r="553" spans="1:6" x14ac:dyDescent="0.2">
      <c r="A553" s="1" t="s">
        <v>562</v>
      </c>
      <c r="B553" s="1" t="s">
        <v>16</v>
      </c>
      <c r="C553" s="1" t="s">
        <v>17</v>
      </c>
      <c r="D553" s="1">
        <v>23</v>
      </c>
      <c r="E553" s="1">
        <v>7.51</v>
      </c>
      <c r="F553" s="1">
        <v>1</v>
      </c>
    </row>
    <row r="554" spans="1:6" x14ac:dyDescent="0.2">
      <c r="A554" s="1" t="s">
        <v>563</v>
      </c>
      <c r="B554" s="1" t="s">
        <v>12</v>
      </c>
      <c r="C554" s="1" t="s">
        <v>17</v>
      </c>
      <c r="D554" s="1">
        <v>18</v>
      </c>
      <c r="E554" s="1">
        <v>5.35</v>
      </c>
      <c r="F554" s="1">
        <v>1</v>
      </c>
    </row>
    <row r="555" spans="1:6" x14ac:dyDescent="0.2">
      <c r="A555" s="1" t="s">
        <v>564</v>
      </c>
      <c r="B555" s="1" t="s">
        <v>16</v>
      </c>
      <c r="C555" s="1" t="s">
        <v>17</v>
      </c>
      <c r="D555" s="1">
        <v>22</v>
      </c>
      <c r="E555" s="1">
        <v>6.56</v>
      </c>
      <c r="F555" s="1">
        <v>4</v>
      </c>
    </row>
    <row r="556" spans="1:6" x14ac:dyDescent="0.2">
      <c r="A556" s="1" t="s">
        <v>565</v>
      </c>
      <c r="B556" s="1" t="s">
        <v>16</v>
      </c>
      <c r="C556" s="1" t="s">
        <v>8</v>
      </c>
      <c r="D556" s="1">
        <v>21</v>
      </c>
      <c r="E556" s="1">
        <v>9.68</v>
      </c>
      <c r="F556" s="1">
        <v>1</v>
      </c>
    </row>
    <row r="557" spans="1:6" x14ac:dyDescent="0.2">
      <c r="A557" s="1" t="s">
        <v>566</v>
      </c>
      <c r="B557" s="1" t="s">
        <v>10</v>
      </c>
      <c r="C557" s="1" t="s">
        <v>17</v>
      </c>
      <c r="D557" s="1">
        <v>20</v>
      </c>
      <c r="E557" s="1">
        <v>9.25</v>
      </c>
      <c r="F557" s="1">
        <v>3</v>
      </c>
    </row>
    <row r="558" spans="1:6" x14ac:dyDescent="0.2">
      <c r="A558" s="1" t="s">
        <v>567</v>
      </c>
      <c r="B558" s="1" t="s">
        <v>10</v>
      </c>
      <c r="C558" s="1" t="s">
        <v>8</v>
      </c>
      <c r="D558" s="1">
        <v>23</v>
      </c>
      <c r="E558" s="1">
        <v>9.91</v>
      </c>
      <c r="F558" s="1">
        <v>5</v>
      </c>
    </row>
    <row r="559" spans="1:6" x14ac:dyDescent="0.2">
      <c r="A559" s="1" t="s">
        <v>568</v>
      </c>
      <c r="B559" s="1" t="s">
        <v>10</v>
      </c>
      <c r="C559" s="1" t="s">
        <v>8</v>
      </c>
      <c r="D559" s="1">
        <v>20</v>
      </c>
      <c r="E559" s="1">
        <v>8.14</v>
      </c>
      <c r="F559" s="1">
        <v>5</v>
      </c>
    </row>
    <row r="560" spans="1:6" x14ac:dyDescent="0.2">
      <c r="A560" s="1" t="s">
        <v>569</v>
      </c>
      <c r="B560" s="1" t="s">
        <v>12</v>
      </c>
      <c r="C560" s="1" t="s">
        <v>17</v>
      </c>
      <c r="D560" s="1">
        <v>20</v>
      </c>
      <c r="E560" s="1">
        <v>6.24</v>
      </c>
      <c r="F560" s="1">
        <v>2</v>
      </c>
    </row>
    <row r="561" spans="1:6" x14ac:dyDescent="0.2">
      <c r="A561" s="1" t="s">
        <v>570</v>
      </c>
      <c r="B561" s="1" t="s">
        <v>10</v>
      </c>
      <c r="C561" s="1" t="s">
        <v>8</v>
      </c>
      <c r="D561" s="1">
        <v>18</v>
      </c>
      <c r="E561" s="1">
        <v>5.81</v>
      </c>
      <c r="F561" s="1">
        <v>1</v>
      </c>
    </row>
    <row r="562" spans="1:6" x14ac:dyDescent="0.2">
      <c r="A562" s="1" t="s">
        <v>571</v>
      </c>
      <c r="B562" s="1" t="s">
        <v>31</v>
      </c>
      <c r="C562" s="1" t="s">
        <v>17</v>
      </c>
      <c r="D562" s="1">
        <v>21</v>
      </c>
      <c r="E562" s="1">
        <v>5.93</v>
      </c>
      <c r="F562" s="1">
        <v>1</v>
      </c>
    </row>
    <row r="563" spans="1:6" x14ac:dyDescent="0.2">
      <c r="A563" s="1" t="s">
        <v>572</v>
      </c>
      <c r="B563" s="1" t="s">
        <v>7</v>
      </c>
      <c r="C563" s="1" t="s">
        <v>8</v>
      </c>
      <c r="D563" s="1">
        <v>22</v>
      </c>
      <c r="E563" s="1">
        <v>5.0999999999999996</v>
      </c>
      <c r="F563" s="1">
        <v>3</v>
      </c>
    </row>
    <row r="564" spans="1:6" x14ac:dyDescent="0.2">
      <c r="A564" s="1" t="s">
        <v>573</v>
      </c>
      <c r="B564" s="1" t="s">
        <v>31</v>
      </c>
      <c r="C564" s="1" t="s">
        <v>8</v>
      </c>
      <c r="D564" s="1">
        <v>19</v>
      </c>
      <c r="E564" s="1">
        <v>6.95</v>
      </c>
      <c r="F564" s="1">
        <v>0</v>
      </c>
    </row>
    <row r="565" spans="1:6" x14ac:dyDescent="0.2">
      <c r="A565" s="1" t="s">
        <v>574</v>
      </c>
      <c r="B565" s="1" t="s">
        <v>31</v>
      </c>
      <c r="C565" s="1" t="s">
        <v>17</v>
      </c>
      <c r="D565" s="1">
        <v>19</v>
      </c>
      <c r="E565" s="1">
        <v>5.96</v>
      </c>
      <c r="F565" s="1">
        <v>0</v>
      </c>
    </row>
    <row r="566" spans="1:6" x14ac:dyDescent="0.2">
      <c r="A566" s="1" t="s">
        <v>575</v>
      </c>
      <c r="B566" s="1" t="s">
        <v>10</v>
      </c>
      <c r="C566" s="1" t="s">
        <v>17</v>
      </c>
      <c r="D566" s="1">
        <v>20</v>
      </c>
      <c r="E566" s="1">
        <v>7.06</v>
      </c>
      <c r="F566" s="1">
        <v>5</v>
      </c>
    </row>
    <row r="567" spans="1:6" x14ac:dyDescent="0.2">
      <c r="A567" s="1" t="s">
        <v>576</v>
      </c>
      <c r="B567" s="1" t="s">
        <v>7</v>
      </c>
      <c r="C567" s="1" t="s">
        <v>8</v>
      </c>
      <c r="D567" s="1">
        <v>21</v>
      </c>
      <c r="E567" s="1">
        <v>9.67</v>
      </c>
      <c r="F567" s="1">
        <v>5</v>
      </c>
    </row>
    <row r="568" spans="1:6" x14ac:dyDescent="0.2">
      <c r="A568" s="1" t="s">
        <v>577</v>
      </c>
      <c r="B568" s="1" t="s">
        <v>7</v>
      </c>
      <c r="C568" s="1" t="s">
        <v>8</v>
      </c>
      <c r="D568" s="1">
        <v>23</v>
      </c>
      <c r="E568" s="1">
        <v>7.15</v>
      </c>
      <c r="F568" s="1">
        <v>4</v>
      </c>
    </row>
    <row r="569" spans="1:6" x14ac:dyDescent="0.2">
      <c r="A569" s="1" t="s">
        <v>578</v>
      </c>
      <c r="B569" s="1" t="s">
        <v>7</v>
      </c>
      <c r="C569" s="1" t="s">
        <v>17</v>
      </c>
      <c r="D569" s="1">
        <v>18</v>
      </c>
      <c r="E569" s="1">
        <v>9.39</v>
      </c>
      <c r="F569" s="1">
        <v>3</v>
      </c>
    </row>
    <row r="570" spans="1:6" x14ac:dyDescent="0.2">
      <c r="A570" s="1" t="s">
        <v>579</v>
      </c>
      <c r="B570" s="1" t="s">
        <v>12</v>
      </c>
      <c r="C570" s="1" t="s">
        <v>8</v>
      </c>
      <c r="D570" s="1">
        <v>21</v>
      </c>
      <c r="E570" s="1">
        <v>8.0299999999999994</v>
      </c>
      <c r="F570" s="1">
        <v>2</v>
      </c>
    </row>
    <row r="571" spans="1:6" x14ac:dyDescent="0.2">
      <c r="A571" s="1" t="s">
        <v>580</v>
      </c>
      <c r="B571" s="1" t="s">
        <v>10</v>
      </c>
      <c r="C571" s="1" t="s">
        <v>8</v>
      </c>
      <c r="D571" s="1">
        <v>21</v>
      </c>
      <c r="E571" s="1">
        <v>6.24</v>
      </c>
      <c r="F571" s="1">
        <v>2</v>
      </c>
    </row>
    <row r="572" spans="1:6" x14ac:dyDescent="0.2">
      <c r="A572" s="1" t="s">
        <v>581</v>
      </c>
      <c r="B572" s="1" t="s">
        <v>7</v>
      </c>
      <c r="C572" s="1" t="s">
        <v>8</v>
      </c>
      <c r="D572" s="1">
        <v>18</v>
      </c>
      <c r="E572" s="1">
        <v>6.78</v>
      </c>
      <c r="F572" s="1">
        <v>3</v>
      </c>
    </row>
    <row r="573" spans="1:6" x14ac:dyDescent="0.2">
      <c r="A573" s="1" t="s">
        <v>582</v>
      </c>
      <c r="B573" s="1" t="s">
        <v>12</v>
      </c>
      <c r="C573" s="1" t="s">
        <v>17</v>
      </c>
      <c r="D573" s="1">
        <v>20</v>
      </c>
      <c r="E573" s="1">
        <v>5.42</v>
      </c>
      <c r="F573" s="1">
        <v>2</v>
      </c>
    </row>
    <row r="574" spans="1:6" x14ac:dyDescent="0.2">
      <c r="A574" s="1" t="s">
        <v>583</v>
      </c>
      <c r="B574" s="1" t="s">
        <v>16</v>
      </c>
      <c r="C574" s="1" t="s">
        <v>8</v>
      </c>
      <c r="D574" s="1">
        <v>21</v>
      </c>
      <c r="E574" s="1">
        <v>6.67</v>
      </c>
      <c r="F574" s="1">
        <v>0</v>
      </c>
    </row>
    <row r="575" spans="1:6" x14ac:dyDescent="0.2">
      <c r="A575" s="1" t="s">
        <v>584</v>
      </c>
      <c r="B575" s="1" t="s">
        <v>16</v>
      </c>
      <c r="C575" s="1" t="s">
        <v>8</v>
      </c>
      <c r="D575" s="1">
        <v>19</v>
      </c>
      <c r="E575" s="1">
        <v>8.39</v>
      </c>
      <c r="F575" s="1">
        <v>2</v>
      </c>
    </row>
    <row r="576" spans="1:6" x14ac:dyDescent="0.2">
      <c r="A576" s="1" t="s">
        <v>585</v>
      </c>
      <c r="B576" s="1" t="s">
        <v>12</v>
      </c>
      <c r="C576" s="1" t="s">
        <v>17</v>
      </c>
      <c r="D576" s="1">
        <v>18</v>
      </c>
      <c r="E576" s="1">
        <v>5.36</v>
      </c>
      <c r="F576" s="1">
        <v>2</v>
      </c>
    </row>
    <row r="577" spans="1:6" x14ac:dyDescent="0.2">
      <c r="A577" s="1" t="s">
        <v>586</v>
      </c>
      <c r="B577" s="1" t="s">
        <v>12</v>
      </c>
      <c r="C577" s="1" t="s">
        <v>17</v>
      </c>
      <c r="D577" s="1">
        <v>23</v>
      </c>
      <c r="E577" s="1">
        <v>6.03</v>
      </c>
      <c r="F577" s="1">
        <v>3</v>
      </c>
    </row>
    <row r="578" spans="1:6" x14ac:dyDescent="0.2">
      <c r="A578" s="1" t="s">
        <v>587</v>
      </c>
      <c r="B578" s="1" t="s">
        <v>10</v>
      </c>
      <c r="C578" s="1" t="s">
        <v>8</v>
      </c>
      <c r="D578" s="1">
        <v>22</v>
      </c>
      <c r="E578" s="1">
        <v>6.91</v>
      </c>
      <c r="F578" s="1">
        <v>3</v>
      </c>
    </row>
    <row r="579" spans="1:6" x14ac:dyDescent="0.2">
      <c r="A579" s="1" t="s">
        <v>588</v>
      </c>
      <c r="B579" s="1" t="s">
        <v>10</v>
      </c>
      <c r="C579" s="1" t="s">
        <v>17</v>
      </c>
      <c r="D579" s="1">
        <v>20</v>
      </c>
      <c r="E579" s="1">
        <v>9.91</v>
      </c>
      <c r="F579" s="1">
        <v>2</v>
      </c>
    </row>
    <row r="580" spans="1:6" x14ac:dyDescent="0.2">
      <c r="A580" s="1" t="s">
        <v>589</v>
      </c>
      <c r="B580" s="1" t="s">
        <v>16</v>
      </c>
      <c r="C580" s="1" t="s">
        <v>8</v>
      </c>
      <c r="D580" s="1">
        <v>18</v>
      </c>
      <c r="E580" s="1">
        <v>8.92</v>
      </c>
      <c r="F580" s="1">
        <v>1</v>
      </c>
    </row>
    <row r="581" spans="1:6" x14ac:dyDescent="0.2">
      <c r="A581" s="1" t="s">
        <v>590</v>
      </c>
      <c r="B581" s="1" t="s">
        <v>7</v>
      </c>
      <c r="C581" s="1" t="s">
        <v>17</v>
      </c>
      <c r="D581" s="1">
        <v>22</v>
      </c>
      <c r="E581" s="1">
        <v>8.67</v>
      </c>
      <c r="F581" s="1">
        <v>3</v>
      </c>
    </row>
    <row r="582" spans="1:6" x14ac:dyDescent="0.2">
      <c r="A582" s="1" t="s">
        <v>591</v>
      </c>
      <c r="B582" s="1" t="s">
        <v>16</v>
      </c>
      <c r="C582" s="1" t="s">
        <v>17</v>
      </c>
      <c r="D582" s="1">
        <v>22</v>
      </c>
      <c r="E582" s="1">
        <v>5.58</v>
      </c>
      <c r="F582" s="1">
        <v>4</v>
      </c>
    </row>
    <row r="583" spans="1:6" x14ac:dyDescent="0.2">
      <c r="A583" s="1" t="s">
        <v>592</v>
      </c>
      <c r="B583" s="1" t="s">
        <v>7</v>
      </c>
      <c r="C583" s="1" t="s">
        <v>8</v>
      </c>
      <c r="D583" s="1">
        <v>23</v>
      </c>
      <c r="E583" s="1">
        <v>8.9</v>
      </c>
      <c r="F583" s="1">
        <v>4</v>
      </c>
    </row>
    <row r="584" spans="1:6" x14ac:dyDescent="0.2">
      <c r="A584" s="1" t="s">
        <v>593</v>
      </c>
      <c r="B584" s="1" t="s">
        <v>7</v>
      </c>
      <c r="C584" s="1" t="s">
        <v>17</v>
      </c>
      <c r="D584" s="1">
        <v>21</v>
      </c>
      <c r="E584" s="1">
        <v>8.93</v>
      </c>
      <c r="F584" s="1">
        <v>0</v>
      </c>
    </row>
    <row r="585" spans="1:6" x14ac:dyDescent="0.2">
      <c r="A585" s="1" t="s">
        <v>594</v>
      </c>
      <c r="B585" s="1" t="s">
        <v>10</v>
      </c>
      <c r="C585" s="1" t="s">
        <v>17</v>
      </c>
      <c r="D585" s="1">
        <v>23</v>
      </c>
      <c r="E585" s="1">
        <v>8.01</v>
      </c>
      <c r="F585" s="1">
        <v>2</v>
      </c>
    </row>
    <row r="586" spans="1:6" x14ac:dyDescent="0.2">
      <c r="A586" s="1" t="s">
        <v>595</v>
      </c>
      <c r="B586" s="1" t="s">
        <v>31</v>
      </c>
      <c r="C586" s="1" t="s">
        <v>17</v>
      </c>
      <c r="D586" s="1">
        <v>21</v>
      </c>
      <c r="E586" s="1">
        <v>9.9499999999999993</v>
      </c>
      <c r="F586" s="1">
        <v>1</v>
      </c>
    </row>
    <row r="587" spans="1:6" x14ac:dyDescent="0.2">
      <c r="A587" s="1" t="s">
        <v>596</v>
      </c>
      <c r="B587" s="1" t="s">
        <v>31</v>
      </c>
      <c r="C587" s="1" t="s">
        <v>8</v>
      </c>
      <c r="D587" s="1">
        <v>21</v>
      </c>
      <c r="E587" s="1">
        <v>6.63</v>
      </c>
      <c r="F587" s="1">
        <v>0</v>
      </c>
    </row>
    <row r="588" spans="1:6" x14ac:dyDescent="0.2">
      <c r="A588" s="1" t="s">
        <v>597</v>
      </c>
      <c r="B588" s="1" t="s">
        <v>12</v>
      </c>
      <c r="C588" s="1" t="s">
        <v>17</v>
      </c>
      <c r="D588" s="1">
        <v>18</v>
      </c>
      <c r="E588" s="1">
        <v>9.7100000000000009</v>
      </c>
      <c r="F588" s="1">
        <v>2</v>
      </c>
    </row>
    <row r="589" spans="1:6" x14ac:dyDescent="0.2">
      <c r="A589" s="1" t="s">
        <v>598</v>
      </c>
      <c r="B589" s="1" t="s">
        <v>10</v>
      </c>
      <c r="C589" s="1" t="s">
        <v>17</v>
      </c>
      <c r="D589" s="1">
        <v>18</v>
      </c>
      <c r="E589" s="1">
        <v>9.57</v>
      </c>
      <c r="F589" s="1">
        <v>3</v>
      </c>
    </row>
    <row r="590" spans="1:6" x14ac:dyDescent="0.2">
      <c r="A590" s="1" t="s">
        <v>599</v>
      </c>
      <c r="B590" s="1" t="s">
        <v>7</v>
      </c>
      <c r="C590" s="1" t="s">
        <v>8</v>
      </c>
      <c r="D590" s="1">
        <v>20</v>
      </c>
      <c r="E590" s="1">
        <v>5.0599999999999996</v>
      </c>
      <c r="F590" s="1">
        <v>4</v>
      </c>
    </row>
    <row r="591" spans="1:6" x14ac:dyDescent="0.2">
      <c r="A591" s="1" t="s">
        <v>600</v>
      </c>
      <c r="B591" s="1" t="s">
        <v>31</v>
      </c>
      <c r="C591" s="1" t="s">
        <v>17</v>
      </c>
      <c r="D591" s="1">
        <v>21</v>
      </c>
      <c r="E591" s="1">
        <v>7.25</v>
      </c>
      <c r="F591" s="1">
        <v>5</v>
      </c>
    </row>
    <row r="592" spans="1:6" x14ac:dyDescent="0.2">
      <c r="A592" s="1" t="s">
        <v>601</v>
      </c>
      <c r="B592" s="1" t="s">
        <v>7</v>
      </c>
      <c r="C592" s="1" t="s">
        <v>8</v>
      </c>
      <c r="D592" s="1">
        <v>22</v>
      </c>
      <c r="E592" s="1">
        <v>9.89</v>
      </c>
      <c r="F592" s="1">
        <v>1</v>
      </c>
    </row>
    <row r="593" spans="1:6" x14ac:dyDescent="0.2">
      <c r="A593" s="1" t="s">
        <v>602</v>
      </c>
      <c r="B593" s="1" t="s">
        <v>31</v>
      </c>
      <c r="C593" s="1" t="s">
        <v>17</v>
      </c>
      <c r="D593" s="1">
        <v>19</v>
      </c>
      <c r="E593" s="1">
        <v>5.52</v>
      </c>
      <c r="F593" s="1">
        <v>5</v>
      </c>
    </row>
    <row r="594" spans="1:6" x14ac:dyDescent="0.2">
      <c r="A594" s="1" t="s">
        <v>603</v>
      </c>
      <c r="B594" s="1" t="s">
        <v>31</v>
      </c>
      <c r="C594" s="1" t="s">
        <v>8</v>
      </c>
      <c r="D594" s="1">
        <v>20</v>
      </c>
      <c r="E594" s="1">
        <v>7.74</v>
      </c>
      <c r="F594" s="1">
        <v>4</v>
      </c>
    </row>
    <row r="595" spans="1:6" x14ac:dyDescent="0.2">
      <c r="A595" s="1" t="s">
        <v>604</v>
      </c>
      <c r="B595" s="1" t="s">
        <v>31</v>
      </c>
      <c r="C595" s="1" t="s">
        <v>17</v>
      </c>
      <c r="D595" s="1">
        <v>18</v>
      </c>
      <c r="E595" s="1">
        <v>9.89</v>
      </c>
      <c r="F595" s="1">
        <v>5</v>
      </c>
    </row>
    <row r="596" spans="1:6" x14ac:dyDescent="0.2">
      <c r="A596" s="1" t="s">
        <v>605</v>
      </c>
      <c r="B596" s="1" t="s">
        <v>10</v>
      </c>
      <c r="C596" s="1" t="s">
        <v>8</v>
      </c>
      <c r="D596" s="1">
        <v>23</v>
      </c>
      <c r="E596" s="1">
        <v>7.78</v>
      </c>
      <c r="F596" s="1">
        <v>3</v>
      </c>
    </row>
    <row r="597" spans="1:6" x14ac:dyDescent="0.2">
      <c r="A597" s="1" t="s">
        <v>606</v>
      </c>
      <c r="B597" s="1" t="s">
        <v>16</v>
      </c>
      <c r="C597" s="1" t="s">
        <v>17</v>
      </c>
      <c r="D597" s="1">
        <v>20</v>
      </c>
      <c r="E597" s="1">
        <v>5.95</v>
      </c>
      <c r="F597" s="1">
        <v>2</v>
      </c>
    </row>
    <row r="598" spans="1:6" x14ac:dyDescent="0.2">
      <c r="A598" s="1" t="s">
        <v>607</v>
      </c>
      <c r="B598" s="1" t="s">
        <v>7</v>
      </c>
      <c r="C598" s="1" t="s">
        <v>17</v>
      </c>
      <c r="D598" s="1">
        <v>20</v>
      </c>
      <c r="E598" s="1">
        <v>7.91</v>
      </c>
      <c r="F598" s="1">
        <v>3</v>
      </c>
    </row>
    <row r="599" spans="1:6" x14ac:dyDescent="0.2">
      <c r="A599" s="1" t="s">
        <v>608</v>
      </c>
      <c r="B599" s="1" t="s">
        <v>10</v>
      </c>
      <c r="C599" s="1" t="s">
        <v>17</v>
      </c>
      <c r="D599" s="1">
        <v>20</v>
      </c>
      <c r="E599" s="1">
        <v>6.02</v>
      </c>
      <c r="F599" s="1">
        <v>5</v>
      </c>
    </row>
    <row r="600" spans="1:6" x14ac:dyDescent="0.2">
      <c r="A600" s="1" t="s">
        <v>609</v>
      </c>
      <c r="B600" s="1" t="s">
        <v>10</v>
      </c>
      <c r="C600" s="1" t="s">
        <v>17</v>
      </c>
      <c r="D600" s="1">
        <v>20</v>
      </c>
      <c r="E600" s="1">
        <v>7.6</v>
      </c>
      <c r="F600" s="1">
        <v>3</v>
      </c>
    </row>
    <row r="601" spans="1:6" x14ac:dyDescent="0.2">
      <c r="A601" s="1" t="s">
        <v>610</v>
      </c>
      <c r="B601" s="1" t="s">
        <v>10</v>
      </c>
      <c r="C601" s="1" t="s">
        <v>17</v>
      </c>
      <c r="D601" s="1">
        <v>19</v>
      </c>
      <c r="E601" s="1">
        <v>5.37</v>
      </c>
      <c r="F601" s="1">
        <v>4</v>
      </c>
    </row>
    <row r="602" spans="1:6" x14ac:dyDescent="0.2">
      <c r="A602" s="1" t="s">
        <v>611</v>
      </c>
      <c r="B602" s="1" t="s">
        <v>10</v>
      </c>
      <c r="C602" s="1" t="s">
        <v>17</v>
      </c>
      <c r="D602" s="1">
        <v>23</v>
      </c>
      <c r="E602" s="1">
        <v>8.0299999999999994</v>
      </c>
      <c r="F602" s="1">
        <v>1</v>
      </c>
    </row>
    <row r="603" spans="1:6" x14ac:dyDescent="0.2">
      <c r="A603" s="1" t="s">
        <v>612</v>
      </c>
      <c r="B603" s="1" t="s">
        <v>10</v>
      </c>
      <c r="C603" s="1" t="s">
        <v>8</v>
      </c>
      <c r="D603" s="1">
        <v>23</v>
      </c>
      <c r="E603" s="1">
        <v>7.58</v>
      </c>
      <c r="F603" s="1">
        <v>3</v>
      </c>
    </row>
    <row r="604" spans="1:6" x14ac:dyDescent="0.2">
      <c r="A604" s="1" t="s">
        <v>613</v>
      </c>
      <c r="B604" s="1" t="s">
        <v>12</v>
      </c>
      <c r="C604" s="1" t="s">
        <v>17</v>
      </c>
      <c r="D604" s="1">
        <v>23</v>
      </c>
      <c r="E604" s="1">
        <v>8.6999999999999993</v>
      </c>
      <c r="F604" s="1">
        <v>4</v>
      </c>
    </row>
    <row r="605" spans="1:6" x14ac:dyDescent="0.2">
      <c r="A605" s="1" t="s">
        <v>614</v>
      </c>
      <c r="B605" s="1" t="s">
        <v>7</v>
      </c>
      <c r="C605" s="1" t="s">
        <v>17</v>
      </c>
      <c r="D605" s="1">
        <v>21</v>
      </c>
      <c r="E605" s="1">
        <v>8.15</v>
      </c>
      <c r="F605" s="1">
        <v>1</v>
      </c>
    </row>
    <row r="606" spans="1:6" x14ac:dyDescent="0.2">
      <c r="A606" s="1" t="s">
        <v>615</v>
      </c>
      <c r="B606" s="1" t="s">
        <v>10</v>
      </c>
      <c r="C606" s="1" t="s">
        <v>8</v>
      </c>
      <c r="D606" s="1">
        <v>22</v>
      </c>
      <c r="E606" s="1">
        <v>7.75</v>
      </c>
      <c r="F606" s="1">
        <v>2</v>
      </c>
    </row>
    <row r="607" spans="1:6" x14ac:dyDescent="0.2">
      <c r="A607" s="1" t="s">
        <v>616</v>
      </c>
      <c r="B607" s="1" t="s">
        <v>7</v>
      </c>
      <c r="C607" s="1" t="s">
        <v>8</v>
      </c>
      <c r="D607" s="1">
        <v>23</v>
      </c>
      <c r="E607" s="1">
        <v>8.4499999999999993</v>
      </c>
      <c r="F607" s="1">
        <v>5</v>
      </c>
    </row>
    <row r="608" spans="1:6" x14ac:dyDescent="0.2">
      <c r="A608" s="1" t="s">
        <v>617</v>
      </c>
      <c r="B608" s="1" t="s">
        <v>12</v>
      </c>
      <c r="C608" s="1" t="s">
        <v>17</v>
      </c>
      <c r="D608" s="1">
        <v>20</v>
      </c>
      <c r="E608" s="1">
        <v>5.72</v>
      </c>
      <c r="F608" s="1">
        <v>2</v>
      </c>
    </row>
    <row r="609" spans="1:6" x14ac:dyDescent="0.2">
      <c r="A609" s="1" t="s">
        <v>618</v>
      </c>
      <c r="B609" s="1" t="s">
        <v>12</v>
      </c>
      <c r="C609" s="1" t="s">
        <v>17</v>
      </c>
      <c r="D609" s="1">
        <v>20</v>
      </c>
      <c r="E609" s="1">
        <v>7.98</v>
      </c>
      <c r="F609" s="1">
        <v>0</v>
      </c>
    </row>
    <row r="610" spans="1:6" x14ac:dyDescent="0.2">
      <c r="A610" s="1" t="s">
        <v>619</v>
      </c>
      <c r="B610" s="1" t="s">
        <v>7</v>
      </c>
      <c r="C610" s="1" t="s">
        <v>17</v>
      </c>
      <c r="D610" s="1">
        <v>23</v>
      </c>
      <c r="E610" s="1">
        <v>5.86</v>
      </c>
      <c r="F610" s="1">
        <v>4</v>
      </c>
    </row>
    <row r="611" spans="1:6" x14ac:dyDescent="0.2">
      <c r="A611" s="1" t="s">
        <v>620</v>
      </c>
      <c r="B611" s="1" t="s">
        <v>31</v>
      </c>
      <c r="C611" s="1" t="s">
        <v>8</v>
      </c>
      <c r="D611" s="1">
        <v>23</v>
      </c>
      <c r="E611" s="1">
        <v>9.6300000000000008</v>
      </c>
      <c r="F611" s="1">
        <v>1</v>
      </c>
    </row>
    <row r="612" spans="1:6" x14ac:dyDescent="0.2">
      <c r="A612" s="1" t="s">
        <v>621</v>
      </c>
      <c r="B612" s="1" t="s">
        <v>16</v>
      </c>
      <c r="C612" s="1" t="s">
        <v>8</v>
      </c>
      <c r="D612" s="1">
        <v>20</v>
      </c>
      <c r="E612" s="1">
        <v>5.34</v>
      </c>
      <c r="F612" s="1">
        <v>3</v>
      </c>
    </row>
    <row r="613" spans="1:6" x14ac:dyDescent="0.2">
      <c r="A613" s="1" t="s">
        <v>622</v>
      </c>
      <c r="B613" s="1" t="s">
        <v>31</v>
      </c>
      <c r="C613" s="1" t="s">
        <v>17</v>
      </c>
      <c r="D613" s="1">
        <v>21</v>
      </c>
      <c r="E613" s="1">
        <v>7.15</v>
      </c>
      <c r="F613" s="1">
        <v>2</v>
      </c>
    </row>
    <row r="614" spans="1:6" x14ac:dyDescent="0.2">
      <c r="A614" s="1" t="s">
        <v>623</v>
      </c>
      <c r="B614" s="1" t="s">
        <v>31</v>
      </c>
      <c r="C614" s="1" t="s">
        <v>8</v>
      </c>
      <c r="D614" s="1">
        <v>18</v>
      </c>
      <c r="E614" s="1">
        <v>8.48</v>
      </c>
      <c r="F614" s="1">
        <v>1</v>
      </c>
    </row>
    <row r="615" spans="1:6" x14ac:dyDescent="0.2">
      <c r="A615" s="1" t="s">
        <v>624</v>
      </c>
      <c r="B615" s="1" t="s">
        <v>31</v>
      </c>
      <c r="C615" s="1" t="s">
        <v>8</v>
      </c>
      <c r="D615" s="1">
        <v>18</v>
      </c>
      <c r="E615" s="1">
        <v>7.29</v>
      </c>
      <c r="F615" s="1">
        <v>4</v>
      </c>
    </row>
    <row r="616" spans="1:6" x14ac:dyDescent="0.2">
      <c r="A616" s="1" t="s">
        <v>625</v>
      </c>
      <c r="B616" s="1" t="s">
        <v>10</v>
      </c>
      <c r="C616" s="1" t="s">
        <v>8</v>
      </c>
      <c r="D616" s="1">
        <v>23</v>
      </c>
      <c r="E616" s="1">
        <v>5.46</v>
      </c>
      <c r="F616" s="1">
        <v>0</v>
      </c>
    </row>
    <row r="617" spans="1:6" x14ac:dyDescent="0.2">
      <c r="A617" s="1" t="s">
        <v>626</v>
      </c>
      <c r="B617" s="1" t="s">
        <v>12</v>
      </c>
      <c r="C617" s="1" t="s">
        <v>8</v>
      </c>
      <c r="D617" s="1">
        <v>19</v>
      </c>
      <c r="E617" s="1">
        <v>7.77</v>
      </c>
      <c r="F617" s="1">
        <v>2</v>
      </c>
    </row>
    <row r="618" spans="1:6" x14ac:dyDescent="0.2">
      <c r="A618" s="1" t="s">
        <v>627</v>
      </c>
      <c r="B618" s="1" t="s">
        <v>31</v>
      </c>
      <c r="C618" s="1" t="s">
        <v>17</v>
      </c>
      <c r="D618" s="1">
        <v>23</v>
      </c>
      <c r="E618" s="1">
        <v>8.2100000000000009</v>
      </c>
      <c r="F618" s="1">
        <v>5</v>
      </c>
    </row>
    <row r="619" spans="1:6" x14ac:dyDescent="0.2">
      <c r="A619" s="1" t="s">
        <v>628</v>
      </c>
      <c r="B619" s="1" t="s">
        <v>12</v>
      </c>
      <c r="C619" s="1" t="s">
        <v>17</v>
      </c>
      <c r="D619" s="1">
        <v>23</v>
      </c>
      <c r="E619" s="1">
        <v>8.52</v>
      </c>
      <c r="F619" s="1">
        <v>1</v>
      </c>
    </row>
    <row r="620" spans="1:6" x14ac:dyDescent="0.2">
      <c r="A620" s="1" t="s">
        <v>629</v>
      </c>
      <c r="B620" s="1" t="s">
        <v>7</v>
      </c>
      <c r="C620" s="1" t="s">
        <v>17</v>
      </c>
      <c r="D620" s="1">
        <v>18</v>
      </c>
      <c r="E620" s="1">
        <v>6.87</v>
      </c>
      <c r="F620" s="1">
        <v>5</v>
      </c>
    </row>
    <row r="621" spans="1:6" x14ac:dyDescent="0.2">
      <c r="A621" s="1" t="s">
        <v>630</v>
      </c>
      <c r="B621" s="1" t="s">
        <v>16</v>
      </c>
      <c r="C621" s="1" t="s">
        <v>17</v>
      </c>
      <c r="D621" s="1">
        <v>20</v>
      </c>
      <c r="E621" s="1">
        <v>7.82</v>
      </c>
      <c r="F621" s="1">
        <v>1</v>
      </c>
    </row>
    <row r="622" spans="1:6" x14ac:dyDescent="0.2">
      <c r="A622" s="1" t="s">
        <v>631</v>
      </c>
      <c r="B622" s="1" t="s">
        <v>7</v>
      </c>
      <c r="C622" s="1" t="s">
        <v>17</v>
      </c>
      <c r="D622" s="1">
        <v>23</v>
      </c>
      <c r="E622" s="1">
        <v>7.25</v>
      </c>
      <c r="F622" s="1">
        <v>1</v>
      </c>
    </row>
    <row r="623" spans="1:6" x14ac:dyDescent="0.2">
      <c r="A623" s="1" t="s">
        <v>632</v>
      </c>
      <c r="B623" s="1" t="s">
        <v>7</v>
      </c>
      <c r="C623" s="1" t="s">
        <v>8</v>
      </c>
      <c r="D623" s="1">
        <v>20</v>
      </c>
      <c r="E623" s="1">
        <v>8.36</v>
      </c>
      <c r="F623" s="1">
        <v>4</v>
      </c>
    </row>
    <row r="624" spans="1:6" x14ac:dyDescent="0.2">
      <c r="A624" s="1" t="s">
        <v>633</v>
      </c>
      <c r="B624" s="1" t="s">
        <v>10</v>
      </c>
      <c r="C624" s="1" t="s">
        <v>17</v>
      </c>
      <c r="D624" s="1">
        <v>20</v>
      </c>
      <c r="E624" s="1">
        <v>7.92</v>
      </c>
      <c r="F624" s="1">
        <v>4</v>
      </c>
    </row>
    <row r="625" spans="1:6" x14ac:dyDescent="0.2">
      <c r="A625" s="1" t="s">
        <v>634</v>
      </c>
      <c r="B625" s="1" t="s">
        <v>16</v>
      </c>
      <c r="C625" s="1" t="s">
        <v>17</v>
      </c>
      <c r="D625" s="1">
        <v>19</v>
      </c>
      <c r="E625" s="1">
        <v>7.63</v>
      </c>
      <c r="F625" s="1">
        <v>4</v>
      </c>
    </row>
    <row r="626" spans="1:6" x14ac:dyDescent="0.2">
      <c r="A626" s="1" t="s">
        <v>635</v>
      </c>
      <c r="B626" s="1" t="s">
        <v>7</v>
      </c>
      <c r="C626" s="1" t="s">
        <v>17</v>
      </c>
      <c r="D626" s="1">
        <v>20</v>
      </c>
      <c r="E626" s="1">
        <v>6.25</v>
      </c>
      <c r="F626" s="1">
        <v>3</v>
      </c>
    </row>
    <row r="627" spans="1:6" x14ac:dyDescent="0.2">
      <c r="A627" s="1" t="s">
        <v>636</v>
      </c>
      <c r="B627" s="1" t="s">
        <v>7</v>
      </c>
      <c r="C627" s="1" t="s">
        <v>8</v>
      </c>
      <c r="D627" s="1">
        <v>18</v>
      </c>
      <c r="E627" s="1">
        <v>5.01</v>
      </c>
      <c r="F627" s="1">
        <v>1</v>
      </c>
    </row>
    <row r="628" spans="1:6" x14ac:dyDescent="0.2">
      <c r="A628" s="1" t="s">
        <v>637</v>
      </c>
      <c r="B628" s="1" t="s">
        <v>16</v>
      </c>
      <c r="C628" s="1" t="s">
        <v>17</v>
      </c>
      <c r="D628" s="1">
        <v>21</v>
      </c>
      <c r="E628" s="1">
        <v>5.87</v>
      </c>
      <c r="F628" s="1">
        <v>2</v>
      </c>
    </row>
    <row r="629" spans="1:6" x14ac:dyDescent="0.2">
      <c r="A629" s="1" t="s">
        <v>638</v>
      </c>
      <c r="B629" s="1" t="s">
        <v>16</v>
      </c>
      <c r="C629" s="1" t="s">
        <v>17</v>
      </c>
      <c r="D629" s="1">
        <v>21</v>
      </c>
      <c r="E629" s="1">
        <v>5.59</v>
      </c>
      <c r="F629" s="1">
        <v>5</v>
      </c>
    </row>
    <row r="630" spans="1:6" x14ac:dyDescent="0.2">
      <c r="A630" s="1" t="s">
        <v>639</v>
      </c>
      <c r="B630" s="1" t="s">
        <v>7</v>
      </c>
      <c r="C630" s="1" t="s">
        <v>17</v>
      </c>
      <c r="D630" s="1">
        <v>22</v>
      </c>
      <c r="E630" s="1">
        <v>7.25</v>
      </c>
      <c r="F630" s="1">
        <v>4</v>
      </c>
    </row>
    <row r="631" spans="1:6" x14ac:dyDescent="0.2">
      <c r="A631" s="1" t="s">
        <v>640</v>
      </c>
      <c r="B631" s="1" t="s">
        <v>16</v>
      </c>
      <c r="C631" s="1" t="s">
        <v>17</v>
      </c>
      <c r="D631" s="1">
        <v>23</v>
      </c>
      <c r="E631" s="1">
        <v>8.06</v>
      </c>
      <c r="F631" s="1">
        <v>4</v>
      </c>
    </row>
    <row r="632" spans="1:6" x14ac:dyDescent="0.2">
      <c r="A632" s="1" t="s">
        <v>641</v>
      </c>
      <c r="B632" s="1" t="s">
        <v>7</v>
      </c>
      <c r="C632" s="1" t="s">
        <v>8</v>
      </c>
      <c r="D632" s="1">
        <v>18</v>
      </c>
      <c r="E632" s="1">
        <v>6.07</v>
      </c>
      <c r="F632" s="1">
        <v>5</v>
      </c>
    </row>
    <row r="633" spans="1:6" x14ac:dyDescent="0.2">
      <c r="A633" s="1" t="s">
        <v>642</v>
      </c>
      <c r="B633" s="1" t="s">
        <v>7</v>
      </c>
      <c r="C633" s="1" t="s">
        <v>8</v>
      </c>
      <c r="D633" s="1">
        <v>20</v>
      </c>
      <c r="E633" s="1">
        <v>9.6999999999999993</v>
      </c>
      <c r="F633" s="1">
        <v>5</v>
      </c>
    </row>
    <row r="634" spans="1:6" x14ac:dyDescent="0.2">
      <c r="A634" s="1" t="s">
        <v>643</v>
      </c>
      <c r="B634" s="1" t="s">
        <v>10</v>
      </c>
      <c r="C634" s="1" t="s">
        <v>17</v>
      </c>
      <c r="D634" s="1">
        <v>21</v>
      </c>
      <c r="E634" s="1">
        <v>5.03</v>
      </c>
      <c r="F634" s="1">
        <v>1</v>
      </c>
    </row>
    <row r="635" spans="1:6" x14ac:dyDescent="0.2">
      <c r="A635" s="1" t="s">
        <v>644</v>
      </c>
      <c r="B635" s="1" t="s">
        <v>31</v>
      </c>
      <c r="C635" s="1" t="s">
        <v>8</v>
      </c>
      <c r="D635" s="1">
        <v>18</v>
      </c>
      <c r="E635" s="1">
        <v>8.86</v>
      </c>
      <c r="F635" s="1">
        <v>4</v>
      </c>
    </row>
    <row r="636" spans="1:6" x14ac:dyDescent="0.2">
      <c r="A636" s="1" t="s">
        <v>645</v>
      </c>
      <c r="B636" s="1" t="s">
        <v>7</v>
      </c>
      <c r="C636" s="1" t="s">
        <v>8</v>
      </c>
      <c r="D636" s="1">
        <v>21</v>
      </c>
      <c r="E636" s="1">
        <v>8.1300000000000008</v>
      </c>
      <c r="F636" s="1">
        <v>5</v>
      </c>
    </row>
    <row r="637" spans="1:6" x14ac:dyDescent="0.2">
      <c r="A637" s="1" t="s">
        <v>646</v>
      </c>
      <c r="B637" s="1" t="s">
        <v>12</v>
      </c>
      <c r="C637" s="1" t="s">
        <v>8</v>
      </c>
      <c r="D637" s="1">
        <v>20</v>
      </c>
      <c r="E637" s="1">
        <v>6.87</v>
      </c>
      <c r="F637" s="1">
        <v>3</v>
      </c>
    </row>
    <row r="638" spans="1:6" x14ac:dyDescent="0.2">
      <c r="A638" s="1" t="s">
        <v>647</v>
      </c>
      <c r="B638" s="1" t="s">
        <v>31</v>
      </c>
      <c r="C638" s="1" t="s">
        <v>17</v>
      </c>
      <c r="D638" s="1">
        <v>21</v>
      </c>
      <c r="E638" s="1">
        <v>5.25</v>
      </c>
      <c r="F638" s="1">
        <v>3</v>
      </c>
    </row>
    <row r="639" spans="1:6" x14ac:dyDescent="0.2">
      <c r="A639" s="1" t="s">
        <v>648</v>
      </c>
      <c r="B639" s="1" t="s">
        <v>31</v>
      </c>
      <c r="C639" s="1" t="s">
        <v>17</v>
      </c>
      <c r="D639" s="1">
        <v>23</v>
      </c>
      <c r="E639" s="1">
        <v>8.14</v>
      </c>
      <c r="F639" s="1">
        <v>4</v>
      </c>
    </row>
    <row r="640" spans="1:6" x14ac:dyDescent="0.2">
      <c r="A640" s="1" t="s">
        <v>649</v>
      </c>
      <c r="B640" s="1" t="s">
        <v>31</v>
      </c>
      <c r="C640" s="1" t="s">
        <v>17</v>
      </c>
      <c r="D640" s="1">
        <v>23</v>
      </c>
      <c r="E640" s="1">
        <v>6.93</v>
      </c>
      <c r="F640" s="1">
        <v>5</v>
      </c>
    </row>
    <row r="641" spans="1:6" x14ac:dyDescent="0.2">
      <c r="A641" s="1" t="s">
        <v>650</v>
      </c>
      <c r="B641" s="1" t="s">
        <v>10</v>
      </c>
      <c r="C641" s="1" t="s">
        <v>8</v>
      </c>
      <c r="D641" s="1">
        <v>22</v>
      </c>
      <c r="E641" s="1">
        <v>9.68</v>
      </c>
      <c r="F641" s="1">
        <v>1</v>
      </c>
    </row>
    <row r="642" spans="1:6" x14ac:dyDescent="0.2">
      <c r="A642" s="1" t="s">
        <v>651</v>
      </c>
      <c r="B642" s="1" t="s">
        <v>7</v>
      </c>
      <c r="C642" s="1" t="s">
        <v>17</v>
      </c>
      <c r="D642" s="1">
        <v>22</v>
      </c>
      <c r="E642" s="1">
        <v>7.71</v>
      </c>
      <c r="F642" s="1">
        <v>1</v>
      </c>
    </row>
    <row r="643" spans="1:6" x14ac:dyDescent="0.2">
      <c r="A643" s="1" t="s">
        <v>652</v>
      </c>
      <c r="B643" s="1" t="s">
        <v>10</v>
      </c>
      <c r="C643" s="1" t="s">
        <v>17</v>
      </c>
      <c r="D643" s="1">
        <v>21</v>
      </c>
      <c r="E643" s="1">
        <v>9.6999999999999993</v>
      </c>
      <c r="F643" s="1">
        <v>1</v>
      </c>
    </row>
    <row r="644" spans="1:6" x14ac:dyDescent="0.2">
      <c r="A644" s="1" t="s">
        <v>653</v>
      </c>
      <c r="B644" s="1" t="s">
        <v>7</v>
      </c>
      <c r="C644" s="1" t="s">
        <v>17</v>
      </c>
      <c r="D644" s="1">
        <v>18</v>
      </c>
      <c r="E644" s="1">
        <v>6.1</v>
      </c>
      <c r="F644" s="1">
        <v>0</v>
      </c>
    </row>
    <row r="645" spans="1:6" x14ac:dyDescent="0.2">
      <c r="A645" s="1" t="s">
        <v>654</v>
      </c>
      <c r="B645" s="1" t="s">
        <v>10</v>
      </c>
      <c r="C645" s="1" t="s">
        <v>8</v>
      </c>
      <c r="D645" s="1">
        <v>23</v>
      </c>
      <c r="E645" s="1">
        <v>8.6300000000000008</v>
      </c>
      <c r="F645" s="1">
        <v>4</v>
      </c>
    </row>
    <row r="646" spans="1:6" x14ac:dyDescent="0.2">
      <c r="A646" s="1" t="s">
        <v>655</v>
      </c>
      <c r="B646" s="1" t="s">
        <v>10</v>
      </c>
      <c r="C646" s="1" t="s">
        <v>17</v>
      </c>
      <c r="D646" s="1">
        <v>18</v>
      </c>
      <c r="E646" s="1">
        <v>8.09</v>
      </c>
      <c r="F646" s="1">
        <v>1</v>
      </c>
    </row>
    <row r="647" spans="1:6" x14ac:dyDescent="0.2">
      <c r="A647" s="1" t="s">
        <v>656</v>
      </c>
      <c r="B647" s="1" t="s">
        <v>12</v>
      </c>
      <c r="C647" s="1" t="s">
        <v>8</v>
      </c>
      <c r="D647" s="1">
        <v>18</v>
      </c>
      <c r="E647" s="1">
        <v>8.6999999999999993</v>
      </c>
      <c r="F647" s="1">
        <v>3</v>
      </c>
    </row>
    <row r="648" spans="1:6" x14ac:dyDescent="0.2">
      <c r="A648" s="1" t="s">
        <v>657</v>
      </c>
      <c r="B648" s="1" t="s">
        <v>10</v>
      </c>
      <c r="C648" s="1" t="s">
        <v>8</v>
      </c>
      <c r="D648" s="1">
        <v>21</v>
      </c>
      <c r="E648" s="1">
        <v>6.07</v>
      </c>
      <c r="F648" s="1">
        <v>5</v>
      </c>
    </row>
    <row r="649" spans="1:6" x14ac:dyDescent="0.2">
      <c r="A649" s="1" t="s">
        <v>658</v>
      </c>
      <c r="B649" s="1" t="s">
        <v>16</v>
      </c>
      <c r="C649" s="1" t="s">
        <v>17</v>
      </c>
      <c r="D649" s="1">
        <v>18</v>
      </c>
      <c r="E649" s="1">
        <v>8.32</v>
      </c>
      <c r="F649" s="1">
        <v>2</v>
      </c>
    </row>
    <row r="650" spans="1:6" x14ac:dyDescent="0.2">
      <c r="A650" s="1" t="s">
        <v>659</v>
      </c>
      <c r="B650" s="1" t="s">
        <v>12</v>
      </c>
      <c r="C650" s="1" t="s">
        <v>8</v>
      </c>
      <c r="D650" s="1">
        <v>23</v>
      </c>
      <c r="E650" s="1">
        <v>7.49</v>
      </c>
      <c r="F650" s="1">
        <v>2</v>
      </c>
    </row>
    <row r="651" spans="1:6" x14ac:dyDescent="0.2">
      <c r="A651" s="1" t="s">
        <v>660</v>
      </c>
      <c r="B651" s="1" t="s">
        <v>10</v>
      </c>
      <c r="C651" s="1" t="s">
        <v>17</v>
      </c>
      <c r="D651" s="1">
        <v>20</v>
      </c>
      <c r="E651" s="1">
        <v>8.7100000000000009</v>
      </c>
      <c r="F651" s="1">
        <v>1</v>
      </c>
    </row>
    <row r="652" spans="1:6" x14ac:dyDescent="0.2">
      <c r="A652" s="1" t="s">
        <v>661</v>
      </c>
      <c r="B652" s="1" t="s">
        <v>31</v>
      </c>
      <c r="C652" s="1" t="s">
        <v>8</v>
      </c>
      <c r="D652" s="1">
        <v>22</v>
      </c>
      <c r="E652" s="1">
        <v>6.64</v>
      </c>
      <c r="F652" s="1">
        <v>2</v>
      </c>
    </row>
    <row r="653" spans="1:6" x14ac:dyDescent="0.2">
      <c r="A653" s="1" t="s">
        <v>662</v>
      </c>
      <c r="B653" s="1" t="s">
        <v>16</v>
      </c>
      <c r="C653" s="1" t="s">
        <v>17</v>
      </c>
      <c r="D653" s="1">
        <v>20</v>
      </c>
      <c r="E653" s="1">
        <v>9.4499999999999993</v>
      </c>
      <c r="F653" s="1">
        <v>2</v>
      </c>
    </row>
    <row r="654" spans="1:6" x14ac:dyDescent="0.2">
      <c r="A654" s="1" t="s">
        <v>663</v>
      </c>
      <c r="B654" s="1" t="s">
        <v>16</v>
      </c>
      <c r="C654" s="1" t="s">
        <v>8</v>
      </c>
      <c r="D654" s="1">
        <v>18</v>
      </c>
      <c r="E654" s="1">
        <v>5.42</v>
      </c>
      <c r="F654" s="1">
        <v>0</v>
      </c>
    </row>
    <row r="655" spans="1:6" x14ac:dyDescent="0.2">
      <c r="A655" s="1" t="s">
        <v>664</v>
      </c>
      <c r="B655" s="1" t="s">
        <v>16</v>
      </c>
      <c r="C655" s="1" t="s">
        <v>8</v>
      </c>
      <c r="D655" s="1">
        <v>20</v>
      </c>
      <c r="E655" s="1">
        <v>9.0399999999999991</v>
      </c>
      <c r="F655" s="1">
        <v>3</v>
      </c>
    </row>
    <row r="656" spans="1:6" x14ac:dyDescent="0.2">
      <c r="A656" s="1" t="s">
        <v>665</v>
      </c>
      <c r="B656" s="1" t="s">
        <v>12</v>
      </c>
      <c r="C656" s="1" t="s">
        <v>8</v>
      </c>
      <c r="D656" s="1">
        <v>23</v>
      </c>
      <c r="E656" s="1">
        <v>9.31</v>
      </c>
      <c r="F656" s="1">
        <v>3</v>
      </c>
    </row>
    <row r="657" spans="1:6" x14ac:dyDescent="0.2">
      <c r="A657" s="1" t="s">
        <v>666</v>
      </c>
      <c r="B657" s="1" t="s">
        <v>10</v>
      </c>
      <c r="C657" s="1" t="s">
        <v>8</v>
      </c>
      <c r="D657" s="1">
        <v>23</v>
      </c>
      <c r="E657" s="1">
        <v>9.09</v>
      </c>
      <c r="F657" s="1">
        <v>0</v>
      </c>
    </row>
    <row r="658" spans="1:6" x14ac:dyDescent="0.2">
      <c r="A658" s="1" t="s">
        <v>667</v>
      </c>
      <c r="B658" s="1" t="s">
        <v>10</v>
      </c>
      <c r="C658" s="1" t="s">
        <v>17</v>
      </c>
      <c r="D658" s="1">
        <v>18</v>
      </c>
      <c r="E658" s="1">
        <v>7.56</v>
      </c>
      <c r="F658" s="1">
        <v>0</v>
      </c>
    </row>
    <row r="659" spans="1:6" x14ac:dyDescent="0.2">
      <c r="A659" s="1" t="s">
        <v>668</v>
      </c>
      <c r="B659" s="1" t="s">
        <v>31</v>
      </c>
      <c r="C659" s="1" t="s">
        <v>8</v>
      </c>
      <c r="D659" s="1">
        <v>21</v>
      </c>
      <c r="E659" s="1">
        <v>7.19</v>
      </c>
      <c r="F659" s="1">
        <v>2</v>
      </c>
    </row>
    <row r="660" spans="1:6" x14ac:dyDescent="0.2">
      <c r="A660" s="1" t="s">
        <v>669</v>
      </c>
      <c r="B660" s="1" t="s">
        <v>31</v>
      </c>
      <c r="C660" s="1" t="s">
        <v>8</v>
      </c>
      <c r="D660" s="1">
        <v>20</v>
      </c>
      <c r="E660" s="1">
        <v>9.98</v>
      </c>
      <c r="F660" s="1">
        <v>4</v>
      </c>
    </row>
    <row r="661" spans="1:6" x14ac:dyDescent="0.2">
      <c r="A661" s="1" t="s">
        <v>670</v>
      </c>
      <c r="B661" s="1" t="s">
        <v>16</v>
      </c>
      <c r="C661" s="1" t="s">
        <v>8</v>
      </c>
      <c r="D661" s="1">
        <v>21</v>
      </c>
      <c r="E661" s="1">
        <v>6.15</v>
      </c>
      <c r="F661" s="1">
        <v>5</v>
      </c>
    </row>
    <row r="662" spans="1:6" x14ac:dyDescent="0.2">
      <c r="A662" s="1" t="s">
        <v>671</v>
      </c>
      <c r="B662" s="1" t="s">
        <v>31</v>
      </c>
      <c r="C662" s="1" t="s">
        <v>17</v>
      </c>
      <c r="D662" s="1">
        <v>21</v>
      </c>
      <c r="E662" s="1">
        <v>7.73</v>
      </c>
      <c r="F662" s="1">
        <v>5</v>
      </c>
    </row>
    <row r="663" spans="1:6" x14ac:dyDescent="0.2">
      <c r="A663" s="1" t="s">
        <v>672</v>
      </c>
      <c r="B663" s="1" t="s">
        <v>12</v>
      </c>
      <c r="C663" s="1" t="s">
        <v>8</v>
      </c>
      <c r="D663" s="1">
        <v>19</v>
      </c>
      <c r="E663" s="1">
        <v>8.35</v>
      </c>
      <c r="F663" s="1">
        <v>2</v>
      </c>
    </row>
    <row r="664" spans="1:6" x14ac:dyDescent="0.2">
      <c r="A664" s="1" t="s">
        <v>673</v>
      </c>
      <c r="B664" s="1" t="s">
        <v>10</v>
      </c>
      <c r="C664" s="1" t="s">
        <v>8</v>
      </c>
      <c r="D664" s="1">
        <v>18</v>
      </c>
      <c r="E664" s="1">
        <v>8.5</v>
      </c>
      <c r="F664" s="1">
        <v>5</v>
      </c>
    </row>
    <row r="665" spans="1:6" x14ac:dyDescent="0.2">
      <c r="A665" s="1" t="s">
        <v>674</v>
      </c>
      <c r="B665" s="1" t="s">
        <v>16</v>
      </c>
      <c r="C665" s="1" t="s">
        <v>8</v>
      </c>
      <c r="D665" s="1">
        <v>22</v>
      </c>
      <c r="E665" s="1">
        <v>6.02</v>
      </c>
      <c r="F665" s="1">
        <v>0</v>
      </c>
    </row>
    <row r="666" spans="1:6" x14ac:dyDescent="0.2">
      <c r="A666" s="1" t="s">
        <v>675</v>
      </c>
      <c r="B666" s="1" t="s">
        <v>31</v>
      </c>
      <c r="C666" s="1" t="s">
        <v>17</v>
      </c>
      <c r="D666" s="1">
        <v>23</v>
      </c>
      <c r="E666" s="1">
        <v>8.27</v>
      </c>
      <c r="F666" s="1">
        <v>3</v>
      </c>
    </row>
    <row r="667" spans="1:6" x14ac:dyDescent="0.2">
      <c r="A667" s="1" t="s">
        <v>676</v>
      </c>
      <c r="B667" s="1" t="s">
        <v>12</v>
      </c>
      <c r="C667" s="1" t="s">
        <v>8</v>
      </c>
      <c r="D667" s="1">
        <v>23</v>
      </c>
      <c r="E667" s="1">
        <v>9.09</v>
      </c>
      <c r="F667" s="1">
        <v>5</v>
      </c>
    </row>
    <row r="668" spans="1:6" x14ac:dyDescent="0.2">
      <c r="A668" s="1" t="s">
        <v>677</v>
      </c>
      <c r="B668" s="1" t="s">
        <v>12</v>
      </c>
      <c r="C668" s="1" t="s">
        <v>17</v>
      </c>
      <c r="D668" s="1">
        <v>18</v>
      </c>
      <c r="E668" s="1">
        <v>5.25</v>
      </c>
      <c r="F668" s="1">
        <v>2</v>
      </c>
    </row>
    <row r="669" spans="1:6" x14ac:dyDescent="0.2">
      <c r="A669" s="1" t="s">
        <v>678</v>
      </c>
      <c r="B669" s="1" t="s">
        <v>31</v>
      </c>
      <c r="C669" s="1" t="s">
        <v>8</v>
      </c>
      <c r="D669" s="1">
        <v>22</v>
      </c>
      <c r="E669" s="1">
        <v>9.56</v>
      </c>
      <c r="F669" s="1">
        <v>4</v>
      </c>
    </row>
    <row r="670" spans="1:6" x14ac:dyDescent="0.2">
      <c r="A670" s="1" t="s">
        <v>679</v>
      </c>
      <c r="B670" s="1" t="s">
        <v>10</v>
      </c>
      <c r="C670" s="1" t="s">
        <v>17</v>
      </c>
      <c r="D670" s="1">
        <v>23</v>
      </c>
      <c r="E670" s="1">
        <v>5.15</v>
      </c>
      <c r="F670" s="1">
        <v>2</v>
      </c>
    </row>
    <row r="671" spans="1:6" x14ac:dyDescent="0.2">
      <c r="A671" s="1" t="s">
        <v>680</v>
      </c>
      <c r="B671" s="1" t="s">
        <v>31</v>
      </c>
      <c r="C671" s="1" t="s">
        <v>8</v>
      </c>
      <c r="D671" s="1">
        <v>18</v>
      </c>
      <c r="E671" s="1">
        <v>6.78</v>
      </c>
      <c r="F671" s="1">
        <v>1</v>
      </c>
    </row>
    <row r="672" spans="1:6" x14ac:dyDescent="0.2">
      <c r="A672" s="1" t="s">
        <v>681</v>
      </c>
      <c r="B672" s="1" t="s">
        <v>16</v>
      </c>
      <c r="C672" s="1" t="s">
        <v>8</v>
      </c>
      <c r="D672" s="1">
        <v>23</v>
      </c>
      <c r="E672" s="1">
        <v>5.08</v>
      </c>
      <c r="F672" s="1">
        <v>2</v>
      </c>
    </row>
    <row r="673" spans="1:6" x14ac:dyDescent="0.2">
      <c r="A673" s="1" t="s">
        <v>682</v>
      </c>
      <c r="B673" s="1" t="s">
        <v>31</v>
      </c>
      <c r="C673" s="1" t="s">
        <v>17</v>
      </c>
      <c r="D673" s="1">
        <v>21</v>
      </c>
      <c r="E673" s="1">
        <v>5.39</v>
      </c>
      <c r="F673" s="1">
        <v>0</v>
      </c>
    </row>
    <row r="674" spans="1:6" x14ac:dyDescent="0.2">
      <c r="A674" s="1" t="s">
        <v>683</v>
      </c>
      <c r="B674" s="1" t="s">
        <v>12</v>
      </c>
      <c r="C674" s="1" t="s">
        <v>8</v>
      </c>
      <c r="D674" s="1">
        <v>20</v>
      </c>
      <c r="E674" s="1">
        <v>9.56</v>
      </c>
      <c r="F674" s="1">
        <v>3</v>
      </c>
    </row>
    <row r="675" spans="1:6" x14ac:dyDescent="0.2">
      <c r="A675" s="1" t="s">
        <v>684</v>
      </c>
      <c r="B675" s="1" t="s">
        <v>31</v>
      </c>
      <c r="C675" s="1" t="s">
        <v>17</v>
      </c>
      <c r="D675" s="1">
        <v>20</v>
      </c>
      <c r="E675" s="1">
        <v>6.77</v>
      </c>
      <c r="F675" s="1">
        <v>3</v>
      </c>
    </row>
    <row r="676" spans="1:6" x14ac:dyDescent="0.2">
      <c r="A676" s="1" t="s">
        <v>685</v>
      </c>
      <c r="B676" s="1" t="s">
        <v>10</v>
      </c>
      <c r="C676" s="1" t="s">
        <v>8</v>
      </c>
      <c r="D676" s="1">
        <v>23</v>
      </c>
      <c r="E676" s="1">
        <v>7.12</v>
      </c>
      <c r="F676" s="1">
        <v>5</v>
      </c>
    </row>
    <row r="677" spans="1:6" x14ac:dyDescent="0.2">
      <c r="A677" s="1" t="s">
        <v>686</v>
      </c>
      <c r="B677" s="1" t="s">
        <v>7</v>
      </c>
      <c r="C677" s="1" t="s">
        <v>8</v>
      </c>
      <c r="D677" s="1">
        <v>19</v>
      </c>
      <c r="E677" s="1">
        <v>6.08</v>
      </c>
      <c r="F677" s="1">
        <v>0</v>
      </c>
    </row>
    <row r="678" spans="1:6" x14ac:dyDescent="0.2">
      <c r="A678" s="1" t="s">
        <v>687</v>
      </c>
      <c r="B678" s="1" t="s">
        <v>31</v>
      </c>
      <c r="C678" s="1" t="s">
        <v>8</v>
      </c>
      <c r="D678" s="1">
        <v>22</v>
      </c>
      <c r="E678" s="1">
        <v>7.99</v>
      </c>
      <c r="F678" s="1">
        <v>1</v>
      </c>
    </row>
    <row r="679" spans="1:6" x14ac:dyDescent="0.2">
      <c r="A679" s="1" t="s">
        <v>688</v>
      </c>
      <c r="B679" s="1" t="s">
        <v>10</v>
      </c>
      <c r="C679" s="1" t="s">
        <v>8</v>
      </c>
      <c r="D679" s="1">
        <v>22</v>
      </c>
      <c r="E679" s="1">
        <v>7.97</v>
      </c>
      <c r="F679" s="1">
        <v>0</v>
      </c>
    </row>
    <row r="680" spans="1:6" x14ac:dyDescent="0.2">
      <c r="A680" s="1" t="s">
        <v>689</v>
      </c>
      <c r="B680" s="1" t="s">
        <v>10</v>
      </c>
      <c r="C680" s="1" t="s">
        <v>8</v>
      </c>
      <c r="D680" s="1">
        <v>22</v>
      </c>
      <c r="E680" s="1">
        <v>6.86</v>
      </c>
      <c r="F680" s="1">
        <v>2</v>
      </c>
    </row>
    <row r="681" spans="1:6" x14ac:dyDescent="0.2">
      <c r="A681" s="1" t="s">
        <v>690</v>
      </c>
      <c r="B681" s="1" t="s">
        <v>12</v>
      </c>
      <c r="C681" s="1" t="s">
        <v>17</v>
      </c>
      <c r="D681" s="1">
        <v>21</v>
      </c>
      <c r="E681" s="1">
        <v>6.67</v>
      </c>
      <c r="F681" s="1">
        <v>0</v>
      </c>
    </row>
    <row r="682" spans="1:6" x14ac:dyDescent="0.2">
      <c r="A682" s="1" t="s">
        <v>691</v>
      </c>
      <c r="B682" s="1" t="s">
        <v>10</v>
      </c>
      <c r="C682" s="1" t="s">
        <v>17</v>
      </c>
      <c r="D682" s="1">
        <v>22</v>
      </c>
      <c r="E682" s="1">
        <v>9.42</v>
      </c>
      <c r="F682" s="1">
        <v>0</v>
      </c>
    </row>
    <row r="683" spans="1:6" x14ac:dyDescent="0.2">
      <c r="A683" s="1" t="s">
        <v>692</v>
      </c>
      <c r="B683" s="1" t="s">
        <v>10</v>
      </c>
      <c r="C683" s="1" t="s">
        <v>8</v>
      </c>
      <c r="D683" s="1">
        <v>20</v>
      </c>
      <c r="E683" s="1">
        <v>6.92</v>
      </c>
      <c r="F683" s="1">
        <v>1</v>
      </c>
    </row>
    <row r="684" spans="1:6" x14ac:dyDescent="0.2">
      <c r="A684" s="1" t="s">
        <v>693</v>
      </c>
      <c r="B684" s="1" t="s">
        <v>10</v>
      </c>
      <c r="C684" s="1" t="s">
        <v>8</v>
      </c>
      <c r="D684" s="1">
        <v>21</v>
      </c>
      <c r="E684" s="1">
        <v>7.47</v>
      </c>
      <c r="F684" s="1">
        <v>2</v>
      </c>
    </row>
    <row r="685" spans="1:6" x14ac:dyDescent="0.2">
      <c r="A685" s="1" t="s">
        <v>694</v>
      </c>
      <c r="B685" s="1" t="s">
        <v>10</v>
      </c>
      <c r="C685" s="1" t="s">
        <v>8</v>
      </c>
      <c r="D685" s="1">
        <v>18</v>
      </c>
      <c r="E685" s="1">
        <v>6.42</v>
      </c>
      <c r="F685" s="1">
        <v>4</v>
      </c>
    </row>
    <row r="686" spans="1:6" x14ac:dyDescent="0.2">
      <c r="A686" s="1" t="s">
        <v>695</v>
      </c>
      <c r="B686" s="1" t="s">
        <v>16</v>
      </c>
      <c r="C686" s="1" t="s">
        <v>8</v>
      </c>
      <c r="D686" s="1">
        <v>22</v>
      </c>
      <c r="E686" s="1">
        <v>8.93</v>
      </c>
      <c r="F686" s="1">
        <v>4</v>
      </c>
    </row>
    <row r="687" spans="1:6" x14ac:dyDescent="0.2">
      <c r="A687" s="1" t="s">
        <v>696</v>
      </c>
      <c r="B687" s="1" t="s">
        <v>16</v>
      </c>
      <c r="C687" s="1" t="s">
        <v>17</v>
      </c>
      <c r="D687" s="1">
        <v>22</v>
      </c>
      <c r="E687" s="1">
        <v>6.99</v>
      </c>
      <c r="F687" s="1">
        <v>3</v>
      </c>
    </row>
    <row r="688" spans="1:6" x14ac:dyDescent="0.2">
      <c r="A688" s="1" t="s">
        <v>697</v>
      </c>
      <c r="B688" s="1" t="s">
        <v>12</v>
      </c>
      <c r="C688" s="1" t="s">
        <v>8</v>
      </c>
      <c r="D688" s="1">
        <v>18</v>
      </c>
      <c r="E688" s="1">
        <v>7.57</v>
      </c>
      <c r="F688" s="1">
        <v>5</v>
      </c>
    </row>
    <row r="689" spans="1:6" x14ac:dyDescent="0.2">
      <c r="A689" s="1" t="s">
        <v>698</v>
      </c>
      <c r="B689" s="1" t="s">
        <v>31</v>
      </c>
      <c r="C689" s="1" t="s">
        <v>17</v>
      </c>
      <c r="D689" s="1">
        <v>22</v>
      </c>
      <c r="E689" s="1">
        <v>6.27</v>
      </c>
      <c r="F689" s="1">
        <v>0</v>
      </c>
    </row>
    <row r="690" spans="1:6" x14ac:dyDescent="0.2">
      <c r="A690" s="1" t="s">
        <v>699</v>
      </c>
      <c r="B690" s="1" t="s">
        <v>10</v>
      </c>
      <c r="C690" s="1" t="s">
        <v>17</v>
      </c>
      <c r="D690" s="1">
        <v>18</v>
      </c>
      <c r="E690" s="1">
        <v>9.94</v>
      </c>
      <c r="F690" s="1">
        <v>3</v>
      </c>
    </row>
    <row r="691" spans="1:6" x14ac:dyDescent="0.2">
      <c r="A691" s="1" t="s">
        <v>700</v>
      </c>
      <c r="B691" s="1" t="s">
        <v>31</v>
      </c>
      <c r="C691" s="1" t="s">
        <v>17</v>
      </c>
      <c r="D691" s="1">
        <v>21</v>
      </c>
      <c r="E691" s="1">
        <v>6.46</v>
      </c>
      <c r="F691" s="1">
        <v>1</v>
      </c>
    </row>
    <row r="692" spans="1:6" x14ac:dyDescent="0.2">
      <c r="A692" s="1" t="s">
        <v>701</v>
      </c>
      <c r="B692" s="1" t="s">
        <v>31</v>
      </c>
      <c r="C692" s="1" t="s">
        <v>17</v>
      </c>
      <c r="D692" s="1">
        <v>20</v>
      </c>
      <c r="E692" s="1">
        <v>8.85</v>
      </c>
      <c r="F692" s="1">
        <v>4</v>
      </c>
    </row>
    <row r="693" spans="1:6" x14ac:dyDescent="0.2">
      <c r="A693" s="1" t="s">
        <v>702</v>
      </c>
      <c r="B693" s="1" t="s">
        <v>12</v>
      </c>
      <c r="C693" s="1" t="s">
        <v>17</v>
      </c>
      <c r="D693" s="1">
        <v>18</v>
      </c>
      <c r="E693" s="1">
        <v>7.14</v>
      </c>
      <c r="F693" s="1">
        <v>0</v>
      </c>
    </row>
    <row r="694" spans="1:6" x14ac:dyDescent="0.2">
      <c r="A694" s="1" t="s">
        <v>703</v>
      </c>
      <c r="B694" s="1" t="s">
        <v>10</v>
      </c>
      <c r="C694" s="1" t="s">
        <v>17</v>
      </c>
      <c r="D694" s="1">
        <v>19</v>
      </c>
      <c r="E694" s="1">
        <v>6.03</v>
      </c>
      <c r="F694" s="1">
        <v>1</v>
      </c>
    </row>
    <row r="695" spans="1:6" x14ac:dyDescent="0.2">
      <c r="A695" s="1" t="s">
        <v>704</v>
      </c>
      <c r="B695" s="1" t="s">
        <v>10</v>
      </c>
      <c r="C695" s="1" t="s">
        <v>8</v>
      </c>
      <c r="D695" s="1">
        <v>18</v>
      </c>
      <c r="E695" s="1">
        <v>9</v>
      </c>
      <c r="F695" s="1">
        <v>5</v>
      </c>
    </row>
    <row r="696" spans="1:6" x14ac:dyDescent="0.2">
      <c r="A696" s="1" t="s">
        <v>705</v>
      </c>
      <c r="B696" s="1" t="s">
        <v>7</v>
      </c>
      <c r="C696" s="1" t="s">
        <v>17</v>
      </c>
      <c r="D696" s="1">
        <v>22</v>
      </c>
      <c r="E696" s="1">
        <v>6.67</v>
      </c>
      <c r="F696" s="1">
        <v>1</v>
      </c>
    </row>
    <row r="697" spans="1:6" x14ac:dyDescent="0.2">
      <c r="A697" s="1" t="s">
        <v>706</v>
      </c>
      <c r="B697" s="1" t="s">
        <v>31</v>
      </c>
      <c r="C697" s="1" t="s">
        <v>17</v>
      </c>
      <c r="D697" s="1">
        <v>21</v>
      </c>
      <c r="E697" s="1">
        <v>9.33</v>
      </c>
      <c r="F697" s="1">
        <v>0</v>
      </c>
    </row>
    <row r="698" spans="1:6" x14ac:dyDescent="0.2">
      <c r="A698" s="1" t="s">
        <v>707</v>
      </c>
      <c r="B698" s="1" t="s">
        <v>31</v>
      </c>
      <c r="C698" s="1" t="s">
        <v>17</v>
      </c>
      <c r="D698" s="1">
        <v>23</v>
      </c>
      <c r="E698" s="1">
        <v>9.58</v>
      </c>
      <c r="F698" s="1">
        <v>5</v>
      </c>
    </row>
    <row r="699" spans="1:6" x14ac:dyDescent="0.2">
      <c r="A699" s="1" t="s">
        <v>708</v>
      </c>
      <c r="B699" s="1" t="s">
        <v>16</v>
      </c>
      <c r="C699" s="1" t="s">
        <v>17</v>
      </c>
      <c r="D699" s="1">
        <v>21</v>
      </c>
      <c r="E699" s="1">
        <v>9.3000000000000007</v>
      </c>
      <c r="F699" s="1">
        <v>1</v>
      </c>
    </row>
    <row r="700" spans="1:6" x14ac:dyDescent="0.2">
      <c r="A700" s="1" t="s">
        <v>709</v>
      </c>
      <c r="B700" s="1" t="s">
        <v>7</v>
      </c>
      <c r="C700" s="1" t="s">
        <v>17</v>
      </c>
      <c r="D700" s="1">
        <v>23</v>
      </c>
      <c r="E700" s="1">
        <v>5.18</v>
      </c>
      <c r="F700" s="1">
        <v>5</v>
      </c>
    </row>
    <row r="701" spans="1:6" x14ac:dyDescent="0.2">
      <c r="A701" s="1" t="s">
        <v>710</v>
      </c>
      <c r="B701" s="1" t="s">
        <v>16</v>
      </c>
      <c r="C701" s="1" t="s">
        <v>17</v>
      </c>
      <c r="D701" s="1">
        <v>18</v>
      </c>
      <c r="E701" s="1">
        <v>8.94</v>
      </c>
      <c r="F701" s="1">
        <v>0</v>
      </c>
    </row>
    <row r="702" spans="1:6" x14ac:dyDescent="0.2">
      <c r="A702" s="1" t="s">
        <v>711</v>
      </c>
      <c r="B702" s="1" t="s">
        <v>16</v>
      </c>
      <c r="C702" s="1" t="s">
        <v>8</v>
      </c>
      <c r="D702" s="1">
        <v>20</v>
      </c>
      <c r="E702" s="1">
        <v>7.06</v>
      </c>
      <c r="F702" s="1">
        <v>0</v>
      </c>
    </row>
    <row r="703" spans="1:6" x14ac:dyDescent="0.2">
      <c r="A703" s="1" t="s">
        <v>712</v>
      </c>
      <c r="B703" s="1" t="s">
        <v>16</v>
      </c>
      <c r="C703" s="1" t="s">
        <v>8</v>
      </c>
      <c r="D703" s="1">
        <v>19</v>
      </c>
      <c r="E703" s="1">
        <v>9.3699999999999992</v>
      </c>
      <c r="F703" s="1">
        <v>5</v>
      </c>
    </row>
    <row r="704" spans="1:6" x14ac:dyDescent="0.2">
      <c r="A704" s="1" t="s">
        <v>713</v>
      </c>
      <c r="B704" s="1" t="s">
        <v>12</v>
      </c>
      <c r="C704" s="1" t="s">
        <v>8</v>
      </c>
      <c r="D704" s="1">
        <v>21</v>
      </c>
      <c r="E704" s="1">
        <v>8.19</v>
      </c>
      <c r="F704" s="1">
        <v>2</v>
      </c>
    </row>
    <row r="705" spans="1:6" x14ac:dyDescent="0.2">
      <c r="A705" s="1" t="s">
        <v>714</v>
      </c>
      <c r="B705" s="1" t="s">
        <v>12</v>
      </c>
      <c r="C705" s="1" t="s">
        <v>17</v>
      </c>
      <c r="D705" s="1">
        <v>22</v>
      </c>
      <c r="E705" s="1">
        <v>9.17</v>
      </c>
      <c r="F705" s="1">
        <v>3</v>
      </c>
    </row>
    <row r="706" spans="1:6" x14ac:dyDescent="0.2">
      <c r="A706" s="1" t="s">
        <v>715</v>
      </c>
      <c r="B706" s="1" t="s">
        <v>16</v>
      </c>
      <c r="C706" s="1" t="s">
        <v>17</v>
      </c>
      <c r="D706" s="1">
        <v>23</v>
      </c>
      <c r="E706" s="1">
        <v>7.5</v>
      </c>
      <c r="F706" s="1">
        <v>1</v>
      </c>
    </row>
    <row r="707" spans="1:6" x14ac:dyDescent="0.2">
      <c r="A707" s="1" t="s">
        <v>716</v>
      </c>
      <c r="B707" s="1" t="s">
        <v>7</v>
      </c>
      <c r="C707" s="1" t="s">
        <v>8</v>
      </c>
      <c r="D707" s="1">
        <v>22</v>
      </c>
      <c r="E707" s="1">
        <v>7.68</v>
      </c>
      <c r="F707" s="1">
        <v>1</v>
      </c>
    </row>
    <row r="708" spans="1:6" x14ac:dyDescent="0.2">
      <c r="A708" s="1" t="s">
        <v>717</v>
      </c>
      <c r="B708" s="1" t="s">
        <v>31</v>
      </c>
      <c r="C708" s="1" t="s">
        <v>17</v>
      </c>
      <c r="D708" s="1">
        <v>20</v>
      </c>
      <c r="E708" s="1">
        <v>5.72</v>
      </c>
      <c r="F708" s="1">
        <v>2</v>
      </c>
    </row>
    <row r="709" spans="1:6" x14ac:dyDescent="0.2">
      <c r="A709" s="1" t="s">
        <v>718</v>
      </c>
      <c r="B709" s="1" t="s">
        <v>7</v>
      </c>
      <c r="C709" s="1" t="s">
        <v>17</v>
      </c>
      <c r="D709" s="1">
        <v>23</v>
      </c>
      <c r="E709" s="1">
        <v>8.92</v>
      </c>
      <c r="F709" s="1">
        <v>2</v>
      </c>
    </row>
    <row r="710" spans="1:6" x14ac:dyDescent="0.2">
      <c r="A710" s="1" t="s">
        <v>719</v>
      </c>
      <c r="B710" s="1" t="s">
        <v>10</v>
      </c>
      <c r="C710" s="1" t="s">
        <v>17</v>
      </c>
      <c r="D710" s="1">
        <v>21</v>
      </c>
      <c r="E710" s="1">
        <v>7.1</v>
      </c>
      <c r="F710" s="1">
        <v>2</v>
      </c>
    </row>
    <row r="711" spans="1:6" x14ac:dyDescent="0.2">
      <c r="A711" s="1" t="s">
        <v>720</v>
      </c>
      <c r="B711" s="1" t="s">
        <v>12</v>
      </c>
      <c r="C711" s="1" t="s">
        <v>17</v>
      </c>
      <c r="D711" s="1">
        <v>18</v>
      </c>
      <c r="E711" s="1">
        <v>7.5</v>
      </c>
      <c r="F711" s="1">
        <v>4</v>
      </c>
    </row>
    <row r="712" spans="1:6" x14ac:dyDescent="0.2">
      <c r="A712" s="1" t="s">
        <v>721</v>
      </c>
      <c r="B712" s="1" t="s">
        <v>31</v>
      </c>
      <c r="C712" s="1" t="s">
        <v>17</v>
      </c>
      <c r="D712" s="1">
        <v>22</v>
      </c>
      <c r="E712" s="1">
        <v>8.93</v>
      </c>
      <c r="F712" s="1">
        <v>4</v>
      </c>
    </row>
    <row r="713" spans="1:6" x14ac:dyDescent="0.2">
      <c r="A713" s="1" t="s">
        <v>722</v>
      </c>
      <c r="B713" s="1" t="s">
        <v>31</v>
      </c>
      <c r="C713" s="1" t="s">
        <v>17</v>
      </c>
      <c r="D713" s="1">
        <v>20</v>
      </c>
      <c r="E713" s="1">
        <v>7.99</v>
      </c>
      <c r="F713" s="1">
        <v>5</v>
      </c>
    </row>
    <row r="714" spans="1:6" x14ac:dyDescent="0.2">
      <c r="A714" s="1" t="s">
        <v>723</v>
      </c>
      <c r="B714" s="1" t="s">
        <v>10</v>
      </c>
      <c r="C714" s="1" t="s">
        <v>8</v>
      </c>
      <c r="D714" s="1">
        <v>21</v>
      </c>
      <c r="E714" s="1">
        <v>6.01</v>
      </c>
      <c r="F714" s="1">
        <v>4</v>
      </c>
    </row>
    <row r="715" spans="1:6" x14ac:dyDescent="0.2">
      <c r="A715" s="1" t="s">
        <v>724</v>
      </c>
      <c r="B715" s="1" t="s">
        <v>10</v>
      </c>
      <c r="C715" s="1" t="s">
        <v>17</v>
      </c>
      <c r="D715" s="1">
        <v>21</v>
      </c>
      <c r="E715" s="1">
        <v>7.95</v>
      </c>
      <c r="F715" s="1">
        <v>0</v>
      </c>
    </row>
    <row r="716" spans="1:6" x14ac:dyDescent="0.2">
      <c r="A716" s="1" t="s">
        <v>725</v>
      </c>
      <c r="B716" s="1" t="s">
        <v>16</v>
      </c>
      <c r="C716" s="1" t="s">
        <v>8</v>
      </c>
      <c r="D716" s="1">
        <v>21</v>
      </c>
      <c r="E716" s="1">
        <v>7.04</v>
      </c>
      <c r="F716" s="1">
        <v>5</v>
      </c>
    </row>
    <row r="717" spans="1:6" x14ac:dyDescent="0.2">
      <c r="A717" s="1" t="s">
        <v>726</v>
      </c>
      <c r="B717" s="1" t="s">
        <v>12</v>
      </c>
      <c r="C717" s="1" t="s">
        <v>8</v>
      </c>
      <c r="D717" s="1">
        <v>21</v>
      </c>
      <c r="E717" s="1">
        <v>7.35</v>
      </c>
      <c r="F717" s="1">
        <v>1</v>
      </c>
    </row>
    <row r="718" spans="1:6" x14ac:dyDescent="0.2">
      <c r="A718" s="1" t="s">
        <v>727</v>
      </c>
      <c r="B718" s="1" t="s">
        <v>12</v>
      </c>
      <c r="C718" s="1" t="s">
        <v>8</v>
      </c>
      <c r="D718" s="1">
        <v>23</v>
      </c>
      <c r="E718" s="1">
        <v>5.14</v>
      </c>
      <c r="F718" s="1">
        <v>3</v>
      </c>
    </row>
    <row r="719" spans="1:6" x14ac:dyDescent="0.2">
      <c r="A719" s="1" t="s">
        <v>728</v>
      </c>
      <c r="B719" s="1" t="s">
        <v>7</v>
      </c>
      <c r="C719" s="1" t="s">
        <v>8</v>
      </c>
      <c r="D719" s="1">
        <v>21</v>
      </c>
      <c r="E719" s="1">
        <v>6.05</v>
      </c>
      <c r="F719" s="1">
        <v>0</v>
      </c>
    </row>
    <row r="720" spans="1:6" x14ac:dyDescent="0.2">
      <c r="A720" s="1" t="s">
        <v>729</v>
      </c>
      <c r="B720" s="1" t="s">
        <v>16</v>
      </c>
      <c r="C720" s="1" t="s">
        <v>8</v>
      </c>
      <c r="D720" s="1">
        <v>22</v>
      </c>
      <c r="E720" s="1">
        <v>6.41</v>
      </c>
      <c r="F720" s="1">
        <v>1</v>
      </c>
    </row>
    <row r="721" spans="1:6" x14ac:dyDescent="0.2">
      <c r="A721" s="1" t="s">
        <v>730</v>
      </c>
      <c r="B721" s="1" t="s">
        <v>16</v>
      </c>
      <c r="C721" s="1" t="s">
        <v>17</v>
      </c>
      <c r="D721" s="1">
        <v>20</v>
      </c>
      <c r="E721" s="1">
        <v>8.56</v>
      </c>
      <c r="F721" s="1">
        <v>1</v>
      </c>
    </row>
    <row r="722" spans="1:6" x14ac:dyDescent="0.2">
      <c r="A722" s="1" t="s">
        <v>731</v>
      </c>
      <c r="B722" s="1" t="s">
        <v>16</v>
      </c>
      <c r="C722" s="1" t="s">
        <v>17</v>
      </c>
      <c r="D722" s="1">
        <v>23</v>
      </c>
      <c r="E722" s="1">
        <v>5.0599999999999996</v>
      </c>
      <c r="F722" s="1">
        <v>5</v>
      </c>
    </row>
    <row r="723" spans="1:6" x14ac:dyDescent="0.2">
      <c r="A723" s="1" t="s">
        <v>732</v>
      </c>
      <c r="B723" s="1" t="s">
        <v>16</v>
      </c>
      <c r="C723" s="1" t="s">
        <v>17</v>
      </c>
      <c r="D723" s="1">
        <v>21</v>
      </c>
      <c r="E723" s="1">
        <v>7.04</v>
      </c>
      <c r="F723" s="1">
        <v>2</v>
      </c>
    </row>
    <row r="724" spans="1:6" x14ac:dyDescent="0.2">
      <c r="A724" s="1" t="s">
        <v>733</v>
      </c>
      <c r="B724" s="1" t="s">
        <v>12</v>
      </c>
      <c r="C724" s="1" t="s">
        <v>8</v>
      </c>
      <c r="D724" s="1">
        <v>19</v>
      </c>
      <c r="E724" s="1">
        <v>9.6199999999999992</v>
      </c>
      <c r="F724" s="1">
        <v>2</v>
      </c>
    </row>
    <row r="725" spans="1:6" x14ac:dyDescent="0.2">
      <c r="A725" s="1" t="s">
        <v>734</v>
      </c>
      <c r="B725" s="1" t="s">
        <v>12</v>
      </c>
      <c r="C725" s="1" t="s">
        <v>8</v>
      </c>
      <c r="D725" s="1">
        <v>19</v>
      </c>
      <c r="E725" s="1">
        <v>5.56</v>
      </c>
      <c r="F725" s="1">
        <v>0</v>
      </c>
    </row>
    <row r="726" spans="1:6" x14ac:dyDescent="0.2">
      <c r="A726" s="1" t="s">
        <v>735</v>
      </c>
      <c r="B726" s="1" t="s">
        <v>16</v>
      </c>
      <c r="C726" s="1" t="s">
        <v>17</v>
      </c>
      <c r="D726" s="1">
        <v>20</v>
      </c>
      <c r="E726" s="1">
        <v>7.58</v>
      </c>
      <c r="F726" s="1">
        <v>2</v>
      </c>
    </row>
    <row r="727" spans="1:6" x14ac:dyDescent="0.2">
      <c r="A727" s="1" t="s">
        <v>736</v>
      </c>
      <c r="B727" s="1" t="s">
        <v>7</v>
      </c>
      <c r="C727" s="1" t="s">
        <v>8</v>
      </c>
      <c r="D727" s="1">
        <v>18</v>
      </c>
      <c r="E727" s="1">
        <v>8.93</v>
      </c>
      <c r="F727" s="1">
        <v>1</v>
      </c>
    </row>
    <row r="728" spans="1:6" x14ac:dyDescent="0.2">
      <c r="A728" s="1" t="s">
        <v>737</v>
      </c>
      <c r="B728" s="1" t="s">
        <v>31</v>
      </c>
      <c r="C728" s="1" t="s">
        <v>17</v>
      </c>
      <c r="D728" s="1">
        <v>18</v>
      </c>
      <c r="E728" s="1">
        <v>9.7100000000000009</v>
      </c>
      <c r="F728" s="1">
        <v>2</v>
      </c>
    </row>
    <row r="729" spans="1:6" x14ac:dyDescent="0.2">
      <c r="A729" s="1" t="s">
        <v>738</v>
      </c>
      <c r="B729" s="1" t="s">
        <v>31</v>
      </c>
      <c r="C729" s="1" t="s">
        <v>8</v>
      </c>
      <c r="D729" s="1">
        <v>23</v>
      </c>
      <c r="E729" s="1">
        <v>8.73</v>
      </c>
      <c r="F729" s="1">
        <v>4</v>
      </c>
    </row>
    <row r="730" spans="1:6" x14ac:dyDescent="0.2">
      <c r="A730" s="1" t="s">
        <v>739</v>
      </c>
      <c r="B730" s="1" t="s">
        <v>7</v>
      </c>
      <c r="C730" s="1" t="s">
        <v>17</v>
      </c>
      <c r="D730" s="1">
        <v>23</v>
      </c>
      <c r="E730" s="1">
        <v>8.6</v>
      </c>
      <c r="F730" s="1">
        <v>2</v>
      </c>
    </row>
    <row r="731" spans="1:6" x14ac:dyDescent="0.2">
      <c r="A731" s="1" t="s">
        <v>740</v>
      </c>
      <c r="B731" s="1" t="s">
        <v>16</v>
      </c>
      <c r="C731" s="1" t="s">
        <v>17</v>
      </c>
      <c r="D731" s="1">
        <v>23</v>
      </c>
      <c r="E731" s="1">
        <v>9.1300000000000008</v>
      </c>
      <c r="F731" s="1">
        <v>1</v>
      </c>
    </row>
    <row r="732" spans="1:6" x14ac:dyDescent="0.2">
      <c r="A732" s="1" t="s">
        <v>741</v>
      </c>
      <c r="B732" s="1" t="s">
        <v>12</v>
      </c>
      <c r="C732" s="1" t="s">
        <v>17</v>
      </c>
      <c r="D732" s="1">
        <v>18</v>
      </c>
      <c r="E732" s="1">
        <v>7.23</v>
      </c>
      <c r="F732" s="1">
        <v>5</v>
      </c>
    </row>
    <row r="733" spans="1:6" x14ac:dyDescent="0.2">
      <c r="A733" s="1" t="s">
        <v>742</v>
      </c>
      <c r="B733" s="1" t="s">
        <v>31</v>
      </c>
      <c r="C733" s="1" t="s">
        <v>17</v>
      </c>
      <c r="D733" s="1">
        <v>19</v>
      </c>
      <c r="E733" s="1">
        <v>9.0299999999999994</v>
      </c>
      <c r="F733" s="1">
        <v>0</v>
      </c>
    </row>
    <row r="734" spans="1:6" x14ac:dyDescent="0.2">
      <c r="A734" s="1" t="s">
        <v>743</v>
      </c>
      <c r="B734" s="1" t="s">
        <v>10</v>
      </c>
      <c r="C734" s="1" t="s">
        <v>17</v>
      </c>
      <c r="D734" s="1">
        <v>18</v>
      </c>
      <c r="E734" s="1">
        <v>5.04</v>
      </c>
      <c r="F734" s="1">
        <v>3</v>
      </c>
    </row>
    <row r="735" spans="1:6" x14ac:dyDescent="0.2">
      <c r="A735" s="1" t="s">
        <v>744</v>
      </c>
      <c r="B735" s="1" t="s">
        <v>10</v>
      </c>
      <c r="C735" s="1" t="s">
        <v>17</v>
      </c>
      <c r="D735" s="1">
        <v>22</v>
      </c>
      <c r="E735" s="1">
        <v>9.6199999999999992</v>
      </c>
      <c r="F735" s="1">
        <v>2</v>
      </c>
    </row>
    <row r="736" spans="1:6" x14ac:dyDescent="0.2">
      <c r="A736" s="1" t="s">
        <v>745</v>
      </c>
      <c r="B736" s="1" t="s">
        <v>7</v>
      </c>
      <c r="C736" s="1" t="s">
        <v>8</v>
      </c>
      <c r="D736" s="1">
        <v>21</v>
      </c>
      <c r="E736" s="1">
        <v>7.22</v>
      </c>
      <c r="F736" s="1">
        <v>1</v>
      </c>
    </row>
    <row r="737" spans="1:6" x14ac:dyDescent="0.2">
      <c r="A737" s="1" t="s">
        <v>746</v>
      </c>
      <c r="B737" s="1" t="s">
        <v>16</v>
      </c>
      <c r="C737" s="1" t="s">
        <v>17</v>
      </c>
      <c r="D737" s="1">
        <v>23</v>
      </c>
      <c r="E737" s="1">
        <v>7.77</v>
      </c>
      <c r="F737" s="1">
        <v>3</v>
      </c>
    </row>
    <row r="738" spans="1:6" x14ac:dyDescent="0.2">
      <c r="A738" s="1" t="s">
        <v>747</v>
      </c>
      <c r="B738" s="1" t="s">
        <v>31</v>
      </c>
      <c r="C738" s="1" t="s">
        <v>17</v>
      </c>
      <c r="D738" s="1">
        <v>19</v>
      </c>
      <c r="E738" s="1">
        <v>6.27</v>
      </c>
      <c r="F738" s="1">
        <v>3</v>
      </c>
    </row>
    <row r="739" spans="1:6" x14ac:dyDescent="0.2">
      <c r="A739" s="1" t="s">
        <v>748</v>
      </c>
      <c r="B739" s="1" t="s">
        <v>16</v>
      </c>
      <c r="C739" s="1" t="s">
        <v>8</v>
      </c>
      <c r="D739" s="1">
        <v>20</v>
      </c>
      <c r="E739" s="1">
        <v>8.7100000000000009</v>
      </c>
      <c r="F739" s="1">
        <v>4</v>
      </c>
    </row>
    <row r="740" spans="1:6" x14ac:dyDescent="0.2">
      <c r="A740" s="1" t="s">
        <v>749</v>
      </c>
      <c r="B740" s="1" t="s">
        <v>31</v>
      </c>
      <c r="C740" s="1" t="s">
        <v>8</v>
      </c>
      <c r="D740" s="1">
        <v>20</v>
      </c>
      <c r="E740" s="1">
        <v>5.38</v>
      </c>
      <c r="F740" s="1">
        <v>3</v>
      </c>
    </row>
    <row r="741" spans="1:6" x14ac:dyDescent="0.2">
      <c r="A741" s="1" t="s">
        <v>750</v>
      </c>
      <c r="B741" s="1" t="s">
        <v>7</v>
      </c>
      <c r="C741" s="1" t="s">
        <v>17</v>
      </c>
      <c r="D741" s="1">
        <v>21</v>
      </c>
      <c r="E741" s="1">
        <v>9.36</v>
      </c>
      <c r="F741" s="1">
        <v>5</v>
      </c>
    </row>
    <row r="742" spans="1:6" x14ac:dyDescent="0.2">
      <c r="A742" s="1" t="s">
        <v>751</v>
      </c>
      <c r="B742" s="1" t="s">
        <v>7</v>
      </c>
      <c r="C742" s="1" t="s">
        <v>17</v>
      </c>
      <c r="D742" s="1">
        <v>19</v>
      </c>
      <c r="E742" s="1">
        <v>9.14</v>
      </c>
      <c r="F742" s="1">
        <v>1</v>
      </c>
    </row>
    <row r="743" spans="1:6" x14ac:dyDescent="0.2">
      <c r="A743" s="1" t="s">
        <v>752</v>
      </c>
      <c r="B743" s="1" t="s">
        <v>10</v>
      </c>
      <c r="C743" s="1" t="s">
        <v>17</v>
      </c>
      <c r="D743" s="1">
        <v>18</v>
      </c>
      <c r="E743" s="1">
        <v>6.08</v>
      </c>
      <c r="F743" s="1">
        <v>1</v>
      </c>
    </row>
    <row r="744" spans="1:6" x14ac:dyDescent="0.2">
      <c r="A744" s="1" t="s">
        <v>753</v>
      </c>
      <c r="B744" s="1" t="s">
        <v>16</v>
      </c>
      <c r="C744" s="1" t="s">
        <v>17</v>
      </c>
      <c r="D744" s="1">
        <v>18</v>
      </c>
      <c r="E744" s="1">
        <v>9.0500000000000007</v>
      </c>
      <c r="F744" s="1">
        <v>2</v>
      </c>
    </row>
    <row r="745" spans="1:6" x14ac:dyDescent="0.2">
      <c r="A745" s="1" t="s">
        <v>754</v>
      </c>
      <c r="B745" s="1" t="s">
        <v>10</v>
      </c>
      <c r="C745" s="1" t="s">
        <v>8</v>
      </c>
      <c r="D745" s="1">
        <v>22</v>
      </c>
      <c r="E745" s="1">
        <v>8.93</v>
      </c>
      <c r="F745" s="1">
        <v>2</v>
      </c>
    </row>
    <row r="746" spans="1:6" x14ac:dyDescent="0.2">
      <c r="A746" s="1" t="s">
        <v>755</v>
      </c>
      <c r="B746" s="1" t="s">
        <v>16</v>
      </c>
      <c r="C746" s="1" t="s">
        <v>17</v>
      </c>
      <c r="D746" s="1">
        <v>22</v>
      </c>
      <c r="E746" s="1">
        <v>8.16</v>
      </c>
      <c r="F746" s="1">
        <v>2</v>
      </c>
    </row>
    <row r="747" spans="1:6" x14ac:dyDescent="0.2">
      <c r="A747" s="1" t="s">
        <v>756</v>
      </c>
      <c r="B747" s="1" t="s">
        <v>10</v>
      </c>
      <c r="C747" s="1" t="s">
        <v>17</v>
      </c>
      <c r="D747" s="1">
        <v>18</v>
      </c>
      <c r="E747" s="1">
        <v>6.87</v>
      </c>
      <c r="F747" s="1">
        <v>5</v>
      </c>
    </row>
    <row r="748" spans="1:6" x14ac:dyDescent="0.2">
      <c r="A748" s="1" t="s">
        <v>757</v>
      </c>
      <c r="B748" s="1" t="s">
        <v>12</v>
      </c>
      <c r="C748" s="1" t="s">
        <v>8</v>
      </c>
      <c r="D748" s="1">
        <v>20</v>
      </c>
      <c r="E748" s="1">
        <v>6.36</v>
      </c>
      <c r="F748" s="1">
        <v>3</v>
      </c>
    </row>
    <row r="749" spans="1:6" x14ac:dyDescent="0.2">
      <c r="A749" s="1" t="s">
        <v>758</v>
      </c>
      <c r="B749" s="1" t="s">
        <v>12</v>
      </c>
      <c r="C749" s="1" t="s">
        <v>17</v>
      </c>
      <c r="D749" s="1">
        <v>23</v>
      </c>
      <c r="E749" s="1">
        <v>6.16</v>
      </c>
      <c r="F749" s="1">
        <v>3</v>
      </c>
    </row>
    <row r="750" spans="1:6" x14ac:dyDescent="0.2">
      <c r="A750" s="1" t="s">
        <v>759</v>
      </c>
      <c r="B750" s="1" t="s">
        <v>12</v>
      </c>
      <c r="C750" s="1" t="s">
        <v>8</v>
      </c>
      <c r="D750" s="1">
        <v>20</v>
      </c>
      <c r="E750" s="1">
        <v>6.59</v>
      </c>
      <c r="F750" s="1">
        <v>4</v>
      </c>
    </row>
    <row r="751" spans="1:6" x14ac:dyDescent="0.2">
      <c r="A751" s="1" t="s">
        <v>760</v>
      </c>
      <c r="B751" s="1" t="s">
        <v>12</v>
      </c>
      <c r="C751" s="1" t="s">
        <v>17</v>
      </c>
      <c r="D751" s="1">
        <v>22</v>
      </c>
      <c r="E751" s="1">
        <v>9.52</v>
      </c>
      <c r="F751" s="1">
        <v>5</v>
      </c>
    </row>
    <row r="752" spans="1:6" x14ac:dyDescent="0.2">
      <c r="A752" s="1" t="s">
        <v>761</v>
      </c>
      <c r="B752" s="1" t="s">
        <v>31</v>
      </c>
      <c r="C752" s="1" t="s">
        <v>8</v>
      </c>
      <c r="D752" s="1">
        <v>21</v>
      </c>
      <c r="E752" s="1">
        <v>5.39</v>
      </c>
      <c r="F752" s="1">
        <v>2</v>
      </c>
    </row>
    <row r="753" spans="1:6" x14ac:dyDescent="0.2">
      <c r="A753" s="1" t="s">
        <v>762</v>
      </c>
      <c r="B753" s="1" t="s">
        <v>12</v>
      </c>
      <c r="C753" s="1" t="s">
        <v>17</v>
      </c>
      <c r="D753" s="1">
        <v>18</v>
      </c>
      <c r="E753" s="1">
        <v>9.14</v>
      </c>
      <c r="F753" s="1">
        <v>0</v>
      </c>
    </row>
    <row r="754" spans="1:6" x14ac:dyDescent="0.2">
      <c r="A754" s="1" t="s">
        <v>763</v>
      </c>
      <c r="B754" s="1" t="s">
        <v>7</v>
      </c>
      <c r="C754" s="1" t="s">
        <v>8</v>
      </c>
      <c r="D754" s="1">
        <v>22</v>
      </c>
      <c r="E754" s="1">
        <v>6.74</v>
      </c>
      <c r="F754" s="1">
        <v>4</v>
      </c>
    </row>
    <row r="755" spans="1:6" x14ac:dyDescent="0.2">
      <c r="A755" s="1" t="s">
        <v>764</v>
      </c>
      <c r="B755" s="1" t="s">
        <v>7</v>
      </c>
      <c r="C755" s="1" t="s">
        <v>8</v>
      </c>
      <c r="D755" s="1">
        <v>22</v>
      </c>
      <c r="E755" s="1">
        <v>7.61</v>
      </c>
      <c r="F755" s="1">
        <v>0</v>
      </c>
    </row>
    <row r="756" spans="1:6" x14ac:dyDescent="0.2">
      <c r="A756" s="1" t="s">
        <v>765</v>
      </c>
      <c r="B756" s="1" t="s">
        <v>31</v>
      </c>
      <c r="C756" s="1" t="s">
        <v>17</v>
      </c>
      <c r="D756" s="1">
        <v>23</v>
      </c>
      <c r="E756" s="1">
        <v>8.9700000000000006</v>
      </c>
      <c r="F756" s="1">
        <v>3</v>
      </c>
    </row>
    <row r="757" spans="1:6" x14ac:dyDescent="0.2">
      <c r="A757" s="1" t="s">
        <v>766</v>
      </c>
      <c r="B757" s="1" t="s">
        <v>12</v>
      </c>
      <c r="C757" s="1" t="s">
        <v>8</v>
      </c>
      <c r="D757" s="1">
        <v>18</v>
      </c>
      <c r="E757" s="1">
        <v>9.42</v>
      </c>
      <c r="F757" s="1">
        <v>4</v>
      </c>
    </row>
    <row r="758" spans="1:6" x14ac:dyDescent="0.2">
      <c r="A758" s="1" t="s">
        <v>767</v>
      </c>
      <c r="B758" s="1" t="s">
        <v>12</v>
      </c>
      <c r="C758" s="1" t="s">
        <v>8</v>
      </c>
      <c r="D758" s="1">
        <v>23</v>
      </c>
      <c r="E758" s="1">
        <v>6.72</v>
      </c>
      <c r="F758" s="1">
        <v>4</v>
      </c>
    </row>
    <row r="759" spans="1:6" x14ac:dyDescent="0.2">
      <c r="A759" s="1" t="s">
        <v>768</v>
      </c>
      <c r="B759" s="1" t="s">
        <v>12</v>
      </c>
      <c r="C759" s="1" t="s">
        <v>8</v>
      </c>
      <c r="D759" s="1">
        <v>18</v>
      </c>
      <c r="E759" s="1">
        <v>7.31</v>
      </c>
      <c r="F759" s="1">
        <v>1</v>
      </c>
    </row>
    <row r="760" spans="1:6" x14ac:dyDescent="0.2">
      <c r="A760" s="1" t="s">
        <v>769</v>
      </c>
      <c r="B760" s="1" t="s">
        <v>10</v>
      </c>
      <c r="C760" s="1" t="s">
        <v>8</v>
      </c>
      <c r="D760" s="1">
        <v>23</v>
      </c>
      <c r="E760" s="1">
        <v>7.07</v>
      </c>
      <c r="F760" s="1">
        <v>3</v>
      </c>
    </row>
    <row r="761" spans="1:6" x14ac:dyDescent="0.2">
      <c r="A761" s="1" t="s">
        <v>770</v>
      </c>
      <c r="B761" s="1" t="s">
        <v>16</v>
      </c>
      <c r="C761" s="1" t="s">
        <v>8</v>
      </c>
      <c r="D761" s="1">
        <v>20</v>
      </c>
      <c r="E761" s="1">
        <v>5.07</v>
      </c>
      <c r="F761" s="1">
        <v>3</v>
      </c>
    </row>
    <row r="762" spans="1:6" x14ac:dyDescent="0.2">
      <c r="A762" s="1" t="s">
        <v>771</v>
      </c>
      <c r="B762" s="1" t="s">
        <v>10</v>
      </c>
      <c r="C762" s="1" t="s">
        <v>17</v>
      </c>
      <c r="D762" s="1">
        <v>21</v>
      </c>
      <c r="E762" s="1">
        <v>6.48</v>
      </c>
      <c r="F762" s="1">
        <v>5</v>
      </c>
    </row>
    <row r="763" spans="1:6" x14ac:dyDescent="0.2">
      <c r="A763" s="1" t="s">
        <v>772</v>
      </c>
      <c r="B763" s="1" t="s">
        <v>16</v>
      </c>
      <c r="C763" s="1" t="s">
        <v>17</v>
      </c>
      <c r="D763" s="1">
        <v>21</v>
      </c>
      <c r="E763" s="1">
        <v>7.3</v>
      </c>
      <c r="F763" s="1">
        <v>4</v>
      </c>
    </row>
    <row r="764" spans="1:6" x14ac:dyDescent="0.2">
      <c r="A764" s="1" t="s">
        <v>773</v>
      </c>
      <c r="B764" s="1" t="s">
        <v>12</v>
      </c>
      <c r="C764" s="1" t="s">
        <v>8</v>
      </c>
      <c r="D764" s="1">
        <v>18</v>
      </c>
      <c r="E764" s="1">
        <v>7.06</v>
      </c>
      <c r="F764" s="1">
        <v>3</v>
      </c>
    </row>
    <row r="765" spans="1:6" x14ac:dyDescent="0.2">
      <c r="A765" s="1" t="s">
        <v>774</v>
      </c>
      <c r="B765" s="1" t="s">
        <v>12</v>
      </c>
      <c r="C765" s="1" t="s">
        <v>17</v>
      </c>
      <c r="D765" s="1">
        <v>19</v>
      </c>
      <c r="E765" s="1">
        <v>8.61</v>
      </c>
      <c r="F765" s="1">
        <v>4</v>
      </c>
    </row>
    <row r="766" spans="1:6" x14ac:dyDescent="0.2">
      <c r="A766" s="1" t="s">
        <v>775</v>
      </c>
      <c r="B766" s="1" t="s">
        <v>10</v>
      </c>
      <c r="C766" s="1" t="s">
        <v>8</v>
      </c>
      <c r="D766" s="1">
        <v>22</v>
      </c>
      <c r="E766" s="1">
        <v>6.92</v>
      </c>
      <c r="F766" s="1">
        <v>5</v>
      </c>
    </row>
    <row r="767" spans="1:6" x14ac:dyDescent="0.2">
      <c r="A767" s="1" t="s">
        <v>776</v>
      </c>
      <c r="B767" s="1" t="s">
        <v>10</v>
      </c>
      <c r="C767" s="1" t="s">
        <v>8</v>
      </c>
      <c r="D767" s="1">
        <v>22</v>
      </c>
      <c r="E767" s="1">
        <v>7.45</v>
      </c>
      <c r="F767" s="1">
        <v>5</v>
      </c>
    </row>
    <row r="768" spans="1:6" x14ac:dyDescent="0.2">
      <c r="A768" s="1" t="s">
        <v>777</v>
      </c>
      <c r="B768" s="1" t="s">
        <v>16</v>
      </c>
      <c r="C768" s="1" t="s">
        <v>17</v>
      </c>
      <c r="D768" s="1">
        <v>18</v>
      </c>
      <c r="E768" s="1">
        <v>7.15</v>
      </c>
      <c r="F768" s="1">
        <v>1</v>
      </c>
    </row>
    <row r="769" spans="1:6" x14ac:dyDescent="0.2">
      <c r="A769" s="1" t="s">
        <v>778</v>
      </c>
      <c r="B769" s="1" t="s">
        <v>7</v>
      </c>
      <c r="C769" s="1" t="s">
        <v>17</v>
      </c>
      <c r="D769" s="1">
        <v>23</v>
      </c>
      <c r="E769" s="1">
        <v>8.6999999999999993</v>
      </c>
      <c r="F769" s="1">
        <v>4</v>
      </c>
    </row>
    <row r="770" spans="1:6" x14ac:dyDescent="0.2">
      <c r="A770" s="1" t="s">
        <v>779</v>
      </c>
      <c r="B770" s="1" t="s">
        <v>16</v>
      </c>
      <c r="C770" s="1" t="s">
        <v>8</v>
      </c>
      <c r="D770" s="1">
        <v>19</v>
      </c>
      <c r="E770" s="1">
        <v>9.31</v>
      </c>
      <c r="F770" s="1">
        <v>3</v>
      </c>
    </row>
    <row r="771" spans="1:6" x14ac:dyDescent="0.2">
      <c r="A771" s="1" t="s">
        <v>780</v>
      </c>
      <c r="B771" s="1" t="s">
        <v>10</v>
      </c>
      <c r="C771" s="1" t="s">
        <v>17</v>
      </c>
      <c r="D771" s="1">
        <v>20</v>
      </c>
      <c r="E771" s="1">
        <v>7.66</v>
      </c>
      <c r="F771" s="1">
        <v>3</v>
      </c>
    </row>
    <row r="772" spans="1:6" x14ac:dyDescent="0.2">
      <c r="A772" s="1" t="s">
        <v>781</v>
      </c>
      <c r="B772" s="1" t="s">
        <v>10</v>
      </c>
      <c r="C772" s="1" t="s">
        <v>8</v>
      </c>
      <c r="D772" s="1">
        <v>23</v>
      </c>
      <c r="E772" s="1">
        <v>8.9499999999999993</v>
      </c>
      <c r="F772" s="1">
        <v>4</v>
      </c>
    </row>
    <row r="773" spans="1:6" x14ac:dyDescent="0.2">
      <c r="A773" s="1" t="s">
        <v>782</v>
      </c>
      <c r="B773" s="1" t="s">
        <v>31</v>
      </c>
      <c r="C773" s="1" t="s">
        <v>17</v>
      </c>
      <c r="D773" s="1">
        <v>23</v>
      </c>
      <c r="E773" s="1">
        <v>6.48</v>
      </c>
      <c r="F773" s="1">
        <v>4</v>
      </c>
    </row>
    <row r="774" spans="1:6" x14ac:dyDescent="0.2">
      <c r="A774" s="1" t="s">
        <v>783</v>
      </c>
      <c r="B774" s="1" t="s">
        <v>10</v>
      </c>
      <c r="C774" s="1" t="s">
        <v>8</v>
      </c>
      <c r="D774" s="1">
        <v>18</v>
      </c>
      <c r="E774" s="1">
        <v>7.71</v>
      </c>
      <c r="F774" s="1">
        <v>4</v>
      </c>
    </row>
    <row r="775" spans="1:6" x14ac:dyDescent="0.2">
      <c r="A775" s="1" t="s">
        <v>784</v>
      </c>
      <c r="B775" s="1" t="s">
        <v>31</v>
      </c>
      <c r="C775" s="1" t="s">
        <v>17</v>
      </c>
      <c r="D775" s="1">
        <v>18</v>
      </c>
      <c r="E775" s="1">
        <v>6.73</v>
      </c>
      <c r="F775" s="1">
        <v>2</v>
      </c>
    </row>
    <row r="776" spans="1:6" x14ac:dyDescent="0.2">
      <c r="A776" s="1" t="s">
        <v>785</v>
      </c>
      <c r="B776" s="1" t="s">
        <v>7</v>
      </c>
      <c r="C776" s="1" t="s">
        <v>8</v>
      </c>
      <c r="D776" s="1">
        <v>22</v>
      </c>
      <c r="E776" s="1">
        <v>7.07</v>
      </c>
      <c r="F776" s="1">
        <v>3</v>
      </c>
    </row>
    <row r="777" spans="1:6" x14ac:dyDescent="0.2">
      <c r="A777" s="1" t="s">
        <v>786</v>
      </c>
      <c r="B777" s="1" t="s">
        <v>16</v>
      </c>
      <c r="C777" s="1" t="s">
        <v>17</v>
      </c>
      <c r="D777" s="1">
        <v>18</v>
      </c>
      <c r="E777" s="1">
        <v>8.66</v>
      </c>
      <c r="F777" s="1">
        <v>5</v>
      </c>
    </row>
    <row r="778" spans="1:6" x14ac:dyDescent="0.2">
      <c r="A778" s="1" t="s">
        <v>787</v>
      </c>
      <c r="B778" s="1" t="s">
        <v>16</v>
      </c>
      <c r="C778" s="1" t="s">
        <v>8</v>
      </c>
      <c r="D778" s="1">
        <v>18</v>
      </c>
      <c r="E778" s="1">
        <v>9.41</v>
      </c>
      <c r="F778" s="1">
        <v>3</v>
      </c>
    </row>
    <row r="779" spans="1:6" x14ac:dyDescent="0.2">
      <c r="A779" s="1" t="s">
        <v>788</v>
      </c>
      <c r="B779" s="1" t="s">
        <v>31</v>
      </c>
      <c r="C779" s="1" t="s">
        <v>17</v>
      </c>
      <c r="D779" s="1">
        <v>18</v>
      </c>
      <c r="E779" s="1">
        <v>5.61</v>
      </c>
      <c r="F779" s="1">
        <v>2</v>
      </c>
    </row>
    <row r="780" spans="1:6" x14ac:dyDescent="0.2">
      <c r="A780" s="1" t="s">
        <v>789</v>
      </c>
      <c r="B780" s="1" t="s">
        <v>16</v>
      </c>
      <c r="C780" s="1" t="s">
        <v>8</v>
      </c>
      <c r="D780" s="1">
        <v>22</v>
      </c>
      <c r="E780" s="1">
        <v>8.17</v>
      </c>
      <c r="F780" s="1">
        <v>4</v>
      </c>
    </row>
    <row r="781" spans="1:6" x14ac:dyDescent="0.2">
      <c r="A781" s="1" t="s">
        <v>790</v>
      </c>
      <c r="B781" s="1" t="s">
        <v>10</v>
      </c>
      <c r="C781" s="1" t="s">
        <v>8</v>
      </c>
      <c r="D781" s="1">
        <v>20</v>
      </c>
      <c r="E781" s="1">
        <v>7.91</v>
      </c>
      <c r="F781" s="1">
        <v>1</v>
      </c>
    </row>
    <row r="782" spans="1:6" x14ac:dyDescent="0.2">
      <c r="A782" s="1" t="s">
        <v>791</v>
      </c>
      <c r="B782" s="1" t="s">
        <v>12</v>
      </c>
      <c r="C782" s="1" t="s">
        <v>17</v>
      </c>
      <c r="D782" s="1">
        <v>20</v>
      </c>
      <c r="E782" s="1">
        <v>5.59</v>
      </c>
      <c r="F782" s="1">
        <v>4</v>
      </c>
    </row>
    <row r="783" spans="1:6" x14ac:dyDescent="0.2">
      <c r="A783" s="1" t="s">
        <v>792</v>
      </c>
      <c r="B783" s="1" t="s">
        <v>31</v>
      </c>
      <c r="C783" s="1" t="s">
        <v>17</v>
      </c>
      <c r="D783" s="1">
        <v>18</v>
      </c>
      <c r="E783" s="1">
        <v>6.06</v>
      </c>
      <c r="F783" s="1">
        <v>4</v>
      </c>
    </row>
    <row r="784" spans="1:6" x14ac:dyDescent="0.2">
      <c r="A784" s="1" t="s">
        <v>793</v>
      </c>
      <c r="B784" s="1" t="s">
        <v>16</v>
      </c>
      <c r="C784" s="1" t="s">
        <v>17</v>
      </c>
      <c r="D784" s="1">
        <v>22</v>
      </c>
      <c r="E784" s="1">
        <v>6.56</v>
      </c>
      <c r="F784" s="1">
        <v>2</v>
      </c>
    </row>
    <row r="785" spans="1:6" x14ac:dyDescent="0.2">
      <c r="A785" s="1" t="s">
        <v>794</v>
      </c>
      <c r="B785" s="1" t="s">
        <v>31</v>
      </c>
      <c r="C785" s="1" t="s">
        <v>8</v>
      </c>
      <c r="D785" s="1">
        <v>20</v>
      </c>
      <c r="E785" s="1">
        <v>5.83</v>
      </c>
      <c r="F785" s="1">
        <v>3</v>
      </c>
    </row>
    <row r="786" spans="1:6" x14ac:dyDescent="0.2">
      <c r="A786" s="1" t="s">
        <v>795</v>
      </c>
      <c r="B786" s="1" t="s">
        <v>31</v>
      </c>
      <c r="C786" s="1" t="s">
        <v>8</v>
      </c>
      <c r="D786" s="1">
        <v>23</v>
      </c>
      <c r="E786" s="1">
        <v>6.22</v>
      </c>
      <c r="F786" s="1">
        <v>4</v>
      </c>
    </row>
    <row r="787" spans="1:6" x14ac:dyDescent="0.2">
      <c r="A787" s="1" t="s">
        <v>796</v>
      </c>
      <c r="B787" s="1" t="s">
        <v>12</v>
      </c>
      <c r="C787" s="1" t="s">
        <v>17</v>
      </c>
      <c r="D787" s="1">
        <v>20</v>
      </c>
      <c r="E787" s="1">
        <v>6.34</v>
      </c>
      <c r="F787" s="1">
        <v>3</v>
      </c>
    </row>
    <row r="788" spans="1:6" x14ac:dyDescent="0.2">
      <c r="A788" s="1" t="s">
        <v>797</v>
      </c>
      <c r="B788" s="1" t="s">
        <v>10</v>
      </c>
      <c r="C788" s="1" t="s">
        <v>17</v>
      </c>
      <c r="D788" s="1">
        <v>20</v>
      </c>
      <c r="E788" s="1">
        <v>6.68</v>
      </c>
      <c r="F788" s="1">
        <v>0</v>
      </c>
    </row>
    <row r="789" spans="1:6" x14ac:dyDescent="0.2">
      <c r="A789" s="1" t="s">
        <v>798</v>
      </c>
      <c r="B789" s="1" t="s">
        <v>31</v>
      </c>
      <c r="C789" s="1" t="s">
        <v>17</v>
      </c>
      <c r="D789" s="1">
        <v>22</v>
      </c>
      <c r="E789" s="1">
        <v>8.75</v>
      </c>
      <c r="F789" s="1">
        <v>5</v>
      </c>
    </row>
    <row r="790" spans="1:6" x14ac:dyDescent="0.2">
      <c r="A790" s="1" t="s">
        <v>799</v>
      </c>
      <c r="B790" s="1" t="s">
        <v>16</v>
      </c>
      <c r="C790" s="1" t="s">
        <v>8</v>
      </c>
      <c r="D790" s="1">
        <v>23</v>
      </c>
      <c r="E790" s="1">
        <v>7.86</v>
      </c>
      <c r="F790" s="1">
        <v>3</v>
      </c>
    </row>
    <row r="791" spans="1:6" x14ac:dyDescent="0.2">
      <c r="A791" s="1" t="s">
        <v>800</v>
      </c>
      <c r="B791" s="1" t="s">
        <v>7</v>
      </c>
      <c r="C791" s="1" t="s">
        <v>17</v>
      </c>
      <c r="D791" s="1">
        <v>22</v>
      </c>
      <c r="E791" s="1">
        <v>9.93</v>
      </c>
      <c r="F791" s="1">
        <v>1</v>
      </c>
    </row>
    <row r="792" spans="1:6" x14ac:dyDescent="0.2">
      <c r="A792" s="1" t="s">
        <v>801</v>
      </c>
      <c r="B792" s="1" t="s">
        <v>31</v>
      </c>
      <c r="C792" s="1" t="s">
        <v>8</v>
      </c>
      <c r="D792" s="1">
        <v>18</v>
      </c>
      <c r="E792" s="1">
        <v>7.07</v>
      </c>
      <c r="F792" s="1">
        <v>5</v>
      </c>
    </row>
    <row r="793" spans="1:6" x14ac:dyDescent="0.2">
      <c r="A793" s="1" t="s">
        <v>802</v>
      </c>
      <c r="B793" s="1" t="s">
        <v>31</v>
      </c>
      <c r="C793" s="1" t="s">
        <v>17</v>
      </c>
      <c r="D793" s="1">
        <v>21</v>
      </c>
      <c r="E793" s="1">
        <v>8.77</v>
      </c>
      <c r="F793" s="1">
        <v>1</v>
      </c>
    </row>
    <row r="794" spans="1:6" x14ac:dyDescent="0.2">
      <c r="A794" s="1" t="s">
        <v>803</v>
      </c>
      <c r="B794" s="1" t="s">
        <v>12</v>
      </c>
      <c r="C794" s="1" t="s">
        <v>8</v>
      </c>
      <c r="D794" s="1">
        <v>20</v>
      </c>
      <c r="E794" s="1">
        <v>9.36</v>
      </c>
      <c r="F794" s="1">
        <v>4</v>
      </c>
    </row>
    <row r="795" spans="1:6" x14ac:dyDescent="0.2">
      <c r="A795" s="1" t="s">
        <v>804</v>
      </c>
      <c r="B795" s="1" t="s">
        <v>10</v>
      </c>
      <c r="C795" s="1" t="s">
        <v>17</v>
      </c>
      <c r="D795" s="1">
        <v>21</v>
      </c>
      <c r="E795" s="1">
        <v>8.39</v>
      </c>
      <c r="F795" s="1">
        <v>5</v>
      </c>
    </row>
    <row r="796" spans="1:6" x14ac:dyDescent="0.2">
      <c r="A796" s="1" t="s">
        <v>805</v>
      </c>
      <c r="B796" s="1" t="s">
        <v>7</v>
      </c>
      <c r="C796" s="1" t="s">
        <v>17</v>
      </c>
      <c r="D796" s="1">
        <v>22</v>
      </c>
      <c r="E796" s="1">
        <v>7.06</v>
      </c>
      <c r="F796" s="1">
        <v>3</v>
      </c>
    </row>
    <row r="797" spans="1:6" x14ac:dyDescent="0.2">
      <c r="A797" s="1" t="s">
        <v>806</v>
      </c>
      <c r="B797" s="1" t="s">
        <v>16</v>
      </c>
      <c r="C797" s="1" t="s">
        <v>8</v>
      </c>
      <c r="D797" s="1">
        <v>22</v>
      </c>
      <c r="E797" s="1">
        <v>8.77</v>
      </c>
      <c r="F797" s="1">
        <v>5</v>
      </c>
    </row>
    <row r="798" spans="1:6" x14ac:dyDescent="0.2">
      <c r="A798" s="1" t="s">
        <v>807</v>
      </c>
      <c r="B798" s="1" t="s">
        <v>7</v>
      </c>
      <c r="C798" s="1" t="s">
        <v>8</v>
      </c>
      <c r="D798" s="1">
        <v>22</v>
      </c>
      <c r="E798" s="1">
        <v>6.02</v>
      </c>
      <c r="F798" s="1">
        <v>4</v>
      </c>
    </row>
    <row r="799" spans="1:6" x14ac:dyDescent="0.2">
      <c r="A799" s="1" t="s">
        <v>808</v>
      </c>
      <c r="B799" s="1" t="s">
        <v>16</v>
      </c>
      <c r="C799" s="1" t="s">
        <v>8</v>
      </c>
      <c r="D799" s="1">
        <v>21</v>
      </c>
      <c r="E799" s="1">
        <v>6.64</v>
      </c>
      <c r="F799" s="1">
        <v>2</v>
      </c>
    </row>
    <row r="800" spans="1:6" x14ac:dyDescent="0.2">
      <c r="A800" s="1" t="s">
        <v>809</v>
      </c>
      <c r="B800" s="1" t="s">
        <v>10</v>
      </c>
      <c r="C800" s="1" t="s">
        <v>17</v>
      </c>
      <c r="D800" s="1">
        <v>22</v>
      </c>
      <c r="E800" s="1">
        <v>7.73</v>
      </c>
      <c r="F800" s="1">
        <v>1</v>
      </c>
    </row>
    <row r="801" spans="1:6" x14ac:dyDescent="0.2">
      <c r="A801" s="1" t="s">
        <v>810</v>
      </c>
      <c r="B801" s="1" t="s">
        <v>16</v>
      </c>
      <c r="C801" s="1" t="s">
        <v>17</v>
      </c>
      <c r="D801" s="1">
        <v>18</v>
      </c>
      <c r="E801" s="1">
        <v>7.88</v>
      </c>
      <c r="F801" s="1">
        <v>4</v>
      </c>
    </row>
    <row r="802" spans="1:6" x14ac:dyDescent="0.2">
      <c r="A802" s="1" t="s">
        <v>811</v>
      </c>
      <c r="B802" s="1" t="s">
        <v>12</v>
      </c>
      <c r="C802" s="1" t="s">
        <v>8</v>
      </c>
      <c r="D802" s="1">
        <v>22</v>
      </c>
      <c r="E802" s="1">
        <v>5.1100000000000003</v>
      </c>
      <c r="F802" s="1">
        <v>2</v>
      </c>
    </row>
    <row r="803" spans="1:6" x14ac:dyDescent="0.2">
      <c r="A803" s="1" t="s">
        <v>812</v>
      </c>
      <c r="B803" s="1" t="s">
        <v>12</v>
      </c>
      <c r="C803" s="1" t="s">
        <v>8</v>
      </c>
      <c r="D803" s="1">
        <v>19</v>
      </c>
      <c r="E803" s="1">
        <v>9.73</v>
      </c>
      <c r="F803" s="1">
        <v>5</v>
      </c>
    </row>
    <row r="804" spans="1:6" x14ac:dyDescent="0.2">
      <c r="A804" s="1" t="s">
        <v>813</v>
      </c>
      <c r="B804" s="1" t="s">
        <v>12</v>
      </c>
      <c r="C804" s="1" t="s">
        <v>17</v>
      </c>
      <c r="D804" s="1">
        <v>21</v>
      </c>
      <c r="E804" s="1">
        <v>8.48</v>
      </c>
      <c r="F804" s="1">
        <v>5</v>
      </c>
    </row>
    <row r="805" spans="1:6" x14ac:dyDescent="0.2">
      <c r="A805" s="1" t="s">
        <v>814</v>
      </c>
      <c r="B805" s="1" t="s">
        <v>12</v>
      </c>
      <c r="C805" s="1" t="s">
        <v>17</v>
      </c>
      <c r="D805" s="1">
        <v>19</v>
      </c>
      <c r="E805" s="1">
        <v>7.48</v>
      </c>
      <c r="F805" s="1">
        <v>4</v>
      </c>
    </row>
    <row r="806" spans="1:6" x14ac:dyDescent="0.2">
      <c r="A806" s="1" t="s">
        <v>815</v>
      </c>
      <c r="B806" s="1" t="s">
        <v>7</v>
      </c>
      <c r="C806" s="1" t="s">
        <v>17</v>
      </c>
      <c r="D806" s="1">
        <v>22</v>
      </c>
      <c r="E806" s="1">
        <v>9.67</v>
      </c>
      <c r="F806" s="1">
        <v>3</v>
      </c>
    </row>
    <row r="807" spans="1:6" x14ac:dyDescent="0.2">
      <c r="A807" s="1" t="s">
        <v>816</v>
      </c>
      <c r="B807" s="1" t="s">
        <v>10</v>
      </c>
      <c r="C807" s="1" t="s">
        <v>8</v>
      </c>
      <c r="D807" s="1">
        <v>18</v>
      </c>
      <c r="E807" s="1">
        <v>7.2</v>
      </c>
      <c r="F807" s="1">
        <v>5</v>
      </c>
    </row>
    <row r="808" spans="1:6" x14ac:dyDescent="0.2">
      <c r="A808" s="1" t="s">
        <v>817</v>
      </c>
      <c r="B808" s="1" t="s">
        <v>16</v>
      </c>
      <c r="C808" s="1" t="s">
        <v>17</v>
      </c>
      <c r="D808" s="1">
        <v>20</v>
      </c>
      <c r="E808" s="1">
        <v>9.9</v>
      </c>
      <c r="F808" s="1">
        <v>3</v>
      </c>
    </row>
    <row r="809" spans="1:6" x14ac:dyDescent="0.2">
      <c r="A809" s="1" t="s">
        <v>818</v>
      </c>
      <c r="B809" s="1" t="s">
        <v>16</v>
      </c>
      <c r="C809" s="1" t="s">
        <v>17</v>
      </c>
      <c r="D809" s="1">
        <v>23</v>
      </c>
      <c r="E809" s="1">
        <v>7.56</v>
      </c>
      <c r="F809" s="1">
        <v>3</v>
      </c>
    </row>
    <row r="810" spans="1:6" x14ac:dyDescent="0.2">
      <c r="A810" s="1" t="s">
        <v>819</v>
      </c>
      <c r="B810" s="1" t="s">
        <v>12</v>
      </c>
      <c r="C810" s="1" t="s">
        <v>17</v>
      </c>
      <c r="D810" s="1">
        <v>23</v>
      </c>
      <c r="E810" s="1">
        <v>5.57</v>
      </c>
      <c r="F810" s="1">
        <v>3</v>
      </c>
    </row>
    <row r="811" spans="1:6" x14ac:dyDescent="0.2">
      <c r="A811" s="1" t="s">
        <v>820</v>
      </c>
      <c r="B811" s="1" t="s">
        <v>12</v>
      </c>
      <c r="C811" s="1" t="s">
        <v>17</v>
      </c>
      <c r="D811" s="1">
        <v>22</v>
      </c>
      <c r="E811" s="1">
        <v>8.82</v>
      </c>
      <c r="F811" s="1">
        <v>0</v>
      </c>
    </row>
    <row r="812" spans="1:6" x14ac:dyDescent="0.2">
      <c r="A812" s="1" t="s">
        <v>821</v>
      </c>
      <c r="B812" s="1" t="s">
        <v>31</v>
      </c>
      <c r="C812" s="1" t="s">
        <v>17</v>
      </c>
      <c r="D812" s="1">
        <v>18</v>
      </c>
      <c r="E812" s="1">
        <v>8.39</v>
      </c>
      <c r="F812" s="1">
        <v>2</v>
      </c>
    </row>
    <row r="813" spans="1:6" x14ac:dyDescent="0.2">
      <c r="A813" s="1" t="s">
        <v>822</v>
      </c>
      <c r="B813" s="1" t="s">
        <v>10</v>
      </c>
      <c r="C813" s="1" t="s">
        <v>17</v>
      </c>
      <c r="D813" s="1">
        <v>21</v>
      </c>
      <c r="E813" s="1">
        <v>8.86</v>
      </c>
      <c r="F813" s="1">
        <v>2</v>
      </c>
    </row>
    <row r="814" spans="1:6" x14ac:dyDescent="0.2">
      <c r="A814" s="1" t="s">
        <v>823</v>
      </c>
      <c r="B814" s="1" t="s">
        <v>7</v>
      </c>
      <c r="C814" s="1" t="s">
        <v>17</v>
      </c>
      <c r="D814" s="1">
        <v>19</v>
      </c>
      <c r="E814" s="1">
        <v>9.76</v>
      </c>
      <c r="F814" s="1">
        <v>5</v>
      </c>
    </row>
    <row r="815" spans="1:6" x14ac:dyDescent="0.2">
      <c r="A815" s="1" t="s">
        <v>824</v>
      </c>
      <c r="B815" s="1" t="s">
        <v>16</v>
      </c>
      <c r="C815" s="1" t="s">
        <v>8</v>
      </c>
      <c r="D815" s="1">
        <v>19</v>
      </c>
      <c r="E815" s="1">
        <v>8.8800000000000008</v>
      </c>
      <c r="F815" s="1">
        <v>5</v>
      </c>
    </row>
    <row r="816" spans="1:6" x14ac:dyDescent="0.2">
      <c r="A816" s="1" t="s">
        <v>825</v>
      </c>
      <c r="B816" s="1" t="s">
        <v>31</v>
      </c>
      <c r="C816" s="1" t="s">
        <v>17</v>
      </c>
      <c r="D816" s="1">
        <v>19</v>
      </c>
      <c r="E816" s="1">
        <v>8.06</v>
      </c>
      <c r="F816" s="1">
        <v>3</v>
      </c>
    </row>
    <row r="817" spans="1:6" x14ac:dyDescent="0.2">
      <c r="A817" s="1" t="s">
        <v>826</v>
      </c>
      <c r="B817" s="1" t="s">
        <v>31</v>
      </c>
      <c r="C817" s="1" t="s">
        <v>17</v>
      </c>
      <c r="D817" s="1">
        <v>21</v>
      </c>
      <c r="E817" s="1">
        <v>9.2899999999999991</v>
      </c>
      <c r="F817" s="1">
        <v>0</v>
      </c>
    </row>
    <row r="818" spans="1:6" x14ac:dyDescent="0.2">
      <c r="A818" s="1" t="s">
        <v>827</v>
      </c>
      <c r="B818" s="1" t="s">
        <v>16</v>
      </c>
      <c r="C818" s="1" t="s">
        <v>8</v>
      </c>
      <c r="D818" s="1">
        <v>23</v>
      </c>
      <c r="E818" s="1">
        <v>8.3699999999999992</v>
      </c>
      <c r="F818" s="1">
        <v>3</v>
      </c>
    </row>
    <row r="819" spans="1:6" x14ac:dyDescent="0.2">
      <c r="A819" s="1" t="s">
        <v>828</v>
      </c>
      <c r="B819" s="1" t="s">
        <v>7</v>
      </c>
      <c r="C819" s="1" t="s">
        <v>8</v>
      </c>
      <c r="D819" s="1">
        <v>18</v>
      </c>
      <c r="E819" s="1">
        <v>7.04</v>
      </c>
      <c r="F819" s="1">
        <v>0</v>
      </c>
    </row>
    <row r="820" spans="1:6" x14ac:dyDescent="0.2">
      <c r="A820" s="1" t="s">
        <v>829</v>
      </c>
      <c r="B820" s="1" t="s">
        <v>31</v>
      </c>
      <c r="C820" s="1" t="s">
        <v>17</v>
      </c>
      <c r="D820" s="1">
        <v>21</v>
      </c>
      <c r="E820" s="1">
        <v>9.43</v>
      </c>
      <c r="F820" s="1">
        <v>3</v>
      </c>
    </row>
    <row r="821" spans="1:6" x14ac:dyDescent="0.2">
      <c r="A821" s="1" t="s">
        <v>830</v>
      </c>
      <c r="B821" s="1" t="s">
        <v>31</v>
      </c>
      <c r="C821" s="1" t="s">
        <v>17</v>
      </c>
      <c r="D821" s="1">
        <v>19</v>
      </c>
      <c r="E821" s="1">
        <v>6.11</v>
      </c>
      <c r="F821" s="1">
        <v>1</v>
      </c>
    </row>
    <row r="822" spans="1:6" x14ac:dyDescent="0.2">
      <c r="A822" s="1" t="s">
        <v>831</v>
      </c>
      <c r="B822" s="1" t="s">
        <v>10</v>
      </c>
      <c r="C822" s="1" t="s">
        <v>17</v>
      </c>
      <c r="D822" s="1">
        <v>22</v>
      </c>
      <c r="E822" s="1">
        <v>8.57</v>
      </c>
      <c r="F822" s="1">
        <v>1</v>
      </c>
    </row>
    <row r="823" spans="1:6" x14ac:dyDescent="0.2">
      <c r="A823" s="1" t="s">
        <v>832</v>
      </c>
      <c r="B823" s="1" t="s">
        <v>7</v>
      </c>
      <c r="C823" s="1" t="s">
        <v>8</v>
      </c>
      <c r="D823" s="1">
        <v>20</v>
      </c>
      <c r="E823" s="1">
        <v>9.41</v>
      </c>
      <c r="F823" s="1">
        <v>4</v>
      </c>
    </row>
    <row r="824" spans="1:6" x14ac:dyDescent="0.2">
      <c r="A824" s="1" t="s">
        <v>833</v>
      </c>
      <c r="B824" s="1" t="s">
        <v>31</v>
      </c>
      <c r="C824" s="1" t="s">
        <v>8</v>
      </c>
      <c r="D824" s="1">
        <v>21</v>
      </c>
      <c r="E824" s="1">
        <v>8.66</v>
      </c>
      <c r="F824" s="1">
        <v>3</v>
      </c>
    </row>
    <row r="825" spans="1:6" x14ac:dyDescent="0.2">
      <c r="A825" s="1" t="s">
        <v>834</v>
      </c>
      <c r="B825" s="1" t="s">
        <v>7</v>
      </c>
      <c r="C825" s="1" t="s">
        <v>8</v>
      </c>
      <c r="D825" s="1">
        <v>21</v>
      </c>
      <c r="E825" s="1">
        <v>8.49</v>
      </c>
      <c r="F825" s="1">
        <v>5</v>
      </c>
    </row>
    <row r="826" spans="1:6" x14ac:dyDescent="0.2">
      <c r="A826" s="1" t="s">
        <v>835</v>
      </c>
      <c r="B826" s="1" t="s">
        <v>16</v>
      </c>
      <c r="C826" s="1" t="s">
        <v>8</v>
      </c>
      <c r="D826" s="1">
        <v>18</v>
      </c>
      <c r="E826" s="1">
        <v>8.76</v>
      </c>
      <c r="F826" s="1">
        <v>2</v>
      </c>
    </row>
    <row r="827" spans="1:6" x14ac:dyDescent="0.2">
      <c r="A827" s="1" t="s">
        <v>836</v>
      </c>
      <c r="B827" s="1" t="s">
        <v>12</v>
      </c>
      <c r="C827" s="1" t="s">
        <v>8</v>
      </c>
      <c r="D827" s="1">
        <v>18</v>
      </c>
      <c r="E827" s="1">
        <v>7.33</v>
      </c>
      <c r="F827" s="1">
        <v>4</v>
      </c>
    </row>
    <row r="828" spans="1:6" x14ac:dyDescent="0.2">
      <c r="A828" s="1" t="s">
        <v>837</v>
      </c>
      <c r="B828" s="1" t="s">
        <v>31</v>
      </c>
      <c r="C828" s="1" t="s">
        <v>17</v>
      </c>
      <c r="D828" s="1">
        <v>21</v>
      </c>
      <c r="E828" s="1">
        <v>9.3699999999999992</v>
      </c>
      <c r="F828" s="1">
        <v>5</v>
      </c>
    </row>
    <row r="829" spans="1:6" x14ac:dyDescent="0.2">
      <c r="A829" s="1" t="s">
        <v>838</v>
      </c>
      <c r="B829" s="1" t="s">
        <v>10</v>
      </c>
      <c r="C829" s="1" t="s">
        <v>17</v>
      </c>
      <c r="D829" s="1">
        <v>19</v>
      </c>
      <c r="E829" s="1">
        <v>6.02</v>
      </c>
      <c r="F829" s="1">
        <v>1</v>
      </c>
    </row>
    <row r="830" spans="1:6" x14ac:dyDescent="0.2">
      <c r="A830" s="1" t="s">
        <v>839</v>
      </c>
      <c r="B830" s="1" t="s">
        <v>16</v>
      </c>
      <c r="C830" s="1" t="s">
        <v>8</v>
      </c>
      <c r="D830" s="1">
        <v>20</v>
      </c>
      <c r="E830" s="1">
        <v>5.64</v>
      </c>
      <c r="F830" s="1">
        <v>3</v>
      </c>
    </row>
    <row r="831" spans="1:6" x14ac:dyDescent="0.2">
      <c r="A831" s="1" t="s">
        <v>840</v>
      </c>
      <c r="B831" s="1" t="s">
        <v>7</v>
      </c>
      <c r="C831" s="1" t="s">
        <v>8</v>
      </c>
      <c r="D831" s="1">
        <v>18</v>
      </c>
      <c r="E831" s="1">
        <v>6.43</v>
      </c>
      <c r="F831" s="1">
        <v>4</v>
      </c>
    </row>
    <row r="832" spans="1:6" x14ac:dyDescent="0.2">
      <c r="A832" s="1" t="s">
        <v>841</v>
      </c>
      <c r="B832" s="1" t="s">
        <v>16</v>
      </c>
      <c r="C832" s="1" t="s">
        <v>17</v>
      </c>
      <c r="D832" s="1">
        <v>19</v>
      </c>
      <c r="E832" s="1">
        <v>7.66</v>
      </c>
      <c r="F832" s="1">
        <v>3</v>
      </c>
    </row>
    <row r="833" spans="1:6" x14ac:dyDescent="0.2">
      <c r="A833" s="1" t="s">
        <v>842</v>
      </c>
      <c r="B833" s="1" t="s">
        <v>31</v>
      </c>
      <c r="C833" s="1" t="s">
        <v>8</v>
      </c>
      <c r="D833" s="1">
        <v>22</v>
      </c>
      <c r="E833" s="1">
        <v>7.55</v>
      </c>
      <c r="F833" s="1">
        <v>1</v>
      </c>
    </row>
    <row r="834" spans="1:6" x14ac:dyDescent="0.2">
      <c r="A834" s="1" t="s">
        <v>843</v>
      </c>
      <c r="B834" s="1" t="s">
        <v>7</v>
      </c>
      <c r="C834" s="1" t="s">
        <v>17</v>
      </c>
      <c r="D834" s="1">
        <v>18</v>
      </c>
      <c r="E834" s="1">
        <v>9.1</v>
      </c>
      <c r="F834" s="1">
        <v>4</v>
      </c>
    </row>
    <row r="835" spans="1:6" x14ac:dyDescent="0.2">
      <c r="A835" s="1" t="s">
        <v>844</v>
      </c>
      <c r="B835" s="1" t="s">
        <v>12</v>
      </c>
      <c r="C835" s="1" t="s">
        <v>17</v>
      </c>
      <c r="D835" s="1">
        <v>19</v>
      </c>
      <c r="E835" s="1">
        <v>7.02</v>
      </c>
      <c r="F835" s="1">
        <v>1</v>
      </c>
    </row>
    <row r="836" spans="1:6" x14ac:dyDescent="0.2">
      <c r="A836" s="1" t="s">
        <v>845</v>
      </c>
      <c r="B836" s="1" t="s">
        <v>16</v>
      </c>
      <c r="C836" s="1" t="s">
        <v>17</v>
      </c>
      <c r="D836" s="1">
        <v>19</v>
      </c>
      <c r="E836" s="1">
        <v>7.42</v>
      </c>
      <c r="F836" s="1">
        <v>0</v>
      </c>
    </row>
    <row r="837" spans="1:6" x14ac:dyDescent="0.2">
      <c r="A837" s="1" t="s">
        <v>846</v>
      </c>
      <c r="B837" s="1" t="s">
        <v>31</v>
      </c>
      <c r="C837" s="1" t="s">
        <v>17</v>
      </c>
      <c r="D837" s="1">
        <v>20</v>
      </c>
      <c r="E837" s="1">
        <v>5.07</v>
      </c>
      <c r="F837" s="1">
        <v>1</v>
      </c>
    </row>
    <row r="838" spans="1:6" x14ac:dyDescent="0.2">
      <c r="A838" s="1" t="s">
        <v>847</v>
      </c>
      <c r="B838" s="1" t="s">
        <v>10</v>
      </c>
      <c r="C838" s="1" t="s">
        <v>8</v>
      </c>
      <c r="D838" s="1">
        <v>20</v>
      </c>
      <c r="E838" s="1">
        <v>7.05</v>
      </c>
      <c r="F838" s="1">
        <v>3</v>
      </c>
    </row>
    <row r="839" spans="1:6" x14ac:dyDescent="0.2">
      <c r="A839" s="1" t="s">
        <v>848</v>
      </c>
      <c r="B839" s="1" t="s">
        <v>7</v>
      </c>
      <c r="C839" s="1" t="s">
        <v>17</v>
      </c>
      <c r="D839" s="1">
        <v>22</v>
      </c>
      <c r="E839" s="1">
        <v>8.24</v>
      </c>
      <c r="F839" s="1">
        <v>2</v>
      </c>
    </row>
    <row r="840" spans="1:6" x14ac:dyDescent="0.2">
      <c r="A840" s="1" t="s">
        <v>849</v>
      </c>
      <c r="B840" s="1" t="s">
        <v>16</v>
      </c>
      <c r="C840" s="1" t="s">
        <v>8</v>
      </c>
      <c r="D840" s="1">
        <v>19</v>
      </c>
      <c r="E840" s="1">
        <v>5.08</v>
      </c>
      <c r="F840" s="1">
        <v>1</v>
      </c>
    </row>
    <row r="841" spans="1:6" x14ac:dyDescent="0.2">
      <c r="A841" s="1" t="s">
        <v>850</v>
      </c>
      <c r="B841" s="1" t="s">
        <v>16</v>
      </c>
      <c r="C841" s="1" t="s">
        <v>8</v>
      </c>
      <c r="D841" s="1">
        <v>23</v>
      </c>
      <c r="E841" s="1">
        <v>6.4</v>
      </c>
      <c r="F841" s="1">
        <v>5</v>
      </c>
    </row>
    <row r="842" spans="1:6" x14ac:dyDescent="0.2">
      <c r="A842" s="1" t="s">
        <v>851</v>
      </c>
      <c r="B842" s="1" t="s">
        <v>12</v>
      </c>
      <c r="C842" s="1" t="s">
        <v>8</v>
      </c>
      <c r="D842" s="1">
        <v>19</v>
      </c>
      <c r="E842" s="1">
        <v>6.04</v>
      </c>
      <c r="F842" s="1">
        <v>2</v>
      </c>
    </row>
    <row r="843" spans="1:6" x14ac:dyDescent="0.2">
      <c r="A843" s="1" t="s">
        <v>852</v>
      </c>
      <c r="B843" s="1" t="s">
        <v>12</v>
      </c>
      <c r="C843" s="1" t="s">
        <v>17</v>
      </c>
      <c r="D843" s="1">
        <v>20</v>
      </c>
      <c r="E843" s="1">
        <v>5.21</v>
      </c>
      <c r="F843" s="1">
        <v>0</v>
      </c>
    </row>
    <row r="844" spans="1:6" x14ac:dyDescent="0.2">
      <c r="A844" s="1" t="s">
        <v>853</v>
      </c>
      <c r="B844" s="1" t="s">
        <v>10</v>
      </c>
      <c r="C844" s="1" t="s">
        <v>17</v>
      </c>
      <c r="D844" s="1">
        <v>23</v>
      </c>
      <c r="E844" s="1">
        <v>7.4</v>
      </c>
      <c r="F844" s="1">
        <v>4</v>
      </c>
    </row>
    <row r="845" spans="1:6" x14ac:dyDescent="0.2">
      <c r="A845" s="1" t="s">
        <v>854</v>
      </c>
      <c r="B845" s="1" t="s">
        <v>10</v>
      </c>
      <c r="C845" s="1" t="s">
        <v>17</v>
      </c>
      <c r="D845" s="1">
        <v>18</v>
      </c>
      <c r="E845" s="1">
        <v>5.91</v>
      </c>
      <c r="F845" s="1">
        <v>4</v>
      </c>
    </row>
    <row r="846" spans="1:6" x14ac:dyDescent="0.2">
      <c r="A846" s="1" t="s">
        <v>855</v>
      </c>
      <c r="B846" s="1" t="s">
        <v>31</v>
      </c>
      <c r="C846" s="1" t="s">
        <v>8</v>
      </c>
      <c r="D846" s="1">
        <v>18</v>
      </c>
      <c r="E846" s="1">
        <v>8.7200000000000006</v>
      </c>
      <c r="F846" s="1">
        <v>2</v>
      </c>
    </row>
    <row r="847" spans="1:6" x14ac:dyDescent="0.2">
      <c r="A847" s="1" t="s">
        <v>856</v>
      </c>
      <c r="B847" s="1" t="s">
        <v>31</v>
      </c>
      <c r="C847" s="1" t="s">
        <v>8</v>
      </c>
      <c r="D847" s="1">
        <v>21</v>
      </c>
      <c r="E847" s="1">
        <v>9.24</v>
      </c>
      <c r="F847" s="1">
        <v>4</v>
      </c>
    </row>
    <row r="848" spans="1:6" x14ac:dyDescent="0.2">
      <c r="A848" s="1" t="s">
        <v>857</v>
      </c>
      <c r="B848" s="1" t="s">
        <v>10</v>
      </c>
      <c r="C848" s="1" t="s">
        <v>17</v>
      </c>
      <c r="D848" s="1">
        <v>20</v>
      </c>
      <c r="E848" s="1">
        <v>7.73</v>
      </c>
      <c r="F848" s="1">
        <v>1</v>
      </c>
    </row>
    <row r="849" spans="1:6" x14ac:dyDescent="0.2">
      <c r="A849" s="1" t="s">
        <v>858</v>
      </c>
      <c r="B849" s="1" t="s">
        <v>10</v>
      </c>
      <c r="C849" s="1" t="s">
        <v>8</v>
      </c>
      <c r="D849" s="1">
        <v>21</v>
      </c>
      <c r="E849" s="1">
        <v>9.91</v>
      </c>
      <c r="F849" s="1">
        <v>2</v>
      </c>
    </row>
    <row r="850" spans="1:6" x14ac:dyDescent="0.2">
      <c r="A850" s="1" t="s">
        <v>859</v>
      </c>
      <c r="B850" s="1" t="s">
        <v>7</v>
      </c>
      <c r="C850" s="1" t="s">
        <v>17</v>
      </c>
      <c r="D850" s="1">
        <v>23</v>
      </c>
      <c r="E850" s="1">
        <v>7.25</v>
      </c>
      <c r="F850" s="1">
        <v>3</v>
      </c>
    </row>
    <row r="851" spans="1:6" x14ac:dyDescent="0.2">
      <c r="A851" s="1" t="s">
        <v>860</v>
      </c>
      <c r="B851" s="1" t="s">
        <v>12</v>
      </c>
      <c r="C851" s="1" t="s">
        <v>8</v>
      </c>
      <c r="D851" s="1">
        <v>20</v>
      </c>
      <c r="E851" s="1">
        <v>7.57</v>
      </c>
      <c r="F851" s="1">
        <v>1</v>
      </c>
    </row>
    <row r="852" spans="1:6" x14ac:dyDescent="0.2">
      <c r="A852" s="1" t="s">
        <v>861</v>
      </c>
      <c r="B852" s="1" t="s">
        <v>31</v>
      </c>
      <c r="C852" s="1" t="s">
        <v>17</v>
      </c>
      <c r="D852" s="1">
        <v>22</v>
      </c>
      <c r="E852" s="1">
        <v>9.9499999999999993</v>
      </c>
      <c r="F852" s="1">
        <v>1</v>
      </c>
    </row>
    <row r="853" spans="1:6" x14ac:dyDescent="0.2">
      <c r="A853" s="1" t="s">
        <v>862</v>
      </c>
      <c r="B853" s="1" t="s">
        <v>12</v>
      </c>
      <c r="C853" s="1" t="s">
        <v>8</v>
      </c>
      <c r="D853" s="1">
        <v>19</v>
      </c>
      <c r="E853" s="1">
        <v>6.16</v>
      </c>
      <c r="F853" s="1">
        <v>1</v>
      </c>
    </row>
    <row r="854" spans="1:6" x14ac:dyDescent="0.2">
      <c r="A854" s="1" t="s">
        <v>863</v>
      </c>
      <c r="B854" s="1" t="s">
        <v>12</v>
      </c>
      <c r="C854" s="1" t="s">
        <v>17</v>
      </c>
      <c r="D854" s="1">
        <v>22</v>
      </c>
      <c r="E854" s="1">
        <v>9.7100000000000009</v>
      </c>
      <c r="F854" s="1">
        <v>3</v>
      </c>
    </row>
    <row r="855" spans="1:6" x14ac:dyDescent="0.2">
      <c r="A855" s="1" t="s">
        <v>864</v>
      </c>
      <c r="B855" s="1" t="s">
        <v>10</v>
      </c>
      <c r="C855" s="1" t="s">
        <v>8</v>
      </c>
      <c r="D855" s="1">
        <v>23</v>
      </c>
      <c r="E855" s="1">
        <v>5.21</v>
      </c>
      <c r="F855" s="1">
        <v>0</v>
      </c>
    </row>
    <row r="856" spans="1:6" x14ac:dyDescent="0.2">
      <c r="A856" s="1" t="s">
        <v>865</v>
      </c>
      <c r="B856" s="1" t="s">
        <v>7</v>
      </c>
      <c r="C856" s="1" t="s">
        <v>8</v>
      </c>
      <c r="D856" s="1">
        <v>20</v>
      </c>
      <c r="E856" s="1">
        <v>7.23</v>
      </c>
      <c r="F856" s="1">
        <v>5</v>
      </c>
    </row>
    <row r="857" spans="1:6" x14ac:dyDescent="0.2">
      <c r="A857" s="1" t="s">
        <v>866</v>
      </c>
      <c r="B857" s="1" t="s">
        <v>16</v>
      </c>
      <c r="C857" s="1" t="s">
        <v>8</v>
      </c>
      <c r="D857" s="1">
        <v>23</v>
      </c>
      <c r="E857" s="1">
        <v>5.35</v>
      </c>
      <c r="F857" s="1">
        <v>4</v>
      </c>
    </row>
    <row r="858" spans="1:6" x14ac:dyDescent="0.2">
      <c r="A858" s="1" t="s">
        <v>867</v>
      </c>
      <c r="B858" s="1" t="s">
        <v>7</v>
      </c>
      <c r="C858" s="1" t="s">
        <v>17</v>
      </c>
      <c r="D858" s="1">
        <v>19</v>
      </c>
      <c r="E858" s="1">
        <v>8.65</v>
      </c>
      <c r="F858" s="1">
        <v>2</v>
      </c>
    </row>
    <row r="859" spans="1:6" x14ac:dyDescent="0.2">
      <c r="A859" s="1" t="s">
        <v>868</v>
      </c>
      <c r="B859" s="1" t="s">
        <v>7</v>
      </c>
      <c r="C859" s="1" t="s">
        <v>17</v>
      </c>
      <c r="D859" s="1">
        <v>18</v>
      </c>
      <c r="E859" s="1">
        <v>8.0399999999999991</v>
      </c>
      <c r="F859" s="1">
        <v>0</v>
      </c>
    </row>
    <row r="860" spans="1:6" x14ac:dyDescent="0.2">
      <c r="A860" s="1" t="s">
        <v>869</v>
      </c>
      <c r="B860" s="1" t="s">
        <v>12</v>
      </c>
      <c r="C860" s="1" t="s">
        <v>17</v>
      </c>
      <c r="D860" s="1">
        <v>18</v>
      </c>
      <c r="E860" s="1">
        <v>8.5299999999999994</v>
      </c>
      <c r="F860" s="1">
        <v>2</v>
      </c>
    </row>
    <row r="861" spans="1:6" x14ac:dyDescent="0.2">
      <c r="A861" s="1" t="s">
        <v>870</v>
      </c>
      <c r="B861" s="1" t="s">
        <v>7</v>
      </c>
      <c r="C861" s="1" t="s">
        <v>17</v>
      </c>
      <c r="D861" s="1">
        <v>23</v>
      </c>
      <c r="E861" s="1">
        <v>6.87</v>
      </c>
      <c r="F861" s="1">
        <v>4</v>
      </c>
    </row>
    <row r="862" spans="1:6" x14ac:dyDescent="0.2">
      <c r="A862" s="1" t="s">
        <v>871</v>
      </c>
      <c r="B862" s="1" t="s">
        <v>31</v>
      </c>
      <c r="C862" s="1" t="s">
        <v>17</v>
      </c>
      <c r="D862" s="1">
        <v>21</v>
      </c>
      <c r="E862" s="1">
        <v>6.85</v>
      </c>
      <c r="F862" s="1">
        <v>3</v>
      </c>
    </row>
    <row r="863" spans="1:6" x14ac:dyDescent="0.2">
      <c r="A863" s="1" t="s">
        <v>872</v>
      </c>
      <c r="B863" s="1" t="s">
        <v>12</v>
      </c>
      <c r="C863" s="1" t="s">
        <v>8</v>
      </c>
      <c r="D863" s="1">
        <v>20</v>
      </c>
      <c r="E863" s="1">
        <v>5.23</v>
      </c>
      <c r="F863" s="1">
        <v>1</v>
      </c>
    </row>
    <row r="864" spans="1:6" x14ac:dyDescent="0.2">
      <c r="A864" s="1" t="s">
        <v>873</v>
      </c>
      <c r="B864" s="1" t="s">
        <v>31</v>
      </c>
      <c r="C864" s="1" t="s">
        <v>8</v>
      </c>
      <c r="D864" s="1">
        <v>20</v>
      </c>
      <c r="E864" s="1">
        <v>6.75</v>
      </c>
      <c r="F864" s="1">
        <v>1</v>
      </c>
    </row>
    <row r="865" spans="1:6" x14ac:dyDescent="0.2">
      <c r="A865" s="1" t="s">
        <v>874</v>
      </c>
      <c r="B865" s="1" t="s">
        <v>16</v>
      </c>
      <c r="C865" s="1" t="s">
        <v>17</v>
      </c>
      <c r="D865" s="1">
        <v>18</v>
      </c>
      <c r="E865" s="1">
        <v>9.65</v>
      </c>
      <c r="F865" s="1">
        <v>3</v>
      </c>
    </row>
    <row r="866" spans="1:6" x14ac:dyDescent="0.2">
      <c r="A866" s="1" t="s">
        <v>875</v>
      </c>
      <c r="B866" s="1" t="s">
        <v>12</v>
      </c>
      <c r="C866" s="1" t="s">
        <v>17</v>
      </c>
      <c r="D866" s="1">
        <v>22</v>
      </c>
      <c r="E866" s="1">
        <v>6.9</v>
      </c>
      <c r="F866" s="1">
        <v>0</v>
      </c>
    </row>
    <row r="867" spans="1:6" x14ac:dyDescent="0.2">
      <c r="A867" s="1" t="s">
        <v>876</v>
      </c>
      <c r="B867" s="1" t="s">
        <v>16</v>
      </c>
      <c r="C867" s="1" t="s">
        <v>17</v>
      </c>
      <c r="D867" s="1">
        <v>19</v>
      </c>
      <c r="E867" s="1">
        <v>9.16</v>
      </c>
      <c r="F867" s="1">
        <v>0</v>
      </c>
    </row>
    <row r="868" spans="1:6" x14ac:dyDescent="0.2">
      <c r="A868" s="1" t="s">
        <v>877</v>
      </c>
      <c r="B868" s="1" t="s">
        <v>12</v>
      </c>
      <c r="C868" s="1" t="s">
        <v>8</v>
      </c>
      <c r="D868" s="1">
        <v>22</v>
      </c>
      <c r="E868" s="1">
        <v>9.2100000000000009</v>
      </c>
      <c r="F868" s="1">
        <v>2</v>
      </c>
    </row>
    <row r="869" spans="1:6" x14ac:dyDescent="0.2">
      <c r="A869" s="1" t="s">
        <v>878</v>
      </c>
      <c r="B869" s="1" t="s">
        <v>10</v>
      </c>
      <c r="C869" s="1" t="s">
        <v>17</v>
      </c>
      <c r="D869" s="1">
        <v>22</v>
      </c>
      <c r="E869" s="1">
        <v>6.87</v>
      </c>
      <c r="F869" s="1">
        <v>3</v>
      </c>
    </row>
    <row r="870" spans="1:6" x14ac:dyDescent="0.2">
      <c r="A870" s="1" t="s">
        <v>879</v>
      </c>
      <c r="B870" s="1" t="s">
        <v>7</v>
      </c>
      <c r="C870" s="1" t="s">
        <v>8</v>
      </c>
      <c r="D870" s="1">
        <v>23</v>
      </c>
      <c r="E870" s="1">
        <v>8.16</v>
      </c>
      <c r="F870" s="1">
        <v>0</v>
      </c>
    </row>
    <row r="871" spans="1:6" x14ac:dyDescent="0.2">
      <c r="A871" s="1" t="s">
        <v>880</v>
      </c>
      <c r="B871" s="1" t="s">
        <v>10</v>
      </c>
      <c r="C871" s="1" t="s">
        <v>17</v>
      </c>
      <c r="D871" s="1">
        <v>18</v>
      </c>
      <c r="E871" s="1">
        <v>5.48</v>
      </c>
      <c r="F871" s="1">
        <v>3</v>
      </c>
    </row>
    <row r="872" spans="1:6" x14ac:dyDescent="0.2">
      <c r="A872" s="1" t="s">
        <v>881</v>
      </c>
      <c r="B872" s="1" t="s">
        <v>16</v>
      </c>
      <c r="C872" s="1" t="s">
        <v>8</v>
      </c>
      <c r="D872" s="1">
        <v>18</v>
      </c>
      <c r="E872" s="1">
        <v>5.52</v>
      </c>
      <c r="F872" s="1">
        <v>4</v>
      </c>
    </row>
    <row r="873" spans="1:6" x14ac:dyDescent="0.2">
      <c r="A873" s="1" t="s">
        <v>882</v>
      </c>
      <c r="B873" s="1" t="s">
        <v>7</v>
      </c>
      <c r="C873" s="1" t="s">
        <v>8</v>
      </c>
      <c r="D873" s="1">
        <v>18</v>
      </c>
      <c r="E873" s="1">
        <v>5.24</v>
      </c>
      <c r="F873" s="1">
        <v>1</v>
      </c>
    </row>
    <row r="874" spans="1:6" x14ac:dyDescent="0.2">
      <c r="A874" s="1" t="s">
        <v>883</v>
      </c>
      <c r="B874" s="1" t="s">
        <v>12</v>
      </c>
      <c r="C874" s="1" t="s">
        <v>17</v>
      </c>
      <c r="D874" s="1">
        <v>23</v>
      </c>
      <c r="E874" s="1">
        <v>7.91</v>
      </c>
      <c r="F874" s="1">
        <v>1</v>
      </c>
    </row>
    <row r="875" spans="1:6" x14ac:dyDescent="0.2">
      <c r="A875" s="1" t="s">
        <v>884</v>
      </c>
      <c r="B875" s="1" t="s">
        <v>7</v>
      </c>
      <c r="C875" s="1" t="s">
        <v>8</v>
      </c>
      <c r="D875" s="1">
        <v>21</v>
      </c>
      <c r="E875" s="1">
        <v>7.13</v>
      </c>
      <c r="F875" s="1">
        <v>1</v>
      </c>
    </row>
    <row r="876" spans="1:6" x14ac:dyDescent="0.2">
      <c r="A876" s="1" t="s">
        <v>885</v>
      </c>
      <c r="B876" s="1" t="s">
        <v>31</v>
      </c>
      <c r="C876" s="1" t="s">
        <v>17</v>
      </c>
      <c r="D876" s="1">
        <v>22</v>
      </c>
      <c r="E876" s="1">
        <v>7.74</v>
      </c>
      <c r="F876" s="1">
        <v>3</v>
      </c>
    </row>
    <row r="877" spans="1:6" x14ac:dyDescent="0.2">
      <c r="A877" s="1" t="s">
        <v>886</v>
      </c>
      <c r="B877" s="1" t="s">
        <v>7</v>
      </c>
      <c r="C877" s="1" t="s">
        <v>8</v>
      </c>
      <c r="D877" s="1">
        <v>23</v>
      </c>
      <c r="E877" s="1">
        <v>7.61</v>
      </c>
      <c r="F877" s="1">
        <v>3</v>
      </c>
    </row>
    <row r="878" spans="1:6" x14ac:dyDescent="0.2">
      <c r="A878" s="1" t="s">
        <v>887</v>
      </c>
      <c r="B878" s="1" t="s">
        <v>31</v>
      </c>
      <c r="C878" s="1" t="s">
        <v>17</v>
      </c>
      <c r="D878" s="1">
        <v>20</v>
      </c>
      <c r="E878" s="1">
        <v>6.75</v>
      </c>
      <c r="F878" s="1">
        <v>2</v>
      </c>
    </row>
    <row r="879" spans="1:6" x14ac:dyDescent="0.2">
      <c r="A879" s="1" t="s">
        <v>888</v>
      </c>
      <c r="B879" s="1" t="s">
        <v>7</v>
      </c>
      <c r="C879" s="1" t="s">
        <v>8</v>
      </c>
      <c r="D879" s="1">
        <v>19</v>
      </c>
      <c r="E879" s="1">
        <v>8.39</v>
      </c>
      <c r="F879" s="1">
        <v>1</v>
      </c>
    </row>
    <row r="880" spans="1:6" x14ac:dyDescent="0.2">
      <c r="A880" s="1" t="s">
        <v>889</v>
      </c>
      <c r="B880" s="1" t="s">
        <v>31</v>
      </c>
      <c r="C880" s="1" t="s">
        <v>8</v>
      </c>
      <c r="D880" s="1">
        <v>21</v>
      </c>
      <c r="E880" s="1">
        <v>8.7899999999999991</v>
      </c>
      <c r="F880" s="1">
        <v>2</v>
      </c>
    </row>
    <row r="881" spans="1:6" x14ac:dyDescent="0.2">
      <c r="A881" s="1" t="s">
        <v>890</v>
      </c>
      <c r="B881" s="1" t="s">
        <v>16</v>
      </c>
      <c r="C881" s="1" t="s">
        <v>8</v>
      </c>
      <c r="D881" s="1">
        <v>20</v>
      </c>
      <c r="E881" s="1">
        <v>5.07</v>
      </c>
      <c r="F881" s="1">
        <v>1</v>
      </c>
    </row>
    <row r="882" spans="1:6" x14ac:dyDescent="0.2">
      <c r="A882" s="1" t="s">
        <v>891</v>
      </c>
      <c r="B882" s="1" t="s">
        <v>10</v>
      </c>
      <c r="C882" s="1" t="s">
        <v>8</v>
      </c>
      <c r="D882" s="1">
        <v>22</v>
      </c>
      <c r="E882" s="1">
        <v>6.04</v>
      </c>
      <c r="F882" s="1">
        <v>2</v>
      </c>
    </row>
    <row r="883" spans="1:6" x14ac:dyDescent="0.2">
      <c r="A883" s="1" t="s">
        <v>892</v>
      </c>
      <c r="B883" s="1" t="s">
        <v>12</v>
      </c>
      <c r="C883" s="1" t="s">
        <v>17</v>
      </c>
      <c r="D883" s="1">
        <v>18</v>
      </c>
      <c r="E883" s="1">
        <v>8.57</v>
      </c>
      <c r="F883" s="1">
        <v>2</v>
      </c>
    </row>
    <row r="884" spans="1:6" x14ac:dyDescent="0.2">
      <c r="A884" s="1" t="s">
        <v>893</v>
      </c>
      <c r="B884" s="1" t="s">
        <v>7</v>
      </c>
      <c r="C884" s="1" t="s">
        <v>17</v>
      </c>
      <c r="D884" s="1">
        <v>22</v>
      </c>
      <c r="E884" s="1">
        <v>6.93</v>
      </c>
      <c r="F884" s="1">
        <v>4</v>
      </c>
    </row>
    <row r="885" spans="1:6" x14ac:dyDescent="0.2">
      <c r="A885" s="1" t="s">
        <v>894</v>
      </c>
      <c r="B885" s="1" t="s">
        <v>10</v>
      </c>
      <c r="C885" s="1" t="s">
        <v>17</v>
      </c>
      <c r="D885" s="1">
        <v>23</v>
      </c>
      <c r="E885" s="1">
        <v>8.31</v>
      </c>
      <c r="F885" s="1">
        <v>2</v>
      </c>
    </row>
    <row r="886" spans="1:6" x14ac:dyDescent="0.2">
      <c r="A886" s="1" t="s">
        <v>895</v>
      </c>
      <c r="B886" s="1" t="s">
        <v>12</v>
      </c>
      <c r="C886" s="1" t="s">
        <v>17</v>
      </c>
      <c r="D886" s="1">
        <v>19</v>
      </c>
      <c r="E886" s="1">
        <v>6.73</v>
      </c>
      <c r="F886" s="1">
        <v>3</v>
      </c>
    </row>
    <row r="887" spans="1:6" x14ac:dyDescent="0.2">
      <c r="A887" s="1" t="s">
        <v>896</v>
      </c>
      <c r="B887" s="1" t="s">
        <v>12</v>
      </c>
      <c r="C887" s="1" t="s">
        <v>8</v>
      </c>
      <c r="D887" s="1">
        <v>23</v>
      </c>
      <c r="E887" s="1">
        <v>6.95</v>
      </c>
      <c r="F887" s="1">
        <v>2</v>
      </c>
    </row>
    <row r="888" spans="1:6" x14ac:dyDescent="0.2">
      <c r="A888" s="1" t="s">
        <v>897</v>
      </c>
      <c r="B888" s="1" t="s">
        <v>31</v>
      </c>
      <c r="C888" s="1" t="s">
        <v>17</v>
      </c>
      <c r="D888" s="1">
        <v>21</v>
      </c>
      <c r="E888" s="1">
        <v>5.79</v>
      </c>
      <c r="F888" s="1">
        <v>1</v>
      </c>
    </row>
    <row r="889" spans="1:6" x14ac:dyDescent="0.2">
      <c r="A889" s="1" t="s">
        <v>898</v>
      </c>
      <c r="B889" s="1" t="s">
        <v>16</v>
      </c>
      <c r="C889" s="1" t="s">
        <v>8</v>
      </c>
      <c r="D889" s="1">
        <v>21</v>
      </c>
      <c r="E889" s="1">
        <v>6.29</v>
      </c>
      <c r="F889" s="1">
        <v>2</v>
      </c>
    </row>
    <row r="890" spans="1:6" x14ac:dyDescent="0.2">
      <c r="A890" s="1" t="s">
        <v>899</v>
      </c>
      <c r="B890" s="1" t="s">
        <v>16</v>
      </c>
      <c r="C890" s="1" t="s">
        <v>8</v>
      </c>
      <c r="D890" s="1">
        <v>19</v>
      </c>
      <c r="E890" s="1">
        <v>8.0299999999999994</v>
      </c>
      <c r="F890" s="1">
        <v>0</v>
      </c>
    </row>
    <row r="891" spans="1:6" x14ac:dyDescent="0.2">
      <c r="A891" s="1" t="s">
        <v>900</v>
      </c>
      <c r="B891" s="1" t="s">
        <v>10</v>
      </c>
      <c r="C891" s="1" t="s">
        <v>8</v>
      </c>
      <c r="D891" s="1">
        <v>20</v>
      </c>
      <c r="E891" s="1">
        <v>7.17</v>
      </c>
      <c r="F891" s="1">
        <v>5</v>
      </c>
    </row>
    <row r="892" spans="1:6" x14ac:dyDescent="0.2">
      <c r="A892" s="1" t="s">
        <v>901</v>
      </c>
      <c r="B892" s="1" t="s">
        <v>16</v>
      </c>
      <c r="C892" s="1" t="s">
        <v>17</v>
      </c>
      <c r="D892" s="1">
        <v>20</v>
      </c>
      <c r="E892" s="1">
        <v>8.8699999999999992</v>
      </c>
      <c r="F892" s="1">
        <v>1</v>
      </c>
    </row>
    <row r="893" spans="1:6" x14ac:dyDescent="0.2">
      <c r="A893" s="1" t="s">
        <v>902</v>
      </c>
      <c r="B893" s="1" t="s">
        <v>7</v>
      </c>
      <c r="C893" s="1" t="s">
        <v>8</v>
      </c>
      <c r="D893" s="1">
        <v>21</v>
      </c>
      <c r="E893" s="1">
        <v>9.26</v>
      </c>
      <c r="F893" s="1">
        <v>0</v>
      </c>
    </row>
    <row r="894" spans="1:6" x14ac:dyDescent="0.2">
      <c r="A894" s="1" t="s">
        <v>903</v>
      </c>
      <c r="B894" s="1" t="s">
        <v>16</v>
      </c>
      <c r="C894" s="1" t="s">
        <v>8</v>
      </c>
      <c r="D894" s="1">
        <v>21</v>
      </c>
      <c r="E894" s="1">
        <v>7.71</v>
      </c>
      <c r="F894" s="1">
        <v>1</v>
      </c>
    </row>
    <row r="895" spans="1:6" x14ac:dyDescent="0.2">
      <c r="A895" s="1" t="s">
        <v>904</v>
      </c>
      <c r="B895" s="1" t="s">
        <v>10</v>
      </c>
      <c r="C895" s="1" t="s">
        <v>17</v>
      </c>
      <c r="D895" s="1">
        <v>18</v>
      </c>
      <c r="E895" s="1">
        <v>8.7899999999999991</v>
      </c>
      <c r="F895" s="1">
        <v>3</v>
      </c>
    </row>
    <row r="896" spans="1:6" x14ac:dyDescent="0.2">
      <c r="A896" s="1" t="s">
        <v>905</v>
      </c>
      <c r="B896" s="1" t="s">
        <v>16</v>
      </c>
      <c r="C896" s="1" t="s">
        <v>8</v>
      </c>
      <c r="D896" s="1">
        <v>20</v>
      </c>
      <c r="E896" s="1">
        <v>6.53</v>
      </c>
      <c r="F896" s="1">
        <v>5</v>
      </c>
    </row>
    <row r="897" spans="1:6" x14ac:dyDescent="0.2">
      <c r="A897" s="1" t="s">
        <v>906</v>
      </c>
      <c r="B897" s="1" t="s">
        <v>7</v>
      </c>
      <c r="C897" s="1" t="s">
        <v>8</v>
      </c>
      <c r="D897" s="1">
        <v>19</v>
      </c>
      <c r="E897" s="1">
        <v>7.07</v>
      </c>
      <c r="F897" s="1">
        <v>5</v>
      </c>
    </row>
    <row r="898" spans="1:6" x14ac:dyDescent="0.2">
      <c r="A898" s="1" t="s">
        <v>907</v>
      </c>
      <c r="B898" s="1" t="s">
        <v>31</v>
      </c>
      <c r="C898" s="1" t="s">
        <v>17</v>
      </c>
      <c r="D898" s="1">
        <v>20</v>
      </c>
      <c r="E898" s="1">
        <v>8.56</v>
      </c>
      <c r="F898" s="1">
        <v>3</v>
      </c>
    </row>
    <row r="899" spans="1:6" x14ac:dyDescent="0.2">
      <c r="A899" s="1" t="s">
        <v>908</v>
      </c>
      <c r="B899" s="1" t="s">
        <v>10</v>
      </c>
      <c r="C899" s="1" t="s">
        <v>17</v>
      </c>
      <c r="D899" s="1">
        <v>18</v>
      </c>
      <c r="E899" s="1">
        <v>6.93</v>
      </c>
      <c r="F899" s="1">
        <v>5</v>
      </c>
    </row>
    <row r="900" spans="1:6" x14ac:dyDescent="0.2">
      <c r="A900" s="1" t="s">
        <v>909</v>
      </c>
      <c r="B900" s="1" t="s">
        <v>31</v>
      </c>
      <c r="C900" s="1" t="s">
        <v>17</v>
      </c>
      <c r="D900" s="1">
        <v>23</v>
      </c>
      <c r="E900" s="1">
        <v>7.94</v>
      </c>
      <c r="F900" s="1">
        <v>3</v>
      </c>
    </row>
    <row r="901" spans="1:6" x14ac:dyDescent="0.2">
      <c r="A901" s="1" t="s">
        <v>910</v>
      </c>
      <c r="B901" s="1" t="s">
        <v>31</v>
      </c>
      <c r="C901" s="1" t="s">
        <v>17</v>
      </c>
      <c r="D901" s="1">
        <v>21</v>
      </c>
      <c r="E901" s="1">
        <v>5.93</v>
      </c>
      <c r="F901" s="1">
        <v>0</v>
      </c>
    </row>
    <row r="902" spans="1:6" x14ac:dyDescent="0.2">
      <c r="A902" s="1" t="s">
        <v>911</v>
      </c>
      <c r="B902" s="1" t="s">
        <v>31</v>
      </c>
      <c r="C902" s="1" t="s">
        <v>17</v>
      </c>
      <c r="D902" s="1">
        <v>21</v>
      </c>
      <c r="E902" s="1">
        <v>8</v>
      </c>
      <c r="F902" s="1">
        <v>4</v>
      </c>
    </row>
    <row r="903" spans="1:6" x14ac:dyDescent="0.2">
      <c r="A903" s="1" t="s">
        <v>912</v>
      </c>
      <c r="B903" s="1" t="s">
        <v>12</v>
      </c>
      <c r="C903" s="1" t="s">
        <v>17</v>
      </c>
      <c r="D903" s="1">
        <v>18</v>
      </c>
      <c r="E903" s="1">
        <v>9.31</v>
      </c>
      <c r="F903" s="1">
        <v>1</v>
      </c>
    </row>
    <row r="904" spans="1:6" x14ac:dyDescent="0.2">
      <c r="A904" s="1" t="s">
        <v>913</v>
      </c>
      <c r="B904" s="1" t="s">
        <v>12</v>
      </c>
      <c r="C904" s="1" t="s">
        <v>17</v>
      </c>
      <c r="D904" s="1">
        <v>19</v>
      </c>
      <c r="E904" s="1">
        <v>9.34</v>
      </c>
      <c r="F904" s="1">
        <v>3</v>
      </c>
    </row>
    <row r="905" spans="1:6" x14ac:dyDescent="0.2">
      <c r="A905" s="1" t="s">
        <v>914</v>
      </c>
      <c r="B905" s="1" t="s">
        <v>31</v>
      </c>
      <c r="C905" s="1" t="s">
        <v>17</v>
      </c>
      <c r="D905" s="1">
        <v>21</v>
      </c>
      <c r="E905" s="1">
        <v>8.6199999999999992</v>
      </c>
      <c r="F905" s="1">
        <v>1</v>
      </c>
    </row>
    <row r="906" spans="1:6" x14ac:dyDescent="0.2">
      <c r="A906" s="1" t="s">
        <v>915</v>
      </c>
      <c r="B906" s="1" t="s">
        <v>10</v>
      </c>
      <c r="C906" s="1" t="s">
        <v>8</v>
      </c>
      <c r="D906" s="1">
        <v>22</v>
      </c>
      <c r="E906" s="1">
        <v>8.73</v>
      </c>
      <c r="F906" s="1">
        <v>0</v>
      </c>
    </row>
    <row r="907" spans="1:6" x14ac:dyDescent="0.2">
      <c r="A907" s="1" t="s">
        <v>916</v>
      </c>
      <c r="B907" s="1" t="s">
        <v>7</v>
      </c>
      <c r="C907" s="1" t="s">
        <v>17</v>
      </c>
      <c r="D907" s="1">
        <v>21</v>
      </c>
      <c r="E907" s="1">
        <v>7.79</v>
      </c>
      <c r="F907" s="1">
        <v>4</v>
      </c>
    </row>
    <row r="908" spans="1:6" x14ac:dyDescent="0.2">
      <c r="A908" s="1" t="s">
        <v>917</v>
      </c>
      <c r="B908" s="1" t="s">
        <v>7</v>
      </c>
      <c r="C908" s="1" t="s">
        <v>8</v>
      </c>
      <c r="D908" s="1">
        <v>22</v>
      </c>
      <c r="E908" s="1">
        <v>7.92</v>
      </c>
      <c r="F908" s="1">
        <v>0</v>
      </c>
    </row>
    <row r="909" spans="1:6" x14ac:dyDescent="0.2">
      <c r="A909" s="1" t="s">
        <v>918</v>
      </c>
      <c r="B909" s="1" t="s">
        <v>16</v>
      </c>
      <c r="C909" s="1" t="s">
        <v>17</v>
      </c>
      <c r="D909" s="1">
        <v>18</v>
      </c>
      <c r="E909" s="1">
        <v>5.67</v>
      </c>
      <c r="F909" s="1">
        <v>5</v>
      </c>
    </row>
    <row r="910" spans="1:6" x14ac:dyDescent="0.2">
      <c r="A910" s="1" t="s">
        <v>919</v>
      </c>
      <c r="B910" s="1" t="s">
        <v>10</v>
      </c>
      <c r="C910" s="1" t="s">
        <v>17</v>
      </c>
      <c r="D910" s="1">
        <v>18</v>
      </c>
      <c r="E910" s="1">
        <v>7.22</v>
      </c>
      <c r="F910" s="1">
        <v>1</v>
      </c>
    </row>
    <row r="911" spans="1:6" x14ac:dyDescent="0.2">
      <c r="A911" s="1" t="s">
        <v>920</v>
      </c>
      <c r="B911" s="1" t="s">
        <v>12</v>
      </c>
      <c r="C911" s="1" t="s">
        <v>17</v>
      </c>
      <c r="D911" s="1">
        <v>21</v>
      </c>
      <c r="E911" s="1">
        <v>7.25</v>
      </c>
      <c r="F911" s="1">
        <v>4</v>
      </c>
    </row>
    <row r="912" spans="1:6" x14ac:dyDescent="0.2">
      <c r="A912" s="1" t="s">
        <v>921</v>
      </c>
      <c r="B912" s="1" t="s">
        <v>31</v>
      </c>
      <c r="C912" s="1" t="s">
        <v>17</v>
      </c>
      <c r="D912" s="1">
        <v>20</v>
      </c>
      <c r="E912" s="1">
        <v>9.7899999999999991</v>
      </c>
      <c r="F912" s="1">
        <v>5</v>
      </c>
    </row>
    <row r="913" spans="1:6" x14ac:dyDescent="0.2">
      <c r="A913" s="1" t="s">
        <v>922</v>
      </c>
      <c r="B913" s="1" t="s">
        <v>16</v>
      </c>
      <c r="C913" s="1" t="s">
        <v>17</v>
      </c>
      <c r="D913" s="1">
        <v>22</v>
      </c>
      <c r="E913" s="1">
        <v>7.16</v>
      </c>
      <c r="F913" s="1">
        <v>4</v>
      </c>
    </row>
    <row r="914" spans="1:6" x14ac:dyDescent="0.2">
      <c r="A914" s="1" t="s">
        <v>923</v>
      </c>
      <c r="B914" s="1" t="s">
        <v>7</v>
      </c>
      <c r="C914" s="1" t="s">
        <v>8</v>
      </c>
      <c r="D914" s="1">
        <v>19</v>
      </c>
      <c r="E914" s="1">
        <v>7.75</v>
      </c>
      <c r="F914" s="1">
        <v>5</v>
      </c>
    </row>
    <row r="915" spans="1:6" x14ac:dyDescent="0.2">
      <c r="A915" s="1" t="s">
        <v>924</v>
      </c>
      <c r="B915" s="1" t="s">
        <v>12</v>
      </c>
      <c r="C915" s="1" t="s">
        <v>17</v>
      </c>
      <c r="D915" s="1">
        <v>21</v>
      </c>
      <c r="E915" s="1">
        <v>7.67</v>
      </c>
      <c r="F915" s="1">
        <v>0</v>
      </c>
    </row>
    <row r="916" spans="1:6" x14ac:dyDescent="0.2">
      <c r="A916" s="1" t="s">
        <v>925</v>
      </c>
      <c r="B916" s="1" t="s">
        <v>12</v>
      </c>
      <c r="C916" s="1" t="s">
        <v>8</v>
      </c>
      <c r="D916" s="1">
        <v>19</v>
      </c>
      <c r="E916" s="1">
        <v>8.18</v>
      </c>
      <c r="F916" s="1">
        <v>3</v>
      </c>
    </row>
    <row r="917" spans="1:6" x14ac:dyDescent="0.2">
      <c r="A917" s="1" t="s">
        <v>926</v>
      </c>
      <c r="B917" s="1" t="s">
        <v>31</v>
      </c>
      <c r="C917" s="1" t="s">
        <v>8</v>
      </c>
      <c r="D917" s="1">
        <v>21</v>
      </c>
      <c r="E917" s="1">
        <v>8.74</v>
      </c>
      <c r="F917" s="1">
        <v>1</v>
      </c>
    </row>
    <row r="918" spans="1:6" x14ac:dyDescent="0.2">
      <c r="A918" s="1" t="s">
        <v>927</v>
      </c>
      <c r="B918" s="1" t="s">
        <v>7</v>
      </c>
      <c r="C918" s="1" t="s">
        <v>17</v>
      </c>
      <c r="D918" s="1">
        <v>20</v>
      </c>
      <c r="E918" s="1">
        <v>6.13</v>
      </c>
      <c r="F918" s="1">
        <v>2</v>
      </c>
    </row>
    <row r="919" spans="1:6" x14ac:dyDescent="0.2">
      <c r="A919" s="1" t="s">
        <v>928</v>
      </c>
      <c r="B919" s="1" t="s">
        <v>10</v>
      </c>
      <c r="C919" s="1" t="s">
        <v>17</v>
      </c>
      <c r="D919" s="1">
        <v>20</v>
      </c>
      <c r="E919" s="1">
        <v>7.64</v>
      </c>
      <c r="F919" s="1">
        <v>2</v>
      </c>
    </row>
    <row r="920" spans="1:6" x14ac:dyDescent="0.2">
      <c r="A920" s="1" t="s">
        <v>929</v>
      </c>
      <c r="B920" s="1" t="s">
        <v>12</v>
      </c>
      <c r="C920" s="1" t="s">
        <v>8</v>
      </c>
      <c r="D920" s="1">
        <v>20</v>
      </c>
      <c r="E920" s="1">
        <v>9.1300000000000008</v>
      </c>
      <c r="F920" s="1">
        <v>0</v>
      </c>
    </row>
    <row r="921" spans="1:6" x14ac:dyDescent="0.2">
      <c r="A921" s="1" t="s">
        <v>930</v>
      </c>
      <c r="B921" s="1" t="s">
        <v>31</v>
      </c>
      <c r="C921" s="1" t="s">
        <v>17</v>
      </c>
      <c r="D921" s="1">
        <v>23</v>
      </c>
      <c r="E921" s="1">
        <v>7.32</v>
      </c>
      <c r="F921" s="1">
        <v>1</v>
      </c>
    </row>
    <row r="922" spans="1:6" x14ac:dyDescent="0.2">
      <c r="A922" s="1" t="s">
        <v>931</v>
      </c>
      <c r="B922" s="1" t="s">
        <v>10</v>
      </c>
      <c r="C922" s="1" t="s">
        <v>17</v>
      </c>
      <c r="D922" s="1">
        <v>20</v>
      </c>
      <c r="E922" s="1">
        <v>6.39</v>
      </c>
      <c r="F922" s="1">
        <v>1</v>
      </c>
    </row>
    <row r="923" spans="1:6" x14ac:dyDescent="0.2">
      <c r="A923" s="1" t="s">
        <v>932</v>
      </c>
      <c r="B923" s="1" t="s">
        <v>7</v>
      </c>
      <c r="C923" s="1" t="s">
        <v>8</v>
      </c>
      <c r="D923" s="1">
        <v>18</v>
      </c>
      <c r="E923" s="1">
        <v>8.27</v>
      </c>
      <c r="F923" s="1">
        <v>0</v>
      </c>
    </row>
    <row r="924" spans="1:6" x14ac:dyDescent="0.2">
      <c r="A924" s="1" t="s">
        <v>933</v>
      </c>
      <c r="B924" s="1" t="s">
        <v>12</v>
      </c>
      <c r="C924" s="1" t="s">
        <v>17</v>
      </c>
      <c r="D924" s="1">
        <v>18</v>
      </c>
      <c r="E924" s="1">
        <v>9.1199999999999992</v>
      </c>
      <c r="F924" s="1">
        <v>1</v>
      </c>
    </row>
    <row r="925" spans="1:6" x14ac:dyDescent="0.2">
      <c r="A925" s="1" t="s">
        <v>934</v>
      </c>
      <c r="B925" s="1" t="s">
        <v>10</v>
      </c>
      <c r="C925" s="1" t="s">
        <v>8</v>
      </c>
      <c r="D925" s="1">
        <v>23</v>
      </c>
      <c r="E925" s="1">
        <v>5.32</v>
      </c>
      <c r="F925" s="1">
        <v>3</v>
      </c>
    </row>
    <row r="926" spans="1:6" x14ac:dyDescent="0.2">
      <c r="A926" s="1" t="s">
        <v>935</v>
      </c>
      <c r="B926" s="1" t="s">
        <v>10</v>
      </c>
      <c r="C926" s="1" t="s">
        <v>8</v>
      </c>
      <c r="D926" s="1">
        <v>22</v>
      </c>
      <c r="E926" s="1">
        <v>8.8800000000000008</v>
      </c>
      <c r="F926" s="1">
        <v>0</v>
      </c>
    </row>
    <row r="927" spans="1:6" x14ac:dyDescent="0.2">
      <c r="A927" s="1" t="s">
        <v>936</v>
      </c>
      <c r="B927" s="1" t="s">
        <v>10</v>
      </c>
      <c r="C927" s="1" t="s">
        <v>17</v>
      </c>
      <c r="D927" s="1">
        <v>19</v>
      </c>
      <c r="E927" s="1">
        <v>9.11</v>
      </c>
      <c r="F927" s="1">
        <v>3</v>
      </c>
    </row>
    <row r="928" spans="1:6" x14ac:dyDescent="0.2">
      <c r="A928" s="1" t="s">
        <v>937</v>
      </c>
      <c r="B928" s="1" t="s">
        <v>12</v>
      </c>
      <c r="C928" s="1" t="s">
        <v>17</v>
      </c>
      <c r="D928" s="1">
        <v>21</v>
      </c>
      <c r="E928" s="1">
        <v>7.31</v>
      </c>
      <c r="F928" s="1">
        <v>1</v>
      </c>
    </row>
    <row r="929" spans="1:6" x14ac:dyDescent="0.2">
      <c r="A929" s="1" t="s">
        <v>938</v>
      </c>
      <c r="B929" s="1" t="s">
        <v>12</v>
      </c>
      <c r="C929" s="1" t="s">
        <v>17</v>
      </c>
      <c r="D929" s="1">
        <v>21</v>
      </c>
      <c r="E929" s="1">
        <v>9.92</v>
      </c>
      <c r="F929" s="1">
        <v>0</v>
      </c>
    </row>
    <row r="930" spans="1:6" x14ac:dyDescent="0.2">
      <c r="A930" s="1" t="s">
        <v>939</v>
      </c>
      <c r="B930" s="1" t="s">
        <v>16</v>
      </c>
      <c r="C930" s="1" t="s">
        <v>17</v>
      </c>
      <c r="D930" s="1">
        <v>23</v>
      </c>
      <c r="E930" s="1">
        <v>8.93</v>
      </c>
      <c r="F930" s="1">
        <v>1</v>
      </c>
    </row>
    <row r="931" spans="1:6" x14ac:dyDescent="0.2">
      <c r="A931" s="1" t="s">
        <v>940</v>
      </c>
      <c r="B931" s="1" t="s">
        <v>7</v>
      </c>
      <c r="C931" s="1" t="s">
        <v>17</v>
      </c>
      <c r="D931" s="1">
        <v>18</v>
      </c>
      <c r="E931" s="1">
        <v>8.8699999999999992</v>
      </c>
      <c r="F931" s="1">
        <v>0</v>
      </c>
    </row>
    <row r="932" spans="1:6" x14ac:dyDescent="0.2">
      <c r="A932" s="1" t="s">
        <v>941</v>
      </c>
      <c r="B932" s="1" t="s">
        <v>31</v>
      </c>
      <c r="C932" s="1" t="s">
        <v>8</v>
      </c>
      <c r="D932" s="1">
        <v>21</v>
      </c>
      <c r="E932" s="1">
        <v>8.74</v>
      </c>
      <c r="F932" s="1">
        <v>1</v>
      </c>
    </row>
    <row r="933" spans="1:6" x14ac:dyDescent="0.2">
      <c r="A933" s="1" t="s">
        <v>942</v>
      </c>
      <c r="B933" s="1" t="s">
        <v>10</v>
      </c>
      <c r="C933" s="1" t="s">
        <v>17</v>
      </c>
      <c r="D933" s="1">
        <v>18</v>
      </c>
      <c r="E933" s="1">
        <v>5.75</v>
      </c>
      <c r="F933" s="1">
        <v>3</v>
      </c>
    </row>
    <row r="934" spans="1:6" x14ac:dyDescent="0.2">
      <c r="A934" s="1" t="s">
        <v>943</v>
      </c>
      <c r="B934" s="1" t="s">
        <v>16</v>
      </c>
      <c r="C934" s="1" t="s">
        <v>17</v>
      </c>
      <c r="D934" s="1">
        <v>22</v>
      </c>
      <c r="E934" s="1">
        <v>6.09</v>
      </c>
      <c r="F934" s="1">
        <v>3</v>
      </c>
    </row>
    <row r="935" spans="1:6" x14ac:dyDescent="0.2">
      <c r="A935" s="1" t="s">
        <v>944</v>
      </c>
      <c r="B935" s="1" t="s">
        <v>31</v>
      </c>
      <c r="C935" s="1" t="s">
        <v>8</v>
      </c>
      <c r="D935" s="1">
        <v>19</v>
      </c>
      <c r="E935" s="1">
        <v>7.32</v>
      </c>
      <c r="F935" s="1">
        <v>1</v>
      </c>
    </row>
    <row r="936" spans="1:6" x14ac:dyDescent="0.2">
      <c r="A936" s="1" t="s">
        <v>945</v>
      </c>
      <c r="B936" s="1" t="s">
        <v>16</v>
      </c>
      <c r="C936" s="1" t="s">
        <v>8</v>
      </c>
      <c r="D936" s="1">
        <v>22</v>
      </c>
      <c r="E936" s="1">
        <v>6.32</v>
      </c>
      <c r="F936" s="1">
        <v>0</v>
      </c>
    </row>
    <row r="937" spans="1:6" x14ac:dyDescent="0.2">
      <c r="A937" s="1" t="s">
        <v>946</v>
      </c>
      <c r="B937" s="1" t="s">
        <v>12</v>
      </c>
      <c r="C937" s="1" t="s">
        <v>8</v>
      </c>
      <c r="D937" s="1">
        <v>23</v>
      </c>
      <c r="E937" s="1">
        <v>7.08</v>
      </c>
      <c r="F937" s="1">
        <v>2</v>
      </c>
    </row>
    <row r="938" spans="1:6" x14ac:dyDescent="0.2">
      <c r="A938" s="1" t="s">
        <v>947</v>
      </c>
      <c r="B938" s="1" t="s">
        <v>10</v>
      </c>
      <c r="C938" s="1" t="s">
        <v>17</v>
      </c>
      <c r="D938" s="1">
        <v>20</v>
      </c>
      <c r="E938" s="1">
        <v>9.44</v>
      </c>
      <c r="F938" s="1">
        <v>3</v>
      </c>
    </row>
    <row r="939" spans="1:6" x14ac:dyDescent="0.2">
      <c r="A939" s="1" t="s">
        <v>948</v>
      </c>
      <c r="B939" s="1" t="s">
        <v>31</v>
      </c>
      <c r="C939" s="1" t="s">
        <v>8</v>
      </c>
      <c r="D939" s="1">
        <v>20</v>
      </c>
      <c r="E939" s="1">
        <v>9.1199999999999992</v>
      </c>
      <c r="F939" s="1">
        <v>3</v>
      </c>
    </row>
    <row r="940" spans="1:6" x14ac:dyDescent="0.2">
      <c r="A940" s="1" t="s">
        <v>949</v>
      </c>
      <c r="B940" s="1" t="s">
        <v>31</v>
      </c>
      <c r="C940" s="1" t="s">
        <v>17</v>
      </c>
      <c r="D940" s="1">
        <v>20</v>
      </c>
      <c r="E940" s="1">
        <v>8.15</v>
      </c>
      <c r="F940" s="1">
        <v>5</v>
      </c>
    </row>
    <row r="941" spans="1:6" x14ac:dyDescent="0.2">
      <c r="A941" s="1" t="s">
        <v>950</v>
      </c>
      <c r="B941" s="1" t="s">
        <v>31</v>
      </c>
      <c r="C941" s="1" t="s">
        <v>17</v>
      </c>
      <c r="D941" s="1">
        <v>22</v>
      </c>
      <c r="E941" s="1">
        <v>9.2899999999999991</v>
      </c>
      <c r="F941" s="1">
        <v>2</v>
      </c>
    </row>
    <row r="942" spans="1:6" x14ac:dyDescent="0.2">
      <c r="A942" s="1" t="s">
        <v>951</v>
      </c>
      <c r="B942" s="1" t="s">
        <v>31</v>
      </c>
      <c r="C942" s="1" t="s">
        <v>17</v>
      </c>
      <c r="D942" s="1">
        <v>21</v>
      </c>
      <c r="E942" s="1">
        <v>8.92</v>
      </c>
      <c r="F942" s="1">
        <v>1</v>
      </c>
    </row>
    <row r="943" spans="1:6" x14ac:dyDescent="0.2">
      <c r="A943" s="1" t="s">
        <v>952</v>
      </c>
      <c r="B943" s="1" t="s">
        <v>31</v>
      </c>
      <c r="C943" s="1" t="s">
        <v>8</v>
      </c>
      <c r="D943" s="1">
        <v>19</v>
      </c>
      <c r="E943" s="1">
        <v>7.14</v>
      </c>
      <c r="F943" s="1">
        <v>0</v>
      </c>
    </row>
    <row r="944" spans="1:6" x14ac:dyDescent="0.2">
      <c r="A944" s="1" t="s">
        <v>953</v>
      </c>
      <c r="B944" s="1" t="s">
        <v>16</v>
      </c>
      <c r="C944" s="1" t="s">
        <v>17</v>
      </c>
      <c r="D944" s="1">
        <v>20</v>
      </c>
      <c r="E944" s="1">
        <v>6.01</v>
      </c>
      <c r="F944" s="1">
        <v>5</v>
      </c>
    </row>
    <row r="945" spans="1:6" x14ac:dyDescent="0.2">
      <c r="A945" s="1" t="s">
        <v>954</v>
      </c>
      <c r="B945" s="1" t="s">
        <v>10</v>
      </c>
      <c r="C945" s="1" t="s">
        <v>17</v>
      </c>
      <c r="D945" s="1">
        <v>23</v>
      </c>
      <c r="E945" s="1">
        <v>7.57</v>
      </c>
      <c r="F945" s="1">
        <v>1</v>
      </c>
    </row>
    <row r="946" spans="1:6" x14ac:dyDescent="0.2">
      <c r="A946" s="1" t="s">
        <v>955</v>
      </c>
      <c r="B946" s="1" t="s">
        <v>12</v>
      </c>
      <c r="C946" s="1" t="s">
        <v>17</v>
      </c>
      <c r="D946" s="1">
        <v>23</v>
      </c>
      <c r="E946" s="1">
        <v>8.68</v>
      </c>
      <c r="F946" s="1">
        <v>4</v>
      </c>
    </row>
    <row r="947" spans="1:6" x14ac:dyDescent="0.2">
      <c r="A947" s="1" t="s">
        <v>956</v>
      </c>
      <c r="B947" s="1" t="s">
        <v>12</v>
      </c>
      <c r="C947" s="1" t="s">
        <v>17</v>
      </c>
      <c r="D947" s="1">
        <v>20</v>
      </c>
      <c r="E947" s="1">
        <v>7.18</v>
      </c>
      <c r="F947" s="1">
        <v>3</v>
      </c>
    </row>
    <row r="948" spans="1:6" x14ac:dyDescent="0.2">
      <c r="A948" s="1" t="s">
        <v>957</v>
      </c>
      <c r="B948" s="1" t="s">
        <v>12</v>
      </c>
      <c r="C948" s="1" t="s">
        <v>8</v>
      </c>
      <c r="D948" s="1">
        <v>20</v>
      </c>
      <c r="E948" s="1">
        <v>8.33</v>
      </c>
      <c r="F948" s="1">
        <v>4</v>
      </c>
    </row>
    <row r="949" spans="1:6" x14ac:dyDescent="0.2">
      <c r="A949" s="1" t="s">
        <v>958</v>
      </c>
      <c r="B949" s="1" t="s">
        <v>12</v>
      </c>
      <c r="C949" s="1" t="s">
        <v>8</v>
      </c>
      <c r="D949" s="1">
        <v>19</v>
      </c>
      <c r="E949" s="1">
        <v>5.47</v>
      </c>
      <c r="F949" s="1">
        <v>3</v>
      </c>
    </row>
    <row r="950" spans="1:6" x14ac:dyDescent="0.2">
      <c r="A950" s="1" t="s">
        <v>959</v>
      </c>
      <c r="B950" s="1" t="s">
        <v>16</v>
      </c>
      <c r="C950" s="1" t="s">
        <v>8</v>
      </c>
      <c r="D950" s="1">
        <v>20</v>
      </c>
      <c r="E950" s="1">
        <v>8.74</v>
      </c>
      <c r="F950" s="1">
        <v>3</v>
      </c>
    </row>
    <row r="951" spans="1:6" x14ac:dyDescent="0.2">
      <c r="A951" s="1" t="s">
        <v>960</v>
      </c>
      <c r="B951" s="1" t="s">
        <v>7</v>
      </c>
      <c r="C951" s="1" t="s">
        <v>17</v>
      </c>
      <c r="D951" s="1">
        <v>19</v>
      </c>
      <c r="E951" s="1">
        <v>9.06</v>
      </c>
      <c r="F951" s="1">
        <v>4</v>
      </c>
    </row>
    <row r="952" spans="1:6" x14ac:dyDescent="0.2">
      <c r="A952" s="1" t="s">
        <v>961</v>
      </c>
      <c r="B952" s="1" t="s">
        <v>10</v>
      </c>
      <c r="C952" s="1" t="s">
        <v>17</v>
      </c>
      <c r="D952" s="1">
        <v>23</v>
      </c>
      <c r="E952" s="1">
        <v>8.5299999999999994</v>
      </c>
      <c r="F952" s="1">
        <v>4</v>
      </c>
    </row>
    <row r="953" spans="1:6" x14ac:dyDescent="0.2">
      <c r="A953" s="1" t="s">
        <v>962</v>
      </c>
      <c r="B953" s="1" t="s">
        <v>31</v>
      </c>
      <c r="C953" s="1" t="s">
        <v>17</v>
      </c>
      <c r="D953" s="1">
        <v>20</v>
      </c>
      <c r="E953" s="1">
        <v>9.84</v>
      </c>
      <c r="F953" s="1">
        <v>1</v>
      </c>
    </row>
    <row r="954" spans="1:6" x14ac:dyDescent="0.2">
      <c r="A954" s="1" t="s">
        <v>963</v>
      </c>
      <c r="B954" s="1" t="s">
        <v>7</v>
      </c>
      <c r="C954" s="1" t="s">
        <v>17</v>
      </c>
      <c r="D954" s="1">
        <v>22</v>
      </c>
      <c r="E954" s="1">
        <v>9.1300000000000008</v>
      </c>
      <c r="F954" s="1">
        <v>5</v>
      </c>
    </row>
    <row r="955" spans="1:6" x14ac:dyDescent="0.2">
      <c r="A955" s="1" t="s">
        <v>964</v>
      </c>
      <c r="B955" s="1" t="s">
        <v>12</v>
      </c>
      <c r="C955" s="1" t="s">
        <v>17</v>
      </c>
      <c r="D955" s="1">
        <v>22</v>
      </c>
      <c r="E955" s="1">
        <v>9.52</v>
      </c>
      <c r="F955" s="1">
        <v>5</v>
      </c>
    </row>
    <row r="956" spans="1:6" x14ac:dyDescent="0.2">
      <c r="A956" s="1" t="s">
        <v>965</v>
      </c>
      <c r="B956" s="1" t="s">
        <v>7</v>
      </c>
      <c r="C956" s="1" t="s">
        <v>8</v>
      </c>
      <c r="D956" s="1">
        <v>23</v>
      </c>
      <c r="E956" s="1">
        <v>9.67</v>
      </c>
      <c r="F956" s="1">
        <v>4</v>
      </c>
    </row>
    <row r="957" spans="1:6" x14ac:dyDescent="0.2">
      <c r="A957" s="1" t="s">
        <v>966</v>
      </c>
      <c r="B957" s="1" t="s">
        <v>10</v>
      </c>
      <c r="C957" s="1" t="s">
        <v>17</v>
      </c>
      <c r="D957" s="1">
        <v>19</v>
      </c>
      <c r="E957" s="1">
        <v>9.01</v>
      </c>
      <c r="F957" s="1">
        <v>1</v>
      </c>
    </row>
    <row r="958" spans="1:6" x14ac:dyDescent="0.2">
      <c r="A958" s="1" t="s">
        <v>967</v>
      </c>
      <c r="B958" s="1" t="s">
        <v>31</v>
      </c>
      <c r="C958" s="1" t="s">
        <v>17</v>
      </c>
      <c r="D958" s="1">
        <v>22</v>
      </c>
      <c r="E958" s="1">
        <v>8.3699999999999992</v>
      </c>
      <c r="F958" s="1">
        <v>5</v>
      </c>
    </row>
    <row r="959" spans="1:6" x14ac:dyDescent="0.2">
      <c r="A959" s="1" t="s">
        <v>968</v>
      </c>
      <c r="B959" s="1" t="s">
        <v>31</v>
      </c>
      <c r="C959" s="1" t="s">
        <v>17</v>
      </c>
      <c r="D959" s="1">
        <v>19</v>
      </c>
      <c r="E959" s="1">
        <v>5.03</v>
      </c>
      <c r="F959" s="1">
        <v>1</v>
      </c>
    </row>
    <row r="960" spans="1:6" x14ac:dyDescent="0.2">
      <c r="A960" s="1" t="s">
        <v>969</v>
      </c>
      <c r="B960" s="1" t="s">
        <v>10</v>
      </c>
      <c r="C960" s="1" t="s">
        <v>17</v>
      </c>
      <c r="D960" s="1">
        <v>22</v>
      </c>
      <c r="E960" s="1">
        <v>7.33</v>
      </c>
      <c r="F960" s="1">
        <v>1</v>
      </c>
    </row>
    <row r="961" spans="1:6" x14ac:dyDescent="0.2">
      <c r="A961" s="1" t="s">
        <v>970</v>
      </c>
      <c r="B961" s="1" t="s">
        <v>10</v>
      </c>
      <c r="C961" s="1" t="s">
        <v>17</v>
      </c>
      <c r="D961" s="1">
        <v>22</v>
      </c>
      <c r="E961" s="1">
        <v>7.86</v>
      </c>
      <c r="F961" s="1">
        <v>3</v>
      </c>
    </row>
    <row r="962" spans="1:6" x14ac:dyDescent="0.2">
      <c r="A962" s="1" t="s">
        <v>971</v>
      </c>
      <c r="B962" s="1" t="s">
        <v>12</v>
      </c>
      <c r="C962" s="1" t="s">
        <v>8</v>
      </c>
      <c r="D962" s="1">
        <v>19</v>
      </c>
      <c r="E962" s="1">
        <v>6.52</v>
      </c>
      <c r="F962" s="1">
        <v>5</v>
      </c>
    </row>
    <row r="963" spans="1:6" x14ac:dyDescent="0.2">
      <c r="A963" s="1" t="s">
        <v>972</v>
      </c>
      <c r="B963" s="1" t="s">
        <v>31</v>
      </c>
      <c r="C963" s="1" t="s">
        <v>8</v>
      </c>
      <c r="D963" s="1">
        <v>21</v>
      </c>
      <c r="E963" s="1">
        <v>6.59</v>
      </c>
      <c r="F963" s="1">
        <v>5</v>
      </c>
    </row>
    <row r="964" spans="1:6" x14ac:dyDescent="0.2">
      <c r="A964" s="1" t="s">
        <v>973</v>
      </c>
      <c r="B964" s="1" t="s">
        <v>7</v>
      </c>
      <c r="C964" s="1" t="s">
        <v>8</v>
      </c>
      <c r="D964" s="1">
        <v>22</v>
      </c>
      <c r="E964" s="1">
        <v>9.81</v>
      </c>
      <c r="F964" s="1">
        <v>3</v>
      </c>
    </row>
    <row r="965" spans="1:6" x14ac:dyDescent="0.2">
      <c r="A965" s="1" t="s">
        <v>974</v>
      </c>
      <c r="B965" s="1" t="s">
        <v>16</v>
      </c>
      <c r="C965" s="1" t="s">
        <v>17</v>
      </c>
      <c r="D965" s="1">
        <v>20</v>
      </c>
      <c r="E965" s="1">
        <v>9.4600000000000009</v>
      </c>
      <c r="F965" s="1">
        <v>4</v>
      </c>
    </row>
    <row r="966" spans="1:6" x14ac:dyDescent="0.2">
      <c r="A966" s="1" t="s">
        <v>975</v>
      </c>
      <c r="B966" s="1" t="s">
        <v>16</v>
      </c>
      <c r="C966" s="1" t="s">
        <v>17</v>
      </c>
      <c r="D966" s="1">
        <v>23</v>
      </c>
      <c r="E966" s="1">
        <v>9.25</v>
      </c>
      <c r="F966" s="1">
        <v>3</v>
      </c>
    </row>
    <row r="967" spans="1:6" x14ac:dyDescent="0.2">
      <c r="A967" s="1" t="s">
        <v>976</v>
      </c>
      <c r="B967" s="1" t="s">
        <v>10</v>
      </c>
      <c r="C967" s="1" t="s">
        <v>17</v>
      </c>
      <c r="D967" s="1">
        <v>21</v>
      </c>
      <c r="E967" s="1">
        <v>7.03</v>
      </c>
      <c r="F967" s="1">
        <v>5</v>
      </c>
    </row>
    <row r="968" spans="1:6" x14ac:dyDescent="0.2">
      <c r="A968" s="1" t="s">
        <v>977</v>
      </c>
      <c r="B968" s="1" t="s">
        <v>12</v>
      </c>
      <c r="C968" s="1" t="s">
        <v>17</v>
      </c>
      <c r="D968" s="1">
        <v>19</v>
      </c>
      <c r="E968" s="1">
        <v>5.07</v>
      </c>
      <c r="F968" s="1">
        <v>5</v>
      </c>
    </row>
    <row r="969" spans="1:6" x14ac:dyDescent="0.2">
      <c r="A969" s="1" t="s">
        <v>978</v>
      </c>
      <c r="B969" s="1" t="s">
        <v>16</v>
      </c>
      <c r="C969" s="1" t="s">
        <v>8</v>
      </c>
      <c r="D969" s="1">
        <v>21</v>
      </c>
      <c r="E969" s="1">
        <v>5.4</v>
      </c>
      <c r="F969" s="1">
        <v>4</v>
      </c>
    </row>
    <row r="970" spans="1:6" x14ac:dyDescent="0.2">
      <c r="A970" s="1" t="s">
        <v>979</v>
      </c>
      <c r="B970" s="1" t="s">
        <v>31</v>
      </c>
      <c r="C970" s="1" t="s">
        <v>17</v>
      </c>
      <c r="D970" s="1">
        <v>18</v>
      </c>
      <c r="E970" s="1">
        <v>6.56</v>
      </c>
      <c r="F970" s="1">
        <v>3</v>
      </c>
    </row>
    <row r="971" spans="1:6" x14ac:dyDescent="0.2">
      <c r="A971" s="1" t="s">
        <v>980</v>
      </c>
      <c r="B971" s="1" t="s">
        <v>10</v>
      </c>
      <c r="C971" s="1" t="s">
        <v>17</v>
      </c>
      <c r="D971" s="1">
        <v>18</v>
      </c>
      <c r="E971" s="1">
        <v>5.08</v>
      </c>
      <c r="F971" s="1">
        <v>0</v>
      </c>
    </row>
    <row r="972" spans="1:6" x14ac:dyDescent="0.2">
      <c r="A972" s="1" t="s">
        <v>981</v>
      </c>
      <c r="B972" s="1" t="s">
        <v>7</v>
      </c>
      <c r="C972" s="1" t="s">
        <v>17</v>
      </c>
      <c r="D972" s="1">
        <v>22</v>
      </c>
      <c r="E972" s="1">
        <v>5.09</v>
      </c>
      <c r="F972" s="1">
        <v>0</v>
      </c>
    </row>
    <row r="973" spans="1:6" x14ac:dyDescent="0.2">
      <c r="A973" s="1" t="s">
        <v>982</v>
      </c>
      <c r="B973" s="1" t="s">
        <v>10</v>
      </c>
      <c r="C973" s="1" t="s">
        <v>17</v>
      </c>
      <c r="D973" s="1">
        <v>22</v>
      </c>
      <c r="E973" s="1">
        <v>9.58</v>
      </c>
      <c r="F973" s="1">
        <v>4</v>
      </c>
    </row>
    <row r="974" spans="1:6" x14ac:dyDescent="0.2">
      <c r="A974" s="1" t="s">
        <v>983</v>
      </c>
      <c r="B974" s="1" t="s">
        <v>7</v>
      </c>
      <c r="C974" s="1" t="s">
        <v>8</v>
      </c>
      <c r="D974" s="1">
        <v>20</v>
      </c>
      <c r="E974" s="1">
        <v>8.5299999999999994</v>
      </c>
      <c r="F974" s="1">
        <v>3</v>
      </c>
    </row>
    <row r="975" spans="1:6" x14ac:dyDescent="0.2">
      <c r="A975" s="1" t="s">
        <v>984</v>
      </c>
      <c r="B975" s="1" t="s">
        <v>10</v>
      </c>
      <c r="C975" s="1" t="s">
        <v>17</v>
      </c>
      <c r="D975" s="1">
        <v>23</v>
      </c>
      <c r="E975" s="1">
        <v>6.54</v>
      </c>
      <c r="F975" s="1">
        <v>3</v>
      </c>
    </row>
    <row r="976" spans="1:6" x14ac:dyDescent="0.2">
      <c r="A976" s="1" t="s">
        <v>985</v>
      </c>
      <c r="B976" s="1" t="s">
        <v>10</v>
      </c>
      <c r="C976" s="1" t="s">
        <v>17</v>
      </c>
      <c r="D976" s="1">
        <v>21</v>
      </c>
      <c r="E976" s="1">
        <v>5.66</v>
      </c>
      <c r="F976" s="1">
        <v>1</v>
      </c>
    </row>
    <row r="977" spans="1:6" x14ac:dyDescent="0.2">
      <c r="A977" s="1" t="s">
        <v>986</v>
      </c>
      <c r="B977" s="1" t="s">
        <v>10</v>
      </c>
      <c r="C977" s="1" t="s">
        <v>17</v>
      </c>
      <c r="D977" s="1">
        <v>18</v>
      </c>
      <c r="E977" s="1">
        <v>7.56</v>
      </c>
      <c r="F977" s="1">
        <v>5</v>
      </c>
    </row>
    <row r="978" spans="1:6" x14ac:dyDescent="0.2">
      <c r="A978" s="1" t="s">
        <v>987</v>
      </c>
      <c r="B978" s="1" t="s">
        <v>7</v>
      </c>
      <c r="C978" s="1" t="s">
        <v>17</v>
      </c>
      <c r="D978" s="1">
        <v>22</v>
      </c>
      <c r="E978" s="1">
        <v>5.03</v>
      </c>
      <c r="F978" s="1">
        <v>2</v>
      </c>
    </row>
    <row r="979" spans="1:6" x14ac:dyDescent="0.2">
      <c r="A979" s="1" t="s">
        <v>988</v>
      </c>
      <c r="B979" s="1" t="s">
        <v>7</v>
      </c>
      <c r="C979" s="1" t="s">
        <v>8</v>
      </c>
      <c r="D979" s="1">
        <v>23</v>
      </c>
      <c r="E979" s="1">
        <v>9.69</v>
      </c>
      <c r="F979" s="1">
        <v>4</v>
      </c>
    </row>
    <row r="980" spans="1:6" x14ac:dyDescent="0.2">
      <c r="A980" s="1" t="s">
        <v>989</v>
      </c>
      <c r="B980" s="1" t="s">
        <v>10</v>
      </c>
      <c r="C980" s="1" t="s">
        <v>8</v>
      </c>
      <c r="D980" s="1">
        <v>21</v>
      </c>
      <c r="E980" s="1">
        <v>7.07</v>
      </c>
      <c r="F980" s="1">
        <v>2</v>
      </c>
    </row>
    <row r="981" spans="1:6" x14ac:dyDescent="0.2">
      <c r="A981" s="1" t="s">
        <v>990</v>
      </c>
      <c r="B981" s="1" t="s">
        <v>16</v>
      </c>
      <c r="C981" s="1" t="s">
        <v>8</v>
      </c>
      <c r="D981" s="1">
        <v>22</v>
      </c>
      <c r="E981" s="1">
        <v>7.01</v>
      </c>
      <c r="F981" s="1">
        <v>2</v>
      </c>
    </row>
    <row r="982" spans="1:6" x14ac:dyDescent="0.2">
      <c r="A982" s="1" t="s">
        <v>991</v>
      </c>
      <c r="B982" s="1" t="s">
        <v>12</v>
      </c>
      <c r="C982" s="1" t="s">
        <v>8</v>
      </c>
      <c r="D982" s="1">
        <v>22</v>
      </c>
      <c r="E982" s="1">
        <v>6.95</v>
      </c>
      <c r="F982" s="1">
        <v>4</v>
      </c>
    </row>
    <row r="983" spans="1:6" x14ac:dyDescent="0.2">
      <c r="A983" s="1" t="s">
        <v>992</v>
      </c>
      <c r="B983" s="1" t="s">
        <v>12</v>
      </c>
      <c r="C983" s="1" t="s">
        <v>17</v>
      </c>
      <c r="D983" s="1">
        <v>18</v>
      </c>
      <c r="E983" s="1">
        <v>5.35</v>
      </c>
      <c r="F983" s="1">
        <v>3</v>
      </c>
    </row>
    <row r="984" spans="1:6" x14ac:dyDescent="0.2">
      <c r="A984" s="1" t="s">
        <v>993</v>
      </c>
      <c r="B984" s="1" t="s">
        <v>12</v>
      </c>
      <c r="C984" s="1" t="s">
        <v>8</v>
      </c>
      <c r="D984" s="1">
        <v>18</v>
      </c>
      <c r="E984" s="1">
        <v>8.19</v>
      </c>
      <c r="F984" s="1">
        <v>4</v>
      </c>
    </row>
    <row r="985" spans="1:6" x14ac:dyDescent="0.2">
      <c r="A985" s="1" t="s">
        <v>994</v>
      </c>
      <c r="B985" s="1" t="s">
        <v>7</v>
      </c>
      <c r="C985" s="1" t="s">
        <v>17</v>
      </c>
      <c r="D985" s="1">
        <v>22</v>
      </c>
      <c r="E985" s="1">
        <v>8.67</v>
      </c>
      <c r="F985" s="1">
        <v>2</v>
      </c>
    </row>
    <row r="986" spans="1:6" x14ac:dyDescent="0.2">
      <c r="A986" s="1" t="s">
        <v>995</v>
      </c>
      <c r="B986" s="1" t="s">
        <v>7</v>
      </c>
      <c r="C986" s="1" t="s">
        <v>17</v>
      </c>
      <c r="D986" s="1">
        <v>19</v>
      </c>
      <c r="E986" s="1">
        <v>8.3800000000000008</v>
      </c>
      <c r="F986" s="1">
        <v>5</v>
      </c>
    </row>
    <row r="987" spans="1:6" x14ac:dyDescent="0.2">
      <c r="A987" s="1" t="s">
        <v>996</v>
      </c>
      <c r="B987" s="1" t="s">
        <v>16</v>
      </c>
      <c r="C987" s="1" t="s">
        <v>8</v>
      </c>
      <c r="D987" s="1">
        <v>22</v>
      </c>
      <c r="E987" s="1">
        <v>5.69</v>
      </c>
      <c r="F987" s="1">
        <v>5</v>
      </c>
    </row>
    <row r="988" spans="1:6" x14ac:dyDescent="0.2">
      <c r="A988" s="1" t="s">
        <v>997</v>
      </c>
      <c r="B988" s="1" t="s">
        <v>12</v>
      </c>
      <c r="C988" s="1" t="s">
        <v>17</v>
      </c>
      <c r="D988" s="1">
        <v>23</v>
      </c>
      <c r="E988" s="1">
        <v>7.89</v>
      </c>
      <c r="F988" s="1">
        <v>5</v>
      </c>
    </row>
    <row r="989" spans="1:6" x14ac:dyDescent="0.2">
      <c r="A989" s="1" t="s">
        <v>998</v>
      </c>
      <c r="B989" s="1" t="s">
        <v>12</v>
      </c>
      <c r="C989" s="1" t="s">
        <v>8</v>
      </c>
      <c r="D989" s="1">
        <v>22</v>
      </c>
      <c r="E989" s="1">
        <v>7.85</v>
      </c>
      <c r="F989" s="1">
        <v>3</v>
      </c>
    </row>
    <row r="990" spans="1:6" x14ac:dyDescent="0.2">
      <c r="A990" s="1" t="s">
        <v>999</v>
      </c>
      <c r="B990" s="1" t="s">
        <v>10</v>
      </c>
      <c r="C990" s="1" t="s">
        <v>17</v>
      </c>
      <c r="D990" s="1">
        <v>20</v>
      </c>
      <c r="E990" s="1">
        <v>9.34</v>
      </c>
      <c r="F990" s="1">
        <v>0</v>
      </c>
    </row>
    <row r="991" spans="1:6" x14ac:dyDescent="0.2">
      <c r="A991" s="1" t="s">
        <v>1000</v>
      </c>
      <c r="B991" s="1" t="s">
        <v>7</v>
      </c>
      <c r="C991" s="1" t="s">
        <v>8</v>
      </c>
      <c r="D991" s="1">
        <v>20</v>
      </c>
      <c r="E991" s="1">
        <v>6.9</v>
      </c>
      <c r="F991" s="1">
        <v>4</v>
      </c>
    </row>
    <row r="992" spans="1:6" x14ac:dyDescent="0.2">
      <c r="A992" s="1" t="s">
        <v>1001</v>
      </c>
      <c r="B992" s="1" t="s">
        <v>12</v>
      </c>
      <c r="C992" s="1" t="s">
        <v>8</v>
      </c>
      <c r="D992" s="1">
        <v>20</v>
      </c>
      <c r="E992" s="1">
        <v>6.86</v>
      </c>
      <c r="F992" s="1">
        <v>5</v>
      </c>
    </row>
    <row r="993" spans="1:6" x14ac:dyDescent="0.2">
      <c r="A993" s="1" t="s">
        <v>1002</v>
      </c>
      <c r="B993" s="1" t="s">
        <v>16</v>
      </c>
      <c r="C993" s="1" t="s">
        <v>8</v>
      </c>
      <c r="D993" s="1">
        <v>19</v>
      </c>
      <c r="E993" s="1">
        <v>8.09</v>
      </c>
      <c r="F993" s="1">
        <v>4</v>
      </c>
    </row>
    <row r="994" spans="1:6" x14ac:dyDescent="0.2">
      <c r="A994" s="1" t="s">
        <v>1003</v>
      </c>
      <c r="B994" s="1" t="s">
        <v>16</v>
      </c>
      <c r="C994" s="1" t="s">
        <v>8</v>
      </c>
      <c r="D994" s="1">
        <v>19</v>
      </c>
      <c r="E994" s="1">
        <v>8.17</v>
      </c>
      <c r="F994" s="1">
        <v>5</v>
      </c>
    </row>
    <row r="995" spans="1:6" x14ac:dyDescent="0.2">
      <c r="A995" s="1" t="s">
        <v>1004</v>
      </c>
      <c r="B995" s="1" t="s">
        <v>12</v>
      </c>
      <c r="C995" s="1" t="s">
        <v>8</v>
      </c>
      <c r="D995" s="1">
        <v>22</v>
      </c>
      <c r="E995" s="1">
        <v>7.35</v>
      </c>
      <c r="F995" s="1">
        <v>3</v>
      </c>
    </row>
    <row r="996" spans="1:6" x14ac:dyDescent="0.2">
      <c r="A996" s="1" t="s">
        <v>1005</v>
      </c>
      <c r="B996" s="1" t="s">
        <v>7</v>
      </c>
      <c r="C996" s="1" t="s">
        <v>17</v>
      </c>
      <c r="D996" s="1">
        <v>20</v>
      </c>
      <c r="E996" s="1">
        <v>7.22</v>
      </c>
      <c r="F996" s="1">
        <v>0</v>
      </c>
    </row>
    <row r="997" spans="1:6" x14ac:dyDescent="0.2">
      <c r="A997" s="1" t="s">
        <v>1006</v>
      </c>
      <c r="B997" s="1" t="s">
        <v>16</v>
      </c>
      <c r="C997" s="1" t="s">
        <v>17</v>
      </c>
      <c r="D997" s="1">
        <v>19</v>
      </c>
      <c r="E997" s="1">
        <v>7.47</v>
      </c>
      <c r="F997" s="1">
        <v>0</v>
      </c>
    </row>
    <row r="998" spans="1:6" x14ac:dyDescent="0.2">
      <c r="A998" s="1" t="s">
        <v>1007</v>
      </c>
      <c r="B998" s="1" t="s">
        <v>10</v>
      </c>
      <c r="C998" s="1" t="s">
        <v>17</v>
      </c>
      <c r="D998" s="1">
        <v>18</v>
      </c>
      <c r="E998" s="1">
        <v>9.31</v>
      </c>
      <c r="F998" s="1">
        <v>5</v>
      </c>
    </row>
    <row r="999" spans="1:6" x14ac:dyDescent="0.2">
      <c r="A999" s="1" t="s">
        <v>1008</v>
      </c>
      <c r="B999" s="1" t="s">
        <v>16</v>
      </c>
      <c r="C999" s="1" t="s">
        <v>8</v>
      </c>
      <c r="D999" s="1">
        <v>22</v>
      </c>
      <c r="E999" s="1">
        <v>7.31</v>
      </c>
      <c r="F999" s="1">
        <v>3</v>
      </c>
    </row>
    <row r="1000" spans="1:6" x14ac:dyDescent="0.2">
      <c r="A1000" s="1" t="s">
        <v>1009</v>
      </c>
      <c r="B1000" s="1" t="s">
        <v>31</v>
      </c>
      <c r="C1000" s="1" t="s">
        <v>17</v>
      </c>
      <c r="D1000" s="1">
        <v>23</v>
      </c>
      <c r="E1000" s="1">
        <v>9.6999999999999993</v>
      </c>
      <c r="F1000" s="1">
        <v>1</v>
      </c>
    </row>
    <row r="1001" spans="1:6" x14ac:dyDescent="0.2">
      <c r="A1001" s="1" t="s">
        <v>1010</v>
      </c>
      <c r="B1001" s="1" t="s">
        <v>31</v>
      </c>
      <c r="C1001" s="1" t="s">
        <v>8</v>
      </c>
      <c r="D1001" s="1">
        <v>21</v>
      </c>
      <c r="E1001" s="1">
        <v>7.52</v>
      </c>
      <c r="F1001" s="1">
        <v>4</v>
      </c>
    </row>
    <row r="1002" spans="1:6" x14ac:dyDescent="0.2">
      <c r="A1002" s="1" t="s">
        <v>1011</v>
      </c>
      <c r="B1002" s="1" t="s">
        <v>7</v>
      </c>
      <c r="C1002" s="1" t="s">
        <v>17</v>
      </c>
      <c r="D1002" s="1">
        <v>22</v>
      </c>
      <c r="E1002" s="1">
        <v>9.75</v>
      </c>
      <c r="F1002" s="1">
        <v>4</v>
      </c>
    </row>
    <row r="1003" spans="1:6" x14ac:dyDescent="0.2">
      <c r="A1003" s="1" t="s">
        <v>1012</v>
      </c>
      <c r="B1003" s="1" t="s">
        <v>12</v>
      </c>
      <c r="C1003" s="1" t="s">
        <v>17</v>
      </c>
      <c r="D1003" s="1">
        <v>21</v>
      </c>
      <c r="E1003" s="1">
        <v>9.16</v>
      </c>
      <c r="F1003" s="1">
        <v>2</v>
      </c>
    </row>
  </sheetData>
  <dataConsolidate/>
  <mergeCells count="1">
    <mergeCell ref="A1:F2"/>
  </mergeCells>
  <phoneticPr fontId="7" type="noConversion"/>
  <dataValidations count="2">
    <dataValidation type="list" allowBlank="1" showInputMessage="1" showErrorMessage="1" sqref="C4:C1003" xr:uid="{929B17F6-1DF1-B54A-924B-223E253FEFB1}">
      <formula1>"Male,Female"</formula1>
    </dataValidation>
    <dataValidation type="list" allowBlank="1" showInputMessage="1" showErrorMessage="1" sqref="B4:B1003" xr:uid="{AE6872FD-5222-1847-B9AA-E0ABA2636901}">
      <formula1>"Civil,Information Technology,Mechanical,Electronics,Computer Science"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8111-67E0-434C-9268-E01971708470}">
  <dimension ref="A1:G1003"/>
  <sheetViews>
    <sheetView workbookViewId="0">
      <selection activeCell="B4" sqref="B4"/>
    </sheetView>
  </sheetViews>
  <sheetFormatPr baseColWidth="10" defaultRowHeight="16" x14ac:dyDescent="0.2"/>
  <cols>
    <col min="1" max="1" width="16.6640625" bestFit="1" customWidth="1"/>
    <col min="2" max="2" width="20" bestFit="1" customWidth="1"/>
    <col min="3" max="3" width="16.83203125" bestFit="1" customWidth="1"/>
    <col min="4" max="4" width="15.5" bestFit="1" customWidth="1"/>
    <col min="5" max="5" width="19.1640625" bestFit="1" customWidth="1"/>
    <col min="6" max="6" width="18.1640625" bestFit="1" customWidth="1"/>
    <col min="7" max="7" width="27.33203125" bestFit="1" customWidth="1"/>
  </cols>
  <sheetData>
    <row r="1" spans="1:7" x14ac:dyDescent="0.2">
      <c r="A1" s="12" t="s">
        <v>1043</v>
      </c>
      <c r="B1" s="12"/>
      <c r="C1" s="12"/>
      <c r="D1" s="12"/>
      <c r="E1" s="12"/>
      <c r="F1" s="12"/>
      <c r="G1" s="12"/>
    </row>
    <row r="2" spans="1:7" x14ac:dyDescent="0.2">
      <c r="A2" s="12"/>
      <c r="B2" s="12"/>
      <c r="C2" s="12"/>
      <c r="D2" s="12"/>
      <c r="E2" s="12"/>
      <c r="F2" s="12"/>
      <c r="G2" s="12"/>
    </row>
    <row r="3" spans="1:7" ht="19" x14ac:dyDescent="0.2">
      <c r="A3" s="2" t="s">
        <v>0</v>
      </c>
      <c r="B3" s="6" t="s">
        <v>1</v>
      </c>
      <c r="C3" s="2" t="s">
        <v>1013</v>
      </c>
      <c r="D3" s="2" t="s">
        <v>1014</v>
      </c>
      <c r="E3" s="2" t="s">
        <v>1015</v>
      </c>
      <c r="F3" s="2" t="s">
        <v>1016</v>
      </c>
      <c r="G3" s="2" t="s">
        <v>1017</v>
      </c>
    </row>
    <row r="4" spans="1:7" x14ac:dyDescent="0.2">
      <c r="A4" s="1" t="s">
        <v>6</v>
      </c>
      <c r="B4" s="1" t="str">
        <f>VLOOKUP(student_skills[[#This Row],[Student_ID]],student_data[],2,0)</f>
        <v>Civil</v>
      </c>
      <c r="C4" s="1">
        <v>7</v>
      </c>
      <c r="D4" s="1">
        <v>1</v>
      </c>
      <c r="E4" s="1">
        <v>10</v>
      </c>
      <c r="F4" s="1">
        <v>8</v>
      </c>
      <c r="G4" s="1">
        <v>2</v>
      </c>
    </row>
    <row r="5" spans="1:7" x14ac:dyDescent="0.2">
      <c r="A5" s="1" t="s">
        <v>9</v>
      </c>
      <c r="B5" s="1" t="str">
        <f>VLOOKUP(student_skills[[#This Row],[Student_ID]],student_data[],2,0)</f>
        <v>Information Technology</v>
      </c>
      <c r="C5" s="1">
        <v>4</v>
      </c>
      <c r="D5" s="1">
        <v>8</v>
      </c>
      <c r="E5" s="1">
        <v>6</v>
      </c>
      <c r="F5" s="1">
        <v>9</v>
      </c>
      <c r="G5" s="1">
        <v>5</v>
      </c>
    </row>
    <row r="6" spans="1:7" x14ac:dyDescent="0.2">
      <c r="A6" s="1" t="s">
        <v>11</v>
      </c>
      <c r="B6" s="1" t="str">
        <f>VLOOKUP(student_skills[[#This Row],[Student_ID]],student_data[],2,0)</f>
        <v>Mechanical</v>
      </c>
      <c r="C6" s="1">
        <v>8</v>
      </c>
      <c r="D6" s="1">
        <v>4</v>
      </c>
      <c r="E6" s="1">
        <v>7</v>
      </c>
      <c r="F6" s="1">
        <v>6</v>
      </c>
      <c r="G6" s="1">
        <v>2</v>
      </c>
    </row>
    <row r="7" spans="1:7" x14ac:dyDescent="0.2">
      <c r="A7" s="1" t="s">
        <v>13</v>
      </c>
      <c r="B7" s="1" t="str">
        <f>VLOOKUP(student_skills[[#This Row],[Student_ID]],student_data[],2,0)</f>
        <v>Information Technology</v>
      </c>
      <c r="C7" s="1">
        <v>5</v>
      </c>
      <c r="D7" s="1">
        <v>4</v>
      </c>
      <c r="E7" s="1">
        <v>9</v>
      </c>
      <c r="F7" s="1">
        <v>5</v>
      </c>
      <c r="G7" s="1">
        <v>2</v>
      </c>
    </row>
    <row r="8" spans="1:7" x14ac:dyDescent="0.2">
      <c r="A8" s="1" t="s">
        <v>14</v>
      </c>
      <c r="B8" s="1" t="str">
        <f>VLOOKUP(student_skills[[#This Row],[Student_ID]],student_data[],2,0)</f>
        <v>Information Technology</v>
      </c>
      <c r="C8" s="1">
        <v>7</v>
      </c>
      <c r="D8" s="1">
        <v>5</v>
      </c>
      <c r="E8" s="1">
        <v>1</v>
      </c>
      <c r="F8" s="1">
        <v>6</v>
      </c>
      <c r="G8" s="1">
        <v>6</v>
      </c>
    </row>
    <row r="9" spans="1:7" x14ac:dyDescent="0.2">
      <c r="A9" s="1" t="s">
        <v>15</v>
      </c>
      <c r="B9" s="1" t="str">
        <f>VLOOKUP(student_skills[[#This Row],[Student_ID]],student_data[],2,0)</f>
        <v>Electronics</v>
      </c>
      <c r="C9" s="1">
        <v>10</v>
      </c>
      <c r="D9" s="1">
        <v>8</v>
      </c>
      <c r="E9" s="1">
        <v>7</v>
      </c>
      <c r="F9" s="1">
        <v>2</v>
      </c>
      <c r="G9" s="1">
        <v>10</v>
      </c>
    </row>
    <row r="10" spans="1:7" x14ac:dyDescent="0.2">
      <c r="A10" s="1" t="s">
        <v>18</v>
      </c>
      <c r="B10" s="1" t="str">
        <f>VLOOKUP(student_skills[[#This Row],[Student_ID]],student_data[],2,0)</f>
        <v>Mechanical</v>
      </c>
      <c r="C10" s="1">
        <v>3</v>
      </c>
      <c r="D10" s="1">
        <v>5</v>
      </c>
      <c r="E10" s="1">
        <v>8</v>
      </c>
      <c r="F10" s="1">
        <v>4</v>
      </c>
      <c r="G10" s="1">
        <v>9</v>
      </c>
    </row>
    <row r="11" spans="1:7" x14ac:dyDescent="0.2">
      <c r="A11" s="1" t="s">
        <v>19</v>
      </c>
      <c r="B11" s="1" t="str">
        <f>VLOOKUP(student_skills[[#This Row],[Student_ID]],student_data[],2,0)</f>
        <v>Mechanical</v>
      </c>
      <c r="C11" s="1">
        <v>7</v>
      </c>
      <c r="D11" s="1">
        <v>8</v>
      </c>
      <c r="E11" s="1">
        <v>3</v>
      </c>
      <c r="F11" s="1">
        <v>3</v>
      </c>
      <c r="G11" s="1">
        <v>4</v>
      </c>
    </row>
    <row r="12" spans="1:7" x14ac:dyDescent="0.2">
      <c r="A12" s="1" t="s">
        <v>20</v>
      </c>
      <c r="B12" s="1" t="str">
        <f>VLOOKUP(student_skills[[#This Row],[Student_ID]],student_data[],2,0)</f>
        <v>Mechanical</v>
      </c>
      <c r="C12" s="1">
        <v>8</v>
      </c>
      <c r="D12" s="1">
        <v>10</v>
      </c>
      <c r="E12" s="1">
        <v>4</v>
      </c>
      <c r="F12" s="1">
        <v>7</v>
      </c>
      <c r="G12" s="1">
        <v>6</v>
      </c>
    </row>
    <row r="13" spans="1:7" x14ac:dyDescent="0.2">
      <c r="A13" s="1" t="s">
        <v>21</v>
      </c>
      <c r="B13" s="1" t="str">
        <f>VLOOKUP(student_skills[[#This Row],[Student_ID]],student_data[],2,0)</f>
        <v>Information Technology</v>
      </c>
      <c r="C13" s="1">
        <v>5</v>
      </c>
      <c r="D13" s="1">
        <v>1</v>
      </c>
      <c r="E13" s="1">
        <v>10</v>
      </c>
      <c r="F13" s="1">
        <v>9</v>
      </c>
      <c r="G13" s="1">
        <v>7</v>
      </c>
    </row>
    <row r="14" spans="1:7" x14ac:dyDescent="0.2">
      <c r="A14" s="1" t="s">
        <v>22</v>
      </c>
      <c r="B14" s="1" t="str">
        <f>VLOOKUP(student_skills[[#This Row],[Student_ID]],student_data[],2,0)</f>
        <v>Civil</v>
      </c>
      <c r="C14" s="1">
        <v>4</v>
      </c>
      <c r="D14" s="1">
        <v>10</v>
      </c>
      <c r="E14" s="1">
        <v>6</v>
      </c>
      <c r="F14" s="1">
        <v>5</v>
      </c>
      <c r="G14" s="1">
        <v>6</v>
      </c>
    </row>
    <row r="15" spans="1:7" x14ac:dyDescent="0.2">
      <c r="A15" s="1" t="s">
        <v>23</v>
      </c>
      <c r="B15" s="1" t="str">
        <f>VLOOKUP(student_skills[[#This Row],[Student_ID]],student_data[],2,0)</f>
        <v>Mechanical</v>
      </c>
      <c r="C15" s="1">
        <v>8</v>
      </c>
      <c r="D15" s="1">
        <v>9</v>
      </c>
      <c r="E15" s="1">
        <v>10</v>
      </c>
      <c r="F15" s="1">
        <v>6</v>
      </c>
      <c r="G15" s="1">
        <v>8</v>
      </c>
    </row>
    <row r="16" spans="1:7" x14ac:dyDescent="0.2">
      <c r="A16" s="1" t="s">
        <v>24</v>
      </c>
      <c r="B16" s="1" t="str">
        <f>VLOOKUP(student_skills[[#This Row],[Student_ID]],student_data[],2,0)</f>
        <v>Information Technology</v>
      </c>
      <c r="C16" s="1">
        <v>8</v>
      </c>
      <c r="D16" s="1">
        <v>6</v>
      </c>
      <c r="E16" s="1">
        <v>7</v>
      </c>
      <c r="F16" s="1">
        <v>10</v>
      </c>
      <c r="G16" s="1">
        <v>4</v>
      </c>
    </row>
    <row r="17" spans="1:7" x14ac:dyDescent="0.2">
      <c r="A17" s="1" t="s">
        <v>25</v>
      </c>
      <c r="B17" s="1" t="str">
        <f>VLOOKUP(student_skills[[#This Row],[Student_ID]],student_data[],2,0)</f>
        <v>Electronics</v>
      </c>
      <c r="C17" s="1">
        <v>3</v>
      </c>
      <c r="D17" s="1">
        <v>3</v>
      </c>
      <c r="E17" s="1">
        <v>4</v>
      </c>
      <c r="F17" s="1">
        <v>2</v>
      </c>
      <c r="G17" s="1">
        <v>1</v>
      </c>
    </row>
    <row r="18" spans="1:7" x14ac:dyDescent="0.2">
      <c r="A18" s="1" t="s">
        <v>26</v>
      </c>
      <c r="B18" s="1" t="str">
        <f>VLOOKUP(student_skills[[#This Row],[Student_ID]],student_data[],2,0)</f>
        <v>Civil</v>
      </c>
      <c r="C18" s="1">
        <v>6</v>
      </c>
      <c r="D18" s="1">
        <v>8</v>
      </c>
      <c r="E18" s="1">
        <v>8</v>
      </c>
      <c r="F18" s="1">
        <v>3</v>
      </c>
      <c r="G18" s="1">
        <v>7</v>
      </c>
    </row>
    <row r="19" spans="1:7" x14ac:dyDescent="0.2">
      <c r="A19" s="1" t="s">
        <v>27</v>
      </c>
      <c r="B19" s="1" t="str">
        <f>VLOOKUP(student_skills[[#This Row],[Student_ID]],student_data[],2,0)</f>
        <v>Electronics</v>
      </c>
      <c r="C19" s="1">
        <v>5</v>
      </c>
      <c r="D19" s="1">
        <v>9</v>
      </c>
      <c r="E19" s="1">
        <v>5</v>
      </c>
      <c r="F19" s="1">
        <v>3</v>
      </c>
      <c r="G19" s="1">
        <v>3</v>
      </c>
    </row>
    <row r="20" spans="1:7" x14ac:dyDescent="0.2">
      <c r="A20" s="1" t="s">
        <v>28</v>
      </c>
      <c r="B20" s="1" t="str">
        <f>VLOOKUP(student_skills[[#This Row],[Student_ID]],student_data[],2,0)</f>
        <v>Civil</v>
      </c>
      <c r="C20" s="1">
        <v>2</v>
      </c>
      <c r="D20" s="1">
        <v>6</v>
      </c>
      <c r="E20" s="1">
        <v>1</v>
      </c>
      <c r="F20" s="1">
        <v>9</v>
      </c>
      <c r="G20" s="1">
        <v>6</v>
      </c>
    </row>
    <row r="21" spans="1:7" x14ac:dyDescent="0.2">
      <c r="A21" s="1" t="s">
        <v>29</v>
      </c>
      <c r="B21" s="1" t="str">
        <f>VLOOKUP(student_skills[[#This Row],[Student_ID]],student_data[],2,0)</f>
        <v>Information Technology</v>
      </c>
      <c r="C21" s="1">
        <v>8</v>
      </c>
      <c r="D21" s="1">
        <v>7</v>
      </c>
      <c r="E21" s="1">
        <v>4</v>
      </c>
      <c r="F21" s="1">
        <v>7</v>
      </c>
      <c r="G21" s="1">
        <v>2</v>
      </c>
    </row>
    <row r="22" spans="1:7" x14ac:dyDescent="0.2">
      <c r="A22" s="1" t="s">
        <v>30</v>
      </c>
      <c r="B22" s="1" t="str">
        <f>VLOOKUP(student_skills[[#This Row],[Student_ID]],student_data[],2,0)</f>
        <v>Computer Science</v>
      </c>
      <c r="C22" s="1">
        <v>6</v>
      </c>
      <c r="D22" s="1">
        <v>1</v>
      </c>
      <c r="E22" s="1">
        <v>3</v>
      </c>
      <c r="F22" s="1">
        <v>8</v>
      </c>
      <c r="G22" s="1">
        <v>9</v>
      </c>
    </row>
    <row r="23" spans="1:7" x14ac:dyDescent="0.2">
      <c r="A23" s="1" t="s">
        <v>32</v>
      </c>
      <c r="B23" s="1" t="str">
        <f>VLOOKUP(student_skills[[#This Row],[Student_ID]],student_data[],2,0)</f>
        <v>Civil</v>
      </c>
      <c r="C23" s="1">
        <v>2</v>
      </c>
      <c r="D23" s="1">
        <v>5</v>
      </c>
      <c r="E23" s="1">
        <v>9</v>
      </c>
      <c r="F23" s="1">
        <v>10</v>
      </c>
      <c r="G23" s="1">
        <v>1</v>
      </c>
    </row>
    <row r="24" spans="1:7" x14ac:dyDescent="0.2">
      <c r="A24" s="1" t="s">
        <v>33</v>
      </c>
      <c r="B24" s="1" t="str">
        <f>VLOOKUP(student_skills[[#This Row],[Student_ID]],student_data[],2,0)</f>
        <v>Electronics</v>
      </c>
      <c r="C24" s="1">
        <v>5</v>
      </c>
      <c r="D24" s="1">
        <v>5</v>
      </c>
      <c r="E24" s="1">
        <v>8</v>
      </c>
      <c r="F24" s="1">
        <v>9</v>
      </c>
      <c r="G24" s="1">
        <v>6</v>
      </c>
    </row>
    <row r="25" spans="1:7" x14ac:dyDescent="0.2">
      <c r="A25" s="1" t="s">
        <v>34</v>
      </c>
      <c r="B25" s="1" t="str">
        <f>VLOOKUP(student_skills[[#This Row],[Student_ID]],student_data[],2,0)</f>
        <v>Information Technology</v>
      </c>
      <c r="C25" s="1">
        <v>1</v>
      </c>
      <c r="D25" s="1">
        <v>10</v>
      </c>
      <c r="E25" s="1">
        <v>1</v>
      </c>
      <c r="F25" s="1">
        <v>6</v>
      </c>
      <c r="G25" s="1">
        <v>6</v>
      </c>
    </row>
    <row r="26" spans="1:7" x14ac:dyDescent="0.2">
      <c r="A26" s="1" t="s">
        <v>35</v>
      </c>
      <c r="B26" s="1" t="str">
        <f>VLOOKUP(student_skills[[#This Row],[Student_ID]],student_data[],2,0)</f>
        <v>Civil</v>
      </c>
      <c r="C26" s="1">
        <v>10</v>
      </c>
      <c r="D26" s="1">
        <v>4</v>
      </c>
      <c r="E26" s="1">
        <v>6</v>
      </c>
      <c r="F26" s="1">
        <v>4</v>
      </c>
      <c r="G26" s="1">
        <v>5</v>
      </c>
    </row>
    <row r="27" spans="1:7" x14ac:dyDescent="0.2">
      <c r="A27" s="1" t="s">
        <v>36</v>
      </c>
      <c r="B27" s="1" t="str">
        <f>VLOOKUP(student_skills[[#This Row],[Student_ID]],student_data[],2,0)</f>
        <v>Computer Science</v>
      </c>
      <c r="C27" s="1">
        <v>6</v>
      </c>
      <c r="D27" s="1">
        <v>6</v>
      </c>
      <c r="E27" s="1">
        <v>9</v>
      </c>
      <c r="F27" s="1">
        <v>1</v>
      </c>
      <c r="G27" s="1">
        <v>5</v>
      </c>
    </row>
    <row r="28" spans="1:7" x14ac:dyDescent="0.2">
      <c r="A28" s="1" t="s">
        <v>37</v>
      </c>
      <c r="B28" s="1" t="str">
        <f>VLOOKUP(student_skills[[#This Row],[Student_ID]],student_data[],2,0)</f>
        <v>Computer Science</v>
      </c>
      <c r="C28" s="1">
        <v>9</v>
      </c>
      <c r="D28" s="1">
        <v>7</v>
      </c>
      <c r="E28" s="1">
        <v>7</v>
      </c>
      <c r="F28" s="1">
        <v>8</v>
      </c>
      <c r="G28" s="1">
        <v>1</v>
      </c>
    </row>
    <row r="29" spans="1:7" x14ac:dyDescent="0.2">
      <c r="A29" s="1" t="s">
        <v>38</v>
      </c>
      <c r="B29" s="1" t="str">
        <f>VLOOKUP(student_skills[[#This Row],[Student_ID]],student_data[],2,0)</f>
        <v>Mechanical</v>
      </c>
      <c r="C29" s="1">
        <v>1</v>
      </c>
      <c r="D29" s="1">
        <v>9</v>
      </c>
      <c r="E29" s="1">
        <v>4</v>
      </c>
      <c r="F29" s="1">
        <v>7</v>
      </c>
      <c r="G29" s="1">
        <v>10</v>
      </c>
    </row>
    <row r="30" spans="1:7" x14ac:dyDescent="0.2">
      <c r="A30" s="1" t="s">
        <v>39</v>
      </c>
      <c r="B30" s="1" t="str">
        <f>VLOOKUP(student_skills[[#This Row],[Student_ID]],student_data[],2,0)</f>
        <v>Mechanical</v>
      </c>
      <c r="C30" s="1">
        <v>10</v>
      </c>
      <c r="D30" s="1">
        <v>1</v>
      </c>
      <c r="E30" s="1">
        <v>1</v>
      </c>
      <c r="F30" s="1">
        <v>2</v>
      </c>
      <c r="G30" s="1">
        <v>5</v>
      </c>
    </row>
    <row r="31" spans="1:7" x14ac:dyDescent="0.2">
      <c r="A31" s="1" t="s">
        <v>40</v>
      </c>
      <c r="B31" s="1" t="str">
        <f>VLOOKUP(student_skills[[#This Row],[Student_ID]],student_data[],2,0)</f>
        <v>Electronics</v>
      </c>
      <c r="C31" s="1">
        <v>3</v>
      </c>
      <c r="D31" s="1">
        <v>6</v>
      </c>
      <c r="E31" s="1">
        <v>2</v>
      </c>
      <c r="F31" s="1">
        <v>8</v>
      </c>
      <c r="G31" s="1">
        <v>2</v>
      </c>
    </row>
    <row r="32" spans="1:7" x14ac:dyDescent="0.2">
      <c r="A32" s="1" t="s">
        <v>41</v>
      </c>
      <c r="B32" s="1" t="str">
        <f>VLOOKUP(student_skills[[#This Row],[Student_ID]],student_data[],2,0)</f>
        <v>Civil</v>
      </c>
      <c r="C32" s="1">
        <v>7</v>
      </c>
      <c r="D32" s="1">
        <v>7</v>
      </c>
      <c r="E32" s="1">
        <v>5</v>
      </c>
      <c r="F32" s="1">
        <v>5</v>
      </c>
      <c r="G32" s="1">
        <v>7</v>
      </c>
    </row>
    <row r="33" spans="1:7" x14ac:dyDescent="0.2">
      <c r="A33" s="1" t="s">
        <v>42</v>
      </c>
      <c r="B33" s="1" t="str">
        <f>VLOOKUP(student_skills[[#This Row],[Student_ID]],student_data[],2,0)</f>
        <v>Civil</v>
      </c>
      <c r="C33" s="1">
        <v>4</v>
      </c>
      <c r="D33" s="1">
        <v>3</v>
      </c>
      <c r="E33" s="1">
        <v>5</v>
      </c>
      <c r="F33" s="1">
        <v>7</v>
      </c>
      <c r="G33" s="1">
        <v>3</v>
      </c>
    </row>
    <row r="34" spans="1:7" x14ac:dyDescent="0.2">
      <c r="A34" s="1" t="s">
        <v>43</v>
      </c>
      <c r="B34" s="1" t="str">
        <f>VLOOKUP(student_skills[[#This Row],[Student_ID]],student_data[],2,0)</f>
        <v>Mechanical</v>
      </c>
      <c r="C34" s="1">
        <v>9</v>
      </c>
      <c r="D34" s="1">
        <v>8</v>
      </c>
      <c r="E34" s="1">
        <v>8</v>
      </c>
      <c r="F34" s="1">
        <v>4</v>
      </c>
      <c r="G34" s="1">
        <v>4</v>
      </c>
    </row>
    <row r="35" spans="1:7" x14ac:dyDescent="0.2">
      <c r="A35" s="1" t="s">
        <v>44</v>
      </c>
      <c r="B35" s="1" t="str">
        <f>VLOOKUP(student_skills[[#This Row],[Student_ID]],student_data[],2,0)</f>
        <v>Civil</v>
      </c>
      <c r="C35" s="1">
        <v>3</v>
      </c>
      <c r="D35" s="1">
        <v>5</v>
      </c>
      <c r="E35" s="1">
        <v>6</v>
      </c>
      <c r="F35" s="1">
        <v>5</v>
      </c>
      <c r="G35" s="1">
        <v>3</v>
      </c>
    </row>
    <row r="36" spans="1:7" x14ac:dyDescent="0.2">
      <c r="A36" s="1" t="s">
        <v>45</v>
      </c>
      <c r="B36" s="1" t="str">
        <f>VLOOKUP(student_skills[[#This Row],[Student_ID]],student_data[],2,0)</f>
        <v>Civil</v>
      </c>
      <c r="C36" s="1">
        <v>5</v>
      </c>
      <c r="D36" s="1">
        <v>9</v>
      </c>
      <c r="E36" s="1">
        <v>8</v>
      </c>
      <c r="F36" s="1">
        <v>8</v>
      </c>
      <c r="G36" s="1">
        <v>3</v>
      </c>
    </row>
    <row r="37" spans="1:7" x14ac:dyDescent="0.2">
      <c r="A37" s="1" t="s">
        <v>46</v>
      </c>
      <c r="B37" s="1" t="str">
        <f>VLOOKUP(student_skills[[#This Row],[Student_ID]],student_data[],2,0)</f>
        <v>Computer Science</v>
      </c>
      <c r="C37" s="1">
        <v>3</v>
      </c>
      <c r="D37" s="1">
        <v>5</v>
      </c>
      <c r="E37" s="1">
        <v>2</v>
      </c>
      <c r="F37" s="1">
        <v>1</v>
      </c>
      <c r="G37" s="1">
        <v>4</v>
      </c>
    </row>
    <row r="38" spans="1:7" x14ac:dyDescent="0.2">
      <c r="A38" s="1" t="s">
        <v>47</v>
      </c>
      <c r="B38" s="1" t="str">
        <f>VLOOKUP(student_skills[[#This Row],[Student_ID]],student_data[],2,0)</f>
        <v>Mechanical</v>
      </c>
      <c r="C38" s="1">
        <v>7</v>
      </c>
      <c r="D38" s="1">
        <v>9</v>
      </c>
      <c r="E38" s="1">
        <v>3</v>
      </c>
      <c r="F38" s="1">
        <v>1</v>
      </c>
      <c r="G38" s="1">
        <v>5</v>
      </c>
    </row>
    <row r="39" spans="1:7" x14ac:dyDescent="0.2">
      <c r="A39" s="1" t="s">
        <v>48</v>
      </c>
      <c r="B39" s="1" t="str">
        <f>VLOOKUP(student_skills[[#This Row],[Student_ID]],student_data[],2,0)</f>
        <v>Information Technology</v>
      </c>
      <c r="C39" s="1">
        <v>5</v>
      </c>
      <c r="D39" s="1">
        <v>10</v>
      </c>
      <c r="E39" s="1">
        <v>6</v>
      </c>
      <c r="F39" s="1">
        <v>4</v>
      </c>
      <c r="G39" s="1">
        <v>1</v>
      </c>
    </row>
    <row r="40" spans="1:7" x14ac:dyDescent="0.2">
      <c r="A40" s="1" t="s">
        <v>49</v>
      </c>
      <c r="B40" s="1" t="str">
        <f>VLOOKUP(student_skills[[#This Row],[Student_ID]],student_data[],2,0)</f>
        <v>Mechanical</v>
      </c>
      <c r="C40" s="1">
        <v>9</v>
      </c>
      <c r="D40" s="1">
        <v>4</v>
      </c>
      <c r="E40" s="1">
        <v>10</v>
      </c>
      <c r="F40" s="1">
        <v>3</v>
      </c>
      <c r="G40" s="1">
        <v>4</v>
      </c>
    </row>
    <row r="41" spans="1:7" x14ac:dyDescent="0.2">
      <c r="A41" s="1" t="s">
        <v>50</v>
      </c>
      <c r="B41" s="1" t="str">
        <f>VLOOKUP(student_skills[[#This Row],[Student_ID]],student_data[],2,0)</f>
        <v>Information Technology</v>
      </c>
      <c r="C41" s="1">
        <v>7</v>
      </c>
      <c r="D41" s="1">
        <v>9</v>
      </c>
      <c r="E41" s="1">
        <v>3</v>
      </c>
      <c r="F41" s="1">
        <v>10</v>
      </c>
      <c r="G41" s="1">
        <v>8</v>
      </c>
    </row>
    <row r="42" spans="1:7" x14ac:dyDescent="0.2">
      <c r="A42" s="1" t="s">
        <v>51</v>
      </c>
      <c r="B42" s="1" t="str">
        <f>VLOOKUP(student_skills[[#This Row],[Student_ID]],student_data[],2,0)</f>
        <v>Computer Science</v>
      </c>
      <c r="C42" s="1">
        <v>2</v>
      </c>
      <c r="D42" s="1">
        <v>5</v>
      </c>
      <c r="E42" s="1">
        <v>6</v>
      </c>
      <c r="F42" s="1">
        <v>2</v>
      </c>
      <c r="G42" s="1">
        <v>10</v>
      </c>
    </row>
    <row r="43" spans="1:7" x14ac:dyDescent="0.2">
      <c r="A43" s="1" t="s">
        <v>52</v>
      </c>
      <c r="B43" s="1" t="str">
        <f>VLOOKUP(student_skills[[#This Row],[Student_ID]],student_data[],2,0)</f>
        <v>Electronics</v>
      </c>
      <c r="C43" s="1">
        <v>4</v>
      </c>
      <c r="D43" s="1">
        <v>10</v>
      </c>
      <c r="E43" s="1">
        <v>6</v>
      </c>
      <c r="F43" s="1">
        <v>3</v>
      </c>
      <c r="G43" s="1">
        <v>7</v>
      </c>
    </row>
    <row r="44" spans="1:7" x14ac:dyDescent="0.2">
      <c r="A44" s="1" t="s">
        <v>53</v>
      </c>
      <c r="B44" s="1" t="str">
        <f>VLOOKUP(student_skills[[#This Row],[Student_ID]],student_data[],2,0)</f>
        <v>Civil</v>
      </c>
      <c r="C44" s="1">
        <v>9</v>
      </c>
      <c r="D44" s="1">
        <v>9</v>
      </c>
      <c r="E44" s="1">
        <v>2</v>
      </c>
      <c r="F44" s="1">
        <v>1</v>
      </c>
      <c r="G44" s="1">
        <v>9</v>
      </c>
    </row>
    <row r="45" spans="1:7" x14ac:dyDescent="0.2">
      <c r="A45" s="1" t="s">
        <v>54</v>
      </c>
      <c r="B45" s="1" t="str">
        <f>VLOOKUP(student_skills[[#This Row],[Student_ID]],student_data[],2,0)</f>
        <v>Computer Science</v>
      </c>
      <c r="C45" s="1">
        <v>2</v>
      </c>
      <c r="D45" s="1">
        <v>3</v>
      </c>
      <c r="E45" s="1">
        <v>7</v>
      </c>
      <c r="F45" s="1">
        <v>1</v>
      </c>
      <c r="G45" s="1">
        <v>5</v>
      </c>
    </row>
    <row r="46" spans="1:7" x14ac:dyDescent="0.2">
      <c r="A46" s="1" t="s">
        <v>55</v>
      </c>
      <c r="B46" s="1" t="str">
        <f>VLOOKUP(student_skills[[#This Row],[Student_ID]],student_data[],2,0)</f>
        <v>Civil</v>
      </c>
      <c r="C46" s="1">
        <v>10</v>
      </c>
      <c r="D46" s="1">
        <v>4</v>
      </c>
      <c r="E46" s="1">
        <v>2</v>
      </c>
      <c r="F46" s="1">
        <v>6</v>
      </c>
      <c r="G46" s="1">
        <v>10</v>
      </c>
    </row>
    <row r="47" spans="1:7" x14ac:dyDescent="0.2">
      <c r="A47" s="1" t="s">
        <v>56</v>
      </c>
      <c r="B47" s="1" t="str">
        <f>VLOOKUP(student_skills[[#This Row],[Student_ID]],student_data[],2,0)</f>
        <v>Electronics</v>
      </c>
      <c r="C47" s="1">
        <v>9</v>
      </c>
      <c r="D47" s="1">
        <v>9</v>
      </c>
      <c r="E47" s="1">
        <v>6</v>
      </c>
      <c r="F47" s="1">
        <v>5</v>
      </c>
      <c r="G47" s="1">
        <v>4</v>
      </c>
    </row>
    <row r="48" spans="1:7" x14ac:dyDescent="0.2">
      <c r="A48" s="1" t="s">
        <v>57</v>
      </c>
      <c r="B48" s="1" t="str">
        <f>VLOOKUP(student_skills[[#This Row],[Student_ID]],student_data[],2,0)</f>
        <v>Electronics</v>
      </c>
      <c r="C48" s="1">
        <v>10</v>
      </c>
      <c r="D48" s="1">
        <v>10</v>
      </c>
      <c r="E48" s="1">
        <v>1</v>
      </c>
      <c r="F48" s="1">
        <v>8</v>
      </c>
      <c r="G48" s="1">
        <v>8</v>
      </c>
    </row>
    <row r="49" spans="1:7" x14ac:dyDescent="0.2">
      <c r="A49" s="1" t="s">
        <v>58</v>
      </c>
      <c r="B49" s="1" t="str">
        <f>VLOOKUP(student_skills[[#This Row],[Student_ID]],student_data[],2,0)</f>
        <v>Computer Science</v>
      </c>
      <c r="C49" s="1">
        <v>5</v>
      </c>
      <c r="D49" s="1">
        <v>6</v>
      </c>
      <c r="E49" s="1">
        <v>3</v>
      </c>
      <c r="F49" s="1">
        <v>2</v>
      </c>
      <c r="G49" s="1">
        <v>9</v>
      </c>
    </row>
    <row r="50" spans="1:7" x14ac:dyDescent="0.2">
      <c r="A50" s="1" t="s">
        <v>59</v>
      </c>
      <c r="B50" s="1" t="str">
        <f>VLOOKUP(student_skills[[#This Row],[Student_ID]],student_data[],2,0)</f>
        <v>Electronics</v>
      </c>
      <c r="C50" s="1">
        <v>2</v>
      </c>
      <c r="D50" s="1">
        <v>2</v>
      </c>
      <c r="E50" s="1">
        <v>2</v>
      </c>
      <c r="F50" s="1">
        <v>4</v>
      </c>
      <c r="G50" s="1">
        <v>7</v>
      </c>
    </row>
    <row r="51" spans="1:7" x14ac:dyDescent="0.2">
      <c r="A51" s="1" t="s">
        <v>60</v>
      </c>
      <c r="B51" s="1" t="str">
        <f>VLOOKUP(student_skills[[#This Row],[Student_ID]],student_data[],2,0)</f>
        <v>Information Technology</v>
      </c>
      <c r="C51" s="1">
        <v>4</v>
      </c>
      <c r="D51" s="1">
        <v>7</v>
      </c>
      <c r="E51" s="1">
        <v>7</v>
      </c>
      <c r="F51" s="1">
        <v>8</v>
      </c>
      <c r="G51" s="1">
        <v>7</v>
      </c>
    </row>
    <row r="52" spans="1:7" x14ac:dyDescent="0.2">
      <c r="A52" s="1" t="s">
        <v>61</v>
      </c>
      <c r="B52" s="1" t="str">
        <f>VLOOKUP(student_skills[[#This Row],[Student_ID]],student_data[],2,0)</f>
        <v>Electronics</v>
      </c>
      <c r="C52" s="1">
        <v>7</v>
      </c>
      <c r="D52" s="1">
        <v>2</v>
      </c>
      <c r="E52" s="1">
        <v>4</v>
      </c>
      <c r="F52" s="1">
        <v>6</v>
      </c>
      <c r="G52" s="1">
        <v>5</v>
      </c>
    </row>
    <row r="53" spans="1:7" x14ac:dyDescent="0.2">
      <c r="A53" s="1" t="s">
        <v>62</v>
      </c>
      <c r="B53" s="1" t="str">
        <f>VLOOKUP(student_skills[[#This Row],[Student_ID]],student_data[],2,0)</f>
        <v>Civil</v>
      </c>
      <c r="C53" s="1">
        <v>8</v>
      </c>
      <c r="D53" s="1">
        <v>2</v>
      </c>
      <c r="E53" s="1">
        <v>8</v>
      </c>
      <c r="F53" s="1">
        <v>1</v>
      </c>
      <c r="G53" s="1">
        <v>4</v>
      </c>
    </row>
    <row r="54" spans="1:7" x14ac:dyDescent="0.2">
      <c r="A54" s="1" t="s">
        <v>63</v>
      </c>
      <c r="B54" s="1" t="str">
        <f>VLOOKUP(student_skills[[#This Row],[Student_ID]],student_data[],2,0)</f>
        <v>Civil</v>
      </c>
      <c r="C54" s="1">
        <v>3</v>
      </c>
      <c r="D54" s="1">
        <v>1</v>
      </c>
      <c r="E54" s="1">
        <v>6</v>
      </c>
      <c r="F54" s="1">
        <v>4</v>
      </c>
      <c r="G54" s="1">
        <v>10</v>
      </c>
    </row>
    <row r="55" spans="1:7" x14ac:dyDescent="0.2">
      <c r="A55" s="1" t="s">
        <v>64</v>
      </c>
      <c r="B55" s="1" t="str">
        <f>VLOOKUP(student_skills[[#This Row],[Student_ID]],student_data[],2,0)</f>
        <v>Civil</v>
      </c>
      <c r="C55" s="1">
        <v>1</v>
      </c>
      <c r="D55" s="1">
        <v>3</v>
      </c>
      <c r="E55" s="1">
        <v>10</v>
      </c>
      <c r="F55" s="1">
        <v>1</v>
      </c>
      <c r="G55" s="1">
        <v>1</v>
      </c>
    </row>
    <row r="56" spans="1:7" x14ac:dyDescent="0.2">
      <c r="A56" s="1" t="s">
        <v>65</v>
      </c>
      <c r="B56" s="1" t="str">
        <f>VLOOKUP(student_skills[[#This Row],[Student_ID]],student_data[],2,0)</f>
        <v>Civil</v>
      </c>
      <c r="C56" s="1">
        <v>4</v>
      </c>
      <c r="D56" s="1">
        <v>6</v>
      </c>
      <c r="E56" s="1">
        <v>4</v>
      </c>
      <c r="F56" s="1">
        <v>2</v>
      </c>
      <c r="G56" s="1">
        <v>10</v>
      </c>
    </row>
    <row r="57" spans="1:7" x14ac:dyDescent="0.2">
      <c r="A57" s="1" t="s">
        <v>66</v>
      </c>
      <c r="B57" s="1" t="str">
        <f>VLOOKUP(student_skills[[#This Row],[Student_ID]],student_data[],2,0)</f>
        <v>Information Technology</v>
      </c>
      <c r="C57" s="1">
        <v>2</v>
      </c>
      <c r="D57" s="1">
        <v>8</v>
      </c>
      <c r="E57" s="1">
        <v>5</v>
      </c>
      <c r="F57" s="1">
        <v>5</v>
      </c>
      <c r="G57" s="1">
        <v>10</v>
      </c>
    </row>
    <row r="58" spans="1:7" x14ac:dyDescent="0.2">
      <c r="A58" s="1" t="s">
        <v>67</v>
      </c>
      <c r="B58" s="1" t="str">
        <f>VLOOKUP(student_skills[[#This Row],[Student_ID]],student_data[],2,0)</f>
        <v>Mechanical</v>
      </c>
      <c r="C58" s="1">
        <v>8</v>
      </c>
      <c r="D58" s="1">
        <v>9</v>
      </c>
      <c r="E58" s="1">
        <v>9</v>
      </c>
      <c r="F58" s="1">
        <v>8</v>
      </c>
      <c r="G58" s="1">
        <v>7</v>
      </c>
    </row>
    <row r="59" spans="1:7" x14ac:dyDescent="0.2">
      <c r="A59" s="1" t="s">
        <v>68</v>
      </c>
      <c r="B59" s="1" t="str">
        <f>VLOOKUP(student_skills[[#This Row],[Student_ID]],student_data[],2,0)</f>
        <v>Computer Science</v>
      </c>
      <c r="C59" s="1">
        <v>4</v>
      </c>
      <c r="D59" s="1">
        <v>7</v>
      </c>
      <c r="E59" s="1">
        <v>7</v>
      </c>
      <c r="F59" s="1">
        <v>8</v>
      </c>
      <c r="G59" s="1">
        <v>1</v>
      </c>
    </row>
    <row r="60" spans="1:7" x14ac:dyDescent="0.2">
      <c r="A60" s="1" t="s">
        <v>69</v>
      </c>
      <c r="B60" s="1" t="str">
        <f>VLOOKUP(student_skills[[#This Row],[Student_ID]],student_data[],2,0)</f>
        <v>Civil</v>
      </c>
      <c r="C60" s="1">
        <v>2</v>
      </c>
      <c r="D60" s="1">
        <v>4</v>
      </c>
      <c r="E60" s="1">
        <v>10</v>
      </c>
      <c r="F60" s="1">
        <v>3</v>
      </c>
      <c r="G60" s="1">
        <v>1</v>
      </c>
    </row>
    <row r="61" spans="1:7" x14ac:dyDescent="0.2">
      <c r="A61" s="1" t="s">
        <v>70</v>
      </c>
      <c r="B61" s="1" t="str">
        <f>VLOOKUP(student_skills[[#This Row],[Student_ID]],student_data[],2,0)</f>
        <v>Electronics</v>
      </c>
      <c r="C61" s="1">
        <v>6</v>
      </c>
      <c r="D61" s="1">
        <v>6</v>
      </c>
      <c r="E61" s="1">
        <v>9</v>
      </c>
      <c r="F61" s="1">
        <v>4</v>
      </c>
      <c r="G61" s="1">
        <v>5</v>
      </c>
    </row>
    <row r="62" spans="1:7" x14ac:dyDescent="0.2">
      <c r="A62" s="1" t="s">
        <v>71</v>
      </c>
      <c r="B62" s="1" t="str">
        <f>VLOOKUP(student_skills[[#This Row],[Student_ID]],student_data[],2,0)</f>
        <v>Civil</v>
      </c>
      <c r="C62" s="1">
        <v>6</v>
      </c>
      <c r="D62" s="1">
        <v>5</v>
      </c>
      <c r="E62" s="1">
        <v>7</v>
      </c>
      <c r="F62" s="1">
        <v>10</v>
      </c>
      <c r="G62" s="1">
        <v>9</v>
      </c>
    </row>
    <row r="63" spans="1:7" x14ac:dyDescent="0.2">
      <c r="A63" s="1" t="s">
        <v>72</v>
      </c>
      <c r="B63" s="1" t="str">
        <f>VLOOKUP(student_skills[[#This Row],[Student_ID]],student_data[],2,0)</f>
        <v>Electronics</v>
      </c>
      <c r="C63" s="1">
        <v>10</v>
      </c>
      <c r="D63" s="1">
        <v>8</v>
      </c>
      <c r="E63" s="1">
        <v>1</v>
      </c>
      <c r="F63" s="1">
        <v>6</v>
      </c>
      <c r="G63" s="1">
        <v>6</v>
      </c>
    </row>
    <row r="64" spans="1:7" x14ac:dyDescent="0.2">
      <c r="A64" s="1" t="s">
        <v>73</v>
      </c>
      <c r="B64" s="1" t="str">
        <f>VLOOKUP(student_skills[[#This Row],[Student_ID]],student_data[],2,0)</f>
        <v>Electronics</v>
      </c>
      <c r="C64" s="1">
        <v>4</v>
      </c>
      <c r="D64" s="1">
        <v>1</v>
      </c>
      <c r="E64" s="1">
        <v>8</v>
      </c>
      <c r="F64" s="1">
        <v>10</v>
      </c>
      <c r="G64" s="1">
        <v>3</v>
      </c>
    </row>
    <row r="65" spans="1:7" x14ac:dyDescent="0.2">
      <c r="A65" s="1" t="s">
        <v>74</v>
      </c>
      <c r="B65" s="1" t="str">
        <f>VLOOKUP(student_skills[[#This Row],[Student_ID]],student_data[],2,0)</f>
        <v>Civil</v>
      </c>
      <c r="C65" s="1">
        <v>6</v>
      </c>
      <c r="D65" s="1">
        <v>1</v>
      </c>
      <c r="E65" s="1">
        <v>4</v>
      </c>
      <c r="F65" s="1">
        <v>3</v>
      </c>
      <c r="G65" s="1">
        <v>3</v>
      </c>
    </row>
    <row r="66" spans="1:7" x14ac:dyDescent="0.2">
      <c r="A66" s="1" t="s">
        <v>75</v>
      </c>
      <c r="B66" s="1" t="str">
        <f>VLOOKUP(student_skills[[#This Row],[Student_ID]],student_data[],2,0)</f>
        <v>Information Technology</v>
      </c>
      <c r="C66" s="1">
        <v>2</v>
      </c>
      <c r="D66" s="1">
        <v>6</v>
      </c>
      <c r="E66" s="1">
        <v>3</v>
      </c>
      <c r="F66" s="1">
        <v>2</v>
      </c>
      <c r="G66" s="1">
        <v>7</v>
      </c>
    </row>
    <row r="67" spans="1:7" x14ac:dyDescent="0.2">
      <c r="A67" s="1" t="s">
        <v>76</v>
      </c>
      <c r="B67" s="1" t="str">
        <f>VLOOKUP(student_skills[[#This Row],[Student_ID]],student_data[],2,0)</f>
        <v>Electronics</v>
      </c>
      <c r="C67" s="1">
        <v>10</v>
      </c>
      <c r="D67" s="1">
        <v>10</v>
      </c>
      <c r="E67" s="1">
        <v>7</v>
      </c>
      <c r="F67" s="1">
        <v>6</v>
      </c>
      <c r="G67" s="1">
        <v>6</v>
      </c>
    </row>
    <row r="68" spans="1:7" x14ac:dyDescent="0.2">
      <c r="A68" s="1" t="s">
        <v>77</v>
      </c>
      <c r="B68" s="1" t="str">
        <f>VLOOKUP(student_skills[[#This Row],[Student_ID]],student_data[],2,0)</f>
        <v>Electronics</v>
      </c>
      <c r="C68" s="1">
        <v>2</v>
      </c>
      <c r="D68" s="1">
        <v>2</v>
      </c>
      <c r="E68" s="1">
        <v>3</v>
      </c>
      <c r="F68" s="1">
        <v>5</v>
      </c>
      <c r="G68" s="1">
        <v>9</v>
      </c>
    </row>
    <row r="69" spans="1:7" x14ac:dyDescent="0.2">
      <c r="A69" s="1" t="s">
        <v>78</v>
      </c>
      <c r="B69" s="1" t="str">
        <f>VLOOKUP(student_skills[[#This Row],[Student_ID]],student_data[],2,0)</f>
        <v>Civil</v>
      </c>
      <c r="C69" s="1">
        <v>10</v>
      </c>
      <c r="D69" s="1">
        <v>5</v>
      </c>
      <c r="E69" s="1">
        <v>8</v>
      </c>
      <c r="F69" s="1">
        <v>10</v>
      </c>
      <c r="G69" s="1">
        <v>6</v>
      </c>
    </row>
    <row r="70" spans="1:7" x14ac:dyDescent="0.2">
      <c r="A70" s="1" t="s">
        <v>79</v>
      </c>
      <c r="B70" s="1" t="str">
        <f>VLOOKUP(student_skills[[#This Row],[Student_ID]],student_data[],2,0)</f>
        <v>Electronics</v>
      </c>
      <c r="C70" s="1">
        <v>4</v>
      </c>
      <c r="D70" s="1">
        <v>1</v>
      </c>
      <c r="E70" s="1">
        <v>6</v>
      </c>
      <c r="F70" s="1">
        <v>5</v>
      </c>
      <c r="G70" s="1">
        <v>5</v>
      </c>
    </row>
    <row r="71" spans="1:7" x14ac:dyDescent="0.2">
      <c r="A71" s="1" t="s">
        <v>80</v>
      </c>
      <c r="B71" s="1" t="str">
        <f>VLOOKUP(student_skills[[#This Row],[Student_ID]],student_data[],2,0)</f>
        <v>Electronics</v>
      </c>
      <c r="C71" s="1">
        <v>8</v>
      </c>
      <c r="D71" s="1">
        <v>7</v>
      </c>
      <c r="E71" s="1">
        <v>5</v>
      </c>
      <c r="F71" s="1">
        <v>10</v>
      </c>
      <c r="G71" s="1">
        <v>10</v>
      </c>
    </row>
    <row r="72" spans="1:7" x14ac:dyDescent="0.2">
      <c r="A72" s="1" t="s">
        <v>81</v>
      </c>
      <c r="B72" s="1" t="str">
        <f>VLOOKUP(student_skills[[#This Row],[Student_ID]],student_data[],2,0)</f>
        <v>Civil</v>
      </c>
      <c r="C72" s="1">
        <v>7</v>
      </c>
      <c r="D72" s="1">
        <v>1</v>
      </c>
      <c r="E72" s="1">
        <v>4</v>
      </c>
      <c r="F72" s="1">
        <v>5</v>
      </c>
      <c r="G72" s="1">
        <v>7</v>
      </c>
    </row>
    <row r="73" spans="1:7" x14ac:dyDescent="0.2">
      <c r="A73" s="1" t="s">
        <v>82</v>
      </c>
      <c r="B73" s="1" t="str">
        <f>VLOOKUP(student_skills[[#This Row],[Student_ID]],student_data[],2,0)</f>
        <v>Civil</v>
      </c>
      <c r="C73" s="1">
        <v>9</v>
      </c>
      <c r="D73" s="1">
        <v>4</v>
      </c>
      <c r="E73" s="1">
        <v>8</v>
      </c>
      <c r="F73" s="1">
        <v>10</v>
      </c>
      <c r="G73" s="1">
        <v>1</v>
      </c>
    </row>
    <row r="74" spans="1:7" x14ac:dyDescent="0.2">
      <c r="A74" s="1" t="s">
        <v>83</v>
      </c>
      <c r="B74" s="1" t="str">
        <f>VLOOKUP(student_skills[[#This Row],[Student_ID]],student_data[],2,0)</f>
        <v>Computer Science</v>
      </c>
      <c r="C74" s="1">
        <v>8</v>
      </c>
      <c r="D74" s="1">
        <v>9</v>
      </c>
      <c r="E74" s="1">
        <v>8</v>
      </c>
      <c r="F74" s="1">
        <v>5</v>
      </c>
      <c r="G74" s="1">
        <v>7</v>
      </c>
    </row>
    <row r="75" spans="1:7" x14ac:dyDescent="0.2">
      <c r="A75" s="1" t="s">
        <v>84</v>
      </c>
      <c r="B75" s="1" t="str">
        <f>VLOOKUP(student_skills[[#This Row],[Student_ID]],student_data[],2,0)</f>
        <v>Information Technology</v>
      </c>
      <c r="C75" s="1">
        <v>5</v>
      </c>
      <c r="D75" s="1">
        <v>1</v>
      </c>
      <c r="E75" s="1">
        <v>1</v>
      </c>
      <c r="F75" s="1">
        <v>3</v>
      </c>
      <c r="G75" s="1">
        <v>3</v>
      </c>
    </row>
    <row r="76" spans="1:7" x14ac:dyDescent="0.2">
      <c r="A76" s="1" t="s">
        <v>85</v>
      </c>
      <c r="B76" s="1" t="str">
        <f>VLOOKUP(student_skills[[#This Row],[Student_ID]],student_data[],2,0)</f>
        <v>Information Technology</v>
      </c>
      <c r="C76" s="1">
        <v>2</v>
      </c>
      <c r="D76" s="1">
        <v>4</v>
      </c>
      <c r="E76" s="1">
        <v>9</v>
      </c>
      <c r="F76" s="1">
        <v>7</v>
      </c>
      <c r="G76" s="1">
        <v>9</v>
      </c>
    </row>
    <row r="77" spans="1:7" x14ac:dyDescent="0.2">
      <c r="A77" s="1" t="s">
        <v>86</v>
      </c>
      <c r="B77" s="1" t="str">
        <f>VLOOKUP(student_skills[[#This Row],[Student_ID]],student_data[],2,0)</f>
        <v>Electronics</v>
      </c>
      <c r="C77" s="1">
        <v>5</v>
      </c>
      <c r="D77" s="1">
        <v>6</v>
      </c>
      <c r="E77" s="1">
        <v>5</v>
      </c>
      <c r="F77" s="1">
        <v>6</v>
      </c>
      <c r="G77" s="1">
        <v>6</v>
      </c>
    </row>
    <row r="78" spans="1:7" x14ac:dyDescent="0.2">
      <c r="A78" s="1" t="s">
        <v>87</v>
      </c>
      <c r="B78" s="1" t="str">
        <f>VLOOKUP(student_skills[[#This Row],[Student_ID]],student_data[],2,0)</f>
        <v>Information Technology</v>
      </c>
      <c r="C78" s="1">
        <v>8</v>
      </c>
      <c r="D78" s="1">
        <v>6</v>
      </c>
      <c r="E78" s="1">
        <v>4</v>
      </c>
      <c r="F78" s="1">
        <v>4</v>
      </c>
      <c r="G78" s="1">
        <v>9</v>
      </c>
    </row>
    <row r="79" spans="1:7" x14ac:dyDescent="0.2">
      <c r="A79" s="1" t="s">
        <v>88</v>
      </c>
      <c r="B79" s="1" t="str">
        <f>VLOOKUP(student_skills[[#This Row],[Student_ID]],student_data[],2,0)</f>
        <v>Electronics</v>
      </c>
      <c r="C79" s="1">
        <v>10</v>
      </c>
      <c r="D79" s="1">
        <v>8</v>
      </c>
      <c r="E79" s="1">
        <v>6</v>
      </c>
      <c r="F79" s="1">
        <v>2</v>
      </c>
      <c r="G79" s="1">
        <v>5</v>
      </c>
    </row>
    <row r="80" spans="1:7" x14ac:dyDescent="0.2">
      <c r="A80" s="1" t="s">
        <v>89</v>
      </c>
      <c r="B80" s="1" t="str">
        <f>VLOOKUP(student_skills[[#This Row],[Student_ID]],student_data[],2,0)</f>
        <v>Computer Science</v>
      </c>
      <c r="C80" s="1">
        <v>9</v>
      </c>
      <c r="D80" s="1">
        <v>1</v>
      </c>
      <c r="E80" s="1">
        <v>6</v>
      </c>
      <c r="F80" s="1">
        <v>9</v>
      </c>
      <c r="G80" s="1">
        <v>7</v>
      </c>
    </row>
    <row r="81" spans="1:7" x14ac:dyDescent="0.2">
      <c r="A81" s="1" t="s">
        <v>90</v>
      </c>
      <c r="B81" s="1" t="str">
        <f>VLOOKUP(student_skills[[#This Row],[Student_ID]],student_data[],2,0)</f>
        <v>Civil</v>
      </c>
      <c r="C81" s="1">
        <v>9</v>
      </c>
      <c r="D81" s="1">
        <v>7</v>
      </c>
      <c r="E81" s="1">
        <v>2</v>
      </c>
      <c r="F81" s="1">
        <v>1</v>
      </c>
      <c r="G81" s="1">
        <v>4</v>
      </c>
    </row>
    <row r="82" spans="1:7" x14ac:dyDescent="0.2">
      <c r="A82" s="1" t="s">
        <v>91</v>
      </c>
      <c r="B82" s="1" t="str">
        <f>VLOOKUP(student_skills[[#This Row],[Student_ID]],student_data[],2,0)</f>
        <v>Civil</v>
      </c>
      <c r="C82" s="1">
        <v>1</v>
      </c>
      <c r="D82" s="1">
        <v>1</v>
      </c>
      <c r="E82" s="1">
        <v>8</v>
      </c>
      <c r="F82" s="1">
        <v>4</v>
      </c>
      <c r="G82" s="1">
        <v>7</v>
      </c>
    </row>
    <row r="83" spans="1:7" x14ac:dyDescent="0.2">
      <c r="A83" s="1" t="s">
        <v>92</v>
      </c>
      <c r="B83" s="1" t="str">
        <f>VLOOKUP(student_skills[[#This Row],[Student_ID]],student_data[],2,0)</f>
        <v>Civil</v>
      </c>
      <c r="C83" s="1">
        <v>9</v>
      </c>
      <c r="D83" s="1">
        <v>7</v>
      </c>
      <c r="E83" s="1">
        <v>7</v>
      </c>
      <c r="F83" s="1">
        <v>1</v>
      </c>
      <c r="G83" s="1">
        <v>1</v>
      </c>
    </row>
    <row r="84" spans="1:7" x14ac:dyDescent="0.2">
      <c r="A84" s="1" t="s">
        <v>93</v>
      </c>
      <c r="B84" s="1" t="str">
        <f>VLOOKUP(student_skills[[#This Row],[Student_ID]],student_data[],2,0)</f>
        <v>Information Technology</v>
      </c>
      <c r="C84" s="1">
        <v>7</v>
      </c>
      <c r="D84" s="1">
        <v>3</v>
      </c>
      <c r="E84" s="1">
        <v>1</v>
      </c>
      <c r="F84" s="1">
        <v>6</v>
      </c>
      <c r="G84" s="1">
        <v>7</v>
      </c>
    </row>
    <row r="85" spans="1:7" x14ac:dyDescent="0.2">
      <c r="A85" s="1" t="s">
        <v>94</v>
      </c>
      <c r="B85" s="1" t="str">
        <f>VLOOKUP(student_skills[[#This Row],[Student_ID]],student_data[],2,0)</f>
        <v>Computer Science</v>
      </c>
      <c r="C85" s="1">
        <v>9</v>
      </c>
      <c r="D85" s="1">
        <v>8</v>
      </c>
      <c r="E85" s="1">
        <v>5</v>
      </c>
      <c r="F85" s="1">
        <v>4</v>
      </c>
      <c r="G85" s="1">
        <v>8</v>
      </c>
    </row>
    <row r="86" spans="1:7" x14ac:dyDescent="0.2">
      <c r="A86" s="1" t="s">
        <v>95</v>
      </c>
      <c r="B86" s="1" t="str">
        <f>VLOOKUP(student_skills[[#This Row],[Student_ID]],student_data[],2,0)</f>
        <v>Information Technology</v>
      </c>
      <c r="C86" s="1">
        <v>8</v>
      </c>
      <c r="D86" s="1">
        <v>3</v>
      </c>
      <c r="E86" s="1">
        <v>6</v>
      </c>
      <c r="F86" s="1">
        <v>5</v>
      </c>
      <c r="G86" s="1">
        <v>5</v>
      </c>
    </row>
    <row r="87" spans="1:7" x14ac:dyDescent="0.2">
      <c r="A87" s="1" t="s">
        <v>96</v>
      </c>
      <c r="B87" s="1" t="str">
        <f>VLOOKUP(student_skills[[#This Row],[Student_ID]],student_data[],2,0)</f>
        <v>Information Technology</v>
      </c>
      <c r="C87" s="1">
        <v>1</v>
      </c>
      <c r="D87" s="1">
        <v>1</v>
      </c>
      <c r="E87" s="1">
        <v>4</v>
      </c>
      <c r="F87" s="1">
        <v>5</v>
      </c>
      <c r="G87" s="1">
        <v>2</v>
      </c>
    </row>
    <row r="88" spans="1:7" x14ac:dyDescent="0.2">
      <c r="A88" s="1" t="s">
        <v>97</v>
      </c>
      <c r="B88" s="1" t="str">
        <f>VLOOKUP(student_skills[[#This Row],[Student_ID]],student_data[],2,0)</f>
        <v>Computer Science</v>
      </c>
      <c r="C88" s="1">
        <v>8</v>
      </c>
      <c r="D88" s="1">
        <v>8</v>
      </c>
      <c r="E88" s="1">
        <v>2</v>
      </c>
      <c r="F88" s="1">
        <v>9</v>
      </c>
      <c r="G88" s="1">
        <v>5</v>
      </c>
    </row>
    <row r="89" spans="1:7" x14ac:dyDescent="0.2">
      <c r="A89" s="1" t="s">
        <v>98</v>
      </c>
      <c r="B89" s="1" t="str">
        <f>VLOOKUP(student_skills[[#This Row],[Student_ID]],student_data[],2,0)</f>
        <v>Computer Science</v>
      </c>
      <c r="C89" s="1">
        <v>8</v>
      </c>
      <c r="D89" s="1">
        <v>3</v>
      </c>
      <c r="E89" s="1">
        <v>4</v>
      </c>
      <c r="F89" s="1">
        <v>1</v>
      </c>
      <c r="G89" s="1">
        <v>6</v>
      </c>
    </row>
    <row r="90" spans="1:7" x14ac:dyDescent="0.2">
      <c r="A90" s="1" t="s">
        <v>99</v>
      </c>
      <c r="B90" s="1" t="str">
        <f>VLOOKUP(student_skills[[#This Row],[Student_ID]],student_data[],2,0)</f>
        <v>Computer Science</v>
      </c>
      <c r="C90" s="1">
        <v>3</v>
      </c>
      <c r="D90" s="1">
        <v>2</v>
      </c>
      <c r="E90" s="1">
        <v>1</v>
      </c>
      <c r="F90" s="1">
        <v>2</v>
      </c>
      <c r="G90" s="1">
        <v>2</v>
      </c>
    </row>
    <row r="91" spans="1:7" x14ac:dyDescent="0.2">
      <c r="A91" s="1" t="s">
        <v>100</v>
      </c>
      <c r="B91" s="1" t="str">
        <f>VLOOKUP(student_skills[[#This Row],[Student_ID]],student_data[],2,0)</f>
        <v>Computer Science</v>
      </c>
      <c r="C91" s="1">
        <v>1</v>
      </c>
      <c r="D91" s="1">
        <v>1</v>
      </c>
      <c r="E91" s="1">
        <v>7</v>
      </c>
      <c r="F91" s="1">
        <v>6</v>
      </c>
      <c r="G91" s="1">
        <v>6</v>
      </c>
    </row>
    <row r="92" spans="1:7" x14ac:dyDescent="0.2">
      <c r="A92" s="1" t="s">
        <v>101</v>
      </c>
      <c r="B92" s="1" t="str">
        <f>VLOOKUP(student_skills[[#This Row],[Student_ID]],student_data[],2,0)</f>
        <v>Civil</v>
      </c>
      <c r="C92" s="1">
        <v>8</v>
      </c>
      <c r="D92" s="1">
        <v>3</v>
      </c>
      <c r="E92" s="1">
        <v>2</v>
      </c>
      <c r="F92" s="1">
        <v>5</v>
      </c>
      <c r="G92" s="1">
        <v>6</v>
      </c>
    </row>
    <row r="93" spans="1:7" x14ac:dyDescent="0.2">
      <c r="A93" s="1" t="s">
        <v>102</v>
      </c>
      <c r="B93" s="1" t="str">
        <f>VLOOKUP(student_skills[[#This Row],[Student_ID]],student_data[],2,0)</f>
        <v>Mechanical</v>
      </c>
      <c r="C93" s="1">
        <v>3</v>
      </c>
      <c r="D93" s="1">
        <v>2</v>
      </c>
      <c r="E93" s="1">
        <v>2</v>
      </c>
      <c r="F93" s="1">
        <v>7</v>
      </c>
      <c r="G93" s="1">
        <v>1</v>
      </c>
    </row>
    <row r="94" spans="1:7" x14ac:dyDescent="0.2">
      <c r="A94" s="1" t="s">
        <v>103</v>
      </c>
      <c r="B94" s="1" t="str">
        <f>VLOOKUP(student_skills[[#This Row],[Student_ID]],student_data[],2,0)</f>
        <v>Mechanical</v>
      </c>
      <c r="C94" s="1">
        <v>3</v>
      </c>
      <c r="D94" s="1">
        <v>2</v>
      </c>
      <c r="E94" s="1">
        <v>9</v>
      </c>
      <c r="F94" s="1">
        <v>3</v>
      </c>
      <c r="G94" s="1">
        <v>1</v>
      </c>
    </row>
    <row r="95" spans="1:7" x14ac:dyDescent="0.2">
      <c r="A95" s="1" t="s">
        <v>104</v>
      </c>
      <c r="B95" s="1" t="str">
        <f>VLOOKUP(student_skills[[#This Row],[Student_ID]],student_data[],2,0)</f>
        <v>Computer Science</v>
      </c>
      <c r="C95" s="1">
        <v>1</v>
      </c>
      <c r="D95" s="1">
        <v>6</v>
      </c>
      <c r="E95" s="1">
        <v>5</v>
      </c>
      <c r="F95" s="1">
        <v>3</v>
      </c>
      <c r="G95" s="1">
        <v>10</v>
      </c>
    </row>
    <row r="96" spans="1:7" x14ac:dyDescent="0.2">
      <c r="A96" s="1" t="s">
        <v>105</v>
      </c>
      <c r="B96" s="1" t="str">
        <f>VLOOKUP(student_skills[[#This Row],[Student_ID]],student_data[],2,0)</f>
        <v>Mechanical</v>
      </c>
      <c r="C96" s="1">
        <v>5</v>
      </c>
      <c r="D96" s="1">
        <v>1</v>
      </c>
      <c r="E96" s="1">
        <v>2</v>
      </c>
      <c r="F96" s="1">
        <v>10</v>
      </c>
      <c r="G96" s="1">
        <v>3</v>
      </c>
    </row>
    <row r="97" spans="1:7" x14ac:dyDescent="0.2">
      <c r="A97" s="1" t="s">
        <v>106</v>
      </c>
      <c r="B97" s="1" t="str">
        <f>VLOOKUP(student_skills[[#This Row],[Student_ID]],student_data[],2,0)</f>
        <v>Mechanical</v>
      </c>
      <c r="C97" s="1">
        <v>10</v>
      </c>
      <c r="D97" s="1">
        <v>2</v>
      </c>
      <c r="E97" s="1">
        <v>9</v>
      </c>
      <c r="F97" s="1">
        <v>2</v>
      </c>
      <c r="G97" s="1">
        <v>10</v>
      </c>
    </row>
    <row r="98" spans="1:7" x14ac:dyDescent="0.2">
      <c r="A98" s="1" t="s">
        <v>107</v>
      </c>
      <c r="B98" s="1" t="str">
        <f>VLOOKUP(student_skills[[#This Row],[Student_ID]],student_data[],2,0)</f>
        <v>Computer Science</v>
      </c>
      <c r="C98" s="1">
        <v>7</v>
      </c>
      <c r="D98" s="1">
        <v>6</v>
      </c>
      <c r="E98" s="1">
        <v>9</v>
      </c>
      <c r="F98" s="1">
        <v>3</v>
      </c>
      <c r="G98" s="1">
        <v>10</v>
      </c>
    </row>
    <row r="99" spans="1:7" x14ac:dyDescent="0.2">
      <c r="A99" s="1" t="s">
        <v>108</v>
      </c>
      <c r="B99" s="1" t="str">
        <f>VLOOKUP(student_skills[[#This Row],[Student_ID]],student_data[],2,0)</f>
        <v>Mechanical</v>
      </c>
      <c r="C99" s="1">
        <v>10</v>
      </c>
      <c r="D99" s="1">
        <v>3</v>
      </c>
      <c r="E99" s="1">
        <v>1</v>
      </c>
      <c r="F99" s="1">
        <v>10</v>
      </c>
      <c r="G99" s="1">
        <v>3</v>
      </c>
    </row>
    <row r="100" spans="1:7" x14ac:dyDescent="0.2">
      <c r="A100" s="1" t="s">
        <v>109</v>
      </c>
      <c r="B100" s="1" t="str">
        <f>VLOOKUP(student_skills[[#This Row],[Student_ID]],student_data[],2,0)</f>
        <v>Information Technology</v>
      </c>
      <c r="C100" s="1">
        <v>9</v>
      </c>
      <c r="D100" s="1">
        <v>4</v>
      </c>
      <c r="E100" s="1">
        <v>3</v>
      </c>
      <c r="F100" s="1">
        <v>1</v>
      </c>
      <c r="G100" s="1">
        <v>4</v>
      </c>
    </row>
    <row r="101" spans="1:7" x14ac:dyDescent="0.2">
      <c r="A101" s="1" t="s">
        <v>110</v>
      </c>
      <c r="B101" s="1" t="str">
        <f>VLOOKUP(student_skills[[#This Row],[Student_ID]],student_data[],2,0)</f>
        <v>Electronics</v>
      </c>
      <c r="C101" s="1">
        <v>7</v>
      </c>
      <c r="D101" s="1">
        <v>1</v>
      </c>
      <c r="E101" s="1">
        <v>4</v>
      </c>
      <c r="F101" s="1">
        <v>5</v>
      </c>
      <c r="G101" s="1">
        <v>2</v>
      </c>
    </row>
    <row r="102" spans="1:7" x14ac:dyDescent="0.2">
      <c r="A102" s="1" t="s">
        <v>111</v>
      </c>
      <c r="B102" s="1" t="str">
        <f>VLOOKUP(student_skills[[#This Row],[Student_ID]],student_data[],2,0)</f>
        <v>Electronics</v>
      </c>
      <c r="C102" s="1">
        <v>9</v>
      </c>
      <c r="D102" s="1">
        <v>8</v>
      </c>
      <c r="E102" s="1">
        <v>7</v>
      </c>
      <c r="F102" s="1">
        <v>5</v>
      </c>
      <c r="G102" s="1">
        <v>9</v>
      </c>
    </row>
    <row r="103" spans="1:7" x14ac:dyDescent="0.2">
      <c r="A103" s="1" t="s">
        <v>112</v>
      </c>
      <c r="B103" s="1" t="str">
        <f>VLOOKUP(student_skills[[#This Row],[Student_ID]],student_data[],2,0)</f>
        <v>Computer Science</v>
      </c>
      <c r="C103" s="1">
        <v>8</v>
      </c>
      <c r="D103" s="1">
        <v>7</v>
      </c>
      <c r="E103" s="1">
        <v>10</v>
      </c>
      <c r="F103" s="1">
        <v>7</v>
      </c>
      <c r="G103" s="1">
        <v>10</v>
      </c>
    </row>
    <row r="104" spans="1:7" x14ac:dyDescent="0.2">
      <c r="A104" s="1" t="s">
        <v>113</v>
      </c>
      <c r="B104" s="1" t="str">
        <f>VLOOKUP(student_skills[[#This Row],[Student_ID]],student_data[],2,0)</f>
        <v>Civil</v>
      </c>
      <c r="C104" s="1">
        <v>2</v>
      </c>
      <c r="D104" s="1">
        <v>7</v>
      </c>
      <c r="E104" s="1">
        <v>4</v>
      </c>
      <c r="F104" s="1">
        <v>4</v>
      </c>
      <c r="G104" s="1">
        <v>7</v>
      </c>
    </row>
    <row r="105" spans="1:7" x14ac:dyDescent="0.2">
      <c r="A105" s="1" t="s">
        <v>114</v>
      </c>
      <c r="B105" s="1" t="str">
        <f>VLOOKUP(student_skills[[#This Row],[Student_ID]],student_data[],2,0)</f>
        <v>Computer Science</v>
      </c>
      <c r="C105" s="1">
        <v>1</v>
      </c>
      <c r="D105" s="1">
        <v>3</v>
      </c>
      <c r="E105" s="1">
        <v>2</v>
      </c>
      <c r="F105" s="1">
        <v>3</v>
      </c>
      <c r="G105" s="1">
        <v>7</v>
      </c>
    </row>
    <row r="106" spans="1:7" x14ac:dyDescent="0.2">
      <c r="A106" s="1" t="s">
        <v>115</v>
      </c>
      <c r="B106" s="1" t="str">
        <f>VLOOKUP(student_skills[[#This Row],[Student_ID]],student_data[],2,0)</f>
        <v>Civil</v>
      </c>
      <c r="C106" s="1">
        <v>7</v>
      </c>
      <c r="D106" s="1">
        <v>10</v>
      </c>
      <c r="E106" s="1">
        <v>7</v>
      </c>
      <c r="F106" s="1">
        <v>1</v>
      </c>
      <c r="G106" s="1">
        <v>6</v>
      </c>
    </row>
    <row r="107" spans="1:7" x14ac:dyDescent="0.2">
      <c r="A107" s="1" t="s">
        <v>116</v>
      </c>
      <c r="B107" s="1" t="str">
        <f>VLOOKUP(student_skills[[#This Row],[Student_ID]],student_data[],2,0)</f>
        <v>Electronics</v>
      </c>
      <c r="C107" s="1">
        <v>7</v>
      </c>
      <c r="D107" s="1">
        <v>10</v>
      </c>
      <c r="E107" s="1">
        <v>6</v>
      </c>
      <c r="F107" s="1">
        <v>8</v>
      </c>
      <c r="G107" s="1">
        <v>3</v>
      </c>
    </row>
    <row r="108" spans="1:7" x14ac:dyDescent="0.2">
      <c r="A108" s="1" t="s">
        <v>117</v>
      </c>
      <c r="B108" s="1" t="str">
        <f>VLOOKUP(student_skills[[#This Row],[Student_ID]],student_data[],2,0)</f>
        <v>Computer Science</v>
      </c>
      <c r="C108" s="1">
        <v>8</v>
      </c>
      <c r="D108" s="1">
        <v>3</v>
      </c>
      <c r="E108" s="1">
        <v>3</v>
      </c>
      <c r="F108" s="1">
        <v>3</v>
      </c>
      <c r="G108" s="1">
        <v>6</v>
      </c>
    </row>
    <row r="109" spans="1:7" x14ac:dyDescent="0.2">
      <c r="A109" s="1" t="s">
        <v>118</v>
      </c>
      <c r="B109" s="1" t="str">
        <f>VLOOKUP(student_skills[[#This Row],[Student_ID]],student_data[],2,0)</f>
        <v>Information Technology</v>
      </c>
      <c r="C109" s="1">
        <v>5</v>
      </c>
      <c r="D109" s="1">
        <v>2</v>
      </c>
      <c r="E109" s="1">
        <v>6</v>
      </c>
      <c r="F109" s="1">
        <v>2</v>
      </c>
      <c r="G109" s="1">
        <v>8</v>
      </c>
    </row>
    <row r="110" spans="1:7" x14ac:dyDescent="0.2">
      <c r="A110" s="1" t="s">
        <v>119</v>
      </c>
      <c r="B110" s="1" t="str">
        <f>VLOOKUP(student_skills[[#This Row],[Student_ID]],student_data[],2,0)</f>
        <v>Mechanical</v>
      </c>
      <c r="C110" s="1">
        <v>3</v>
      </c>
      <c r="D110" s="1">
        <v>1</v>
      </c>
      <c r="E110" s="1">
        <v>6</v>
      </c>
      <c r="F110" s="1">
        <v>4</v>
      </c>
      <c r="G110" s="1">
        <v>8</v>
      </c>
    </row>
    <row r="111" spans="1:7" x14ac:dyDescent="0.2">
      <c r="A111" s="1" t="s">
        <v>120</v>
      </c>
      <c r="B111" s="1" t="str">
        <f>VLOOKUP(student_skills[[#This Row],[Student_ID]],student_data[],2,0)</f>
        <v>Civil</v>
      </c>
      <c r="C111" s="1">
        <v>8</v>
      </c>
      <c r="D111" s="1">
        <v>7</v>
      </c>
      <c r="E111" s="1">
        <v>5</v>
      </c>
      <c r="F111" s="1">
        <v>3</v>
      </c>
      <c r="G111" s="1">
        <v>9</v>
      </c>
    </row>
    <row r="112" spans="1:7" x14ac:dyDescent="0.2">
      <c r="A112" s="1" t="s">
        <v>121</v>
      </c>
      <c r="B112" s="1" t="str">
        <f>VLOOKUP(student_skills[[#This Row],[Student_ID]],student_data[],2,0)</f>
        <v>Mechanical</v>
      </c>
      <c r="C112" s="1">
        <v>6</v>
      </c>
      <c r="D112" s="1">
        <v>7</v>
      </c>
      <c r="E112" s="1">
        <v>4</v>
      </c>
      <c r="F112" s="1">
        <v>1</v>
      </c>
      <c r="G112" s="1">
        <v>1</v>
      </c>
    </row>
    <row r="113" spans="1:7" x14ac:dyDescent="0.2">
      <c r="A113" s="1" t="s">
        <v>122</v>
      </c>
      <c r="B113" s="1" t="str">
        <f>VLOOKUP(student_skills[[#This Row],[Student_ID]],student_data[],2,0)</f>
        <v>Mechanical</v>
      </c>
      <c r="C113" s="1">
        <v>3</v>
      </c>
      <c r="D113" s="1">
        <v>2</v>
      </c>
      <c r="E113" s="1">
        <v>10</v>
      </c>
      <c r="F113" s="1">
        <v>3</v>
      </c>
      <c r="G113" s="1">
        <v>1</v>
      </c>
    </row>
    <row r="114" spans="1:7" x14ac:dyDescent="0.2">
      <c r="A114" s="1" t="s">
        <v>123</v>
      </c>
      <c r="B114" s="1" t="str">
        <f>VLOOKUP(student_skills[[#This Row],[Student_ID]],student_data[],2,0)</f>
        <v>Computer Science</v>
      </c>
      <c r="C114" s="1">
        <v>1</v>
      </c>
      <c r="D114" s="1">
        <v>7</v>
      </c>
      <c r="E114" s="1">
        <v>1</v>
      </c>
      <c r="F114" s="1">
        <v>2</v>
      </c>
      <c r="G114" s="1">
        <v>3</v>
      </c>
    </row>
    <row r="115" spans="1:7" x14ac:dyDescent="0.2">
      <c r="A115" s="1" t="s">
        <v>124</v>
      </c>
      <c r="B115" s="1" t="str">
        <f>VLOOKUP(student_skills[[#This Row],[Student_ID]],student_data[],2,0)</f>
        <v>Mechanical</v>
      </c>
      <c r="C115" s="1">
        <v>3</v>
      </c>
      <c r="D115" s="1">
        <v>8</v>
      </c>
      <c r="E115" s="1">
        <v>10</v>
      </c>
      <c r="F115" s="1">
        <v>8</v>
      </c>
      <c r="G115" s="1">
        <v>3</v>
      </c>
    </row>
    <row r="116" spans="1:7" x14ac:dyDescent="0.2">
      <c r="A116" s="1" t="s">
        <v>125</v>
      </c>
      <c r="B116" s="1" t="str">
        <f>VLOOKUP(student_skills[[#This Row],[Student_ID]],student_data[],2,0)</f>
        <v>Information Technology</v>
      </c>
      <c r="C116" s="1">
        <v>5</v>
      </c>
      <c r="D116" s="1">
        <v>1</v>
      </c>
      <c r="E116" s="1">
        <v>6</v>
      </c>
      <c r="F116" s="1">
        <v>6</v>
      </c>
      <c r="G116" s="1">
        <v>10</v>
      </c>
    </row>
    <row r="117" spans="1:7" x14ac:dyDescent="0.2">
      <c r="A117" s="1" t="s">
        <v>126</v>
      </c>
      <c r="B117" s="1" t="str">
        <f>VLOOKUP(student_skills[[#This Row],[Student_ID]],student_data[],2,0)</f>
        <v>Mechanical</v>
      </c>
      <c r="C117" s="1">
        <v>3</v>
      </c>
      <c r="D117" s="1">
        <v>9</v>
      </c>
      <c r="E117" s="1">
        <v>2</v>
      </c>
      <c r="F117" s="1">
        <v>9</v>
      </c>
      <c r="G117" s="1">
        <v>8</v>
      </c>
    </row>
    <row r="118" spans="1:7" x14ac:dyDescent="0.2">
      <c r="A118" s="1" t="s">
        <v>127</v>
      </c>
      <c r="B118" s="1" t="str">
        <f>VLOOKUP(student_skills[[#This Row],[Student_ID]],student_data[],2,0)</f>
        <v>Computer Science</v>
      </c>
      <c r="C118" s="1">
        <v>1</v>
      </c>
      <c r="D118" s="1">
        <v>7</v>
      </c>
      <c r="E118" s="1">
        <v>3</v>
      </c>
      <c r="F118" s="1">
        <v>8</v>
      </c>
      <c r="G118" s="1">
        <v>10</v>
      </c>
    </row>
    <row r="119" spans="1:7" x14ac:dyDescent="0.2">
      <c r="A119" s="1" t="s">
        <v>128</v>
      </c>
      <c r="B119" s="1" t="str">
        <f>VLOOKUP(student_skills[[#This Row],[Student_ID]],student_data[],2,0)</f>
        <v>Information Technology</v>
      </c>
      <c r="C119" s="1">
        <v>5</v>
      </c>
      <c r="D119" s="1">
        <v>3</v>
      </c>
      <c r="E119" s="1">
        <v>8</v>
      </c>
      <c r="F119" s="1">
        <v>10</v>
      </c>
      <c r="G119" s="1">
        <v>1</v>
      </c>
    </row>
    <row r="120" spans="1:7" x14ac:dyDescent="0.2">
      <c r="A120" s="1" t="s">
        <v>129</v>
      </c>
      <c r="B120" s="1" t="str">
        <f>VLOOKUP(student_skills[[#This Row],[Student_ID]],student_data[],2,0)</f>
        <v>Electronics</v>
      </c>
      <c r="C120" s="1">
        <v>10</v>
      </c>
      <c r="D120" s="1">
        <v>8</v>
      </c>
      <c r="E120" s="1">
        <v>10</v>
      </c>
      <c r="F120" s="1">
        <v>3</v>
      </c>
      <c r="G120" s="1">
        <v>2</v>
      </c>
    </row>
    <row r="121" spans="1:7" x14ac:dyDescent="0.2">
      <c r="A121" s="1" t="s">
        <v>130</v>
      </c>
      <c r="B121" s="1" t="str">
        <f>VLOOKUP(student_skills[[#This Row],[Student_ID]],student_data[],2,0)</f>
        <v>Mechanical</v>
      </c>
      <c r="C121" s="1">
        <v>7</v>
      </c>
      <c r="D121" s="1">
        <v>7</v>
      </c>
      <c r="E121" s="1">
        <v>6</v>
      </c>
      <c r="F121" s="1">
        <v>5</v>
      </c>
      <c r="G121" s="1">
        <v>2</v>
      </c>
    </row>
    <row r="122" spans="1:7" x14ac:dyDescent="0.2">
      <c r="A122" s="1" t="s">
        <v>131</v>
      </c>
      <c r="B122" s="1" t="str">
        <f>VLOOKUP(student_skills[[#This Row],[Student_ID]],student_data[],2,0)</f>
        <v>Computer Science</v>
      </c>
      <c r="C122" s="1">
        <v>7</v>
      </c>
      <c r="D122" s="1">
        <v>8</v>
      </c>
      <c r="E122" s="1">
        <v>3</v>
      </c>
      <c r="F122" s="1">
        <v>7</v>
      </c>
      <c r="G122" s="1">
        <v>3</v>
      </c>
    </row>
    <row r="123" spans="1:7" x14ac:dyDescent="0.2">
      <c r="A123" s="1" t="s">
        <v>132</v>
      </c>
      <c r="B123" s="1" t="str">
        <f>VLOOKUP(student_skills[[#This Row],[Student_ID]],student_data[],2,0)</f>
        <v>Electronics</v>
      </c>
      <c r="C123" s="1">
        <v>9</v>
      </c>
      <c r="D123" s="1">
        <v>6</v>
      </c>
      <c r="E123" s="1">
        <v>7</v>
      </c>
      <c r="F123" s="1">
        <v>5</v>
      </c>
      <c r="G123" s="1">
        <v>6</v>
      </c>
    </row>
    <row r="124" spans="1:7" x14ac:dyDescent="0.2">
      <c r="A124" s="1" t="s">
        <v>133</v>
      </c>
      <c r="B124" s="1" t="str">
        <f>VLOOKUP(student_skills[[#This Row],[Student_ID]],student_data[],2,0)</f>
        <v>Electronics</v>
      </c>
      <c r="C124" s="1">
        <v>10</v>
      </c>
      <c r="D124" s="1">
        <v>9</v>
      </c>
      <c r="E124" s="1">
        <v>4</v>
      </c>
      <c r="F124" s="1">
        <v>8</v>
      </c>
      <c r="G124" s="1">
        <v>1</v>
      </c>
    </row>
    <row r="125" spans="1:7" x14ac:dyDescent="0.2">
      <c r="A125" s="1" t="s">
        <v>134</v>
      </c>
      <c r="B125" s="1" t="str">
        <f>VLOOKUP(student_skills[[#This Row],[Student_ID]],student_data[],2,0)</f>
        <v>Civil</v>
      </c>
      <c r="C125" s="1">
        <v>10</v>
      </c>
      <c r="D125" s="1">
        <v>5</v>
      </c>
      <c r="E125" s="1">
        <v>9</v>
      </c>
      <c r="F125" s="1">
        <v>5</v>
      </c>
      <c r="G125" s="1">
        <v>2</v>
      </c>
    </row>
    <row r="126" spans="1:7" x14ac:dyDescent="0.2">
      <c r="A126" s="1" t="s">
        <v>135</v>
      </c>
      <c r="B126" s="1" t="str">
        <f>VLOOKUP(student_skills[[#This Row],[Student_ID]],student_data[],2,0)</f>
        <v>Information Technology</v>
      </c>
      <c r="C126" s="1">
        <v>3</v>
      </c>
      <c r="D126" s="1">
        <v>3</v>
      </c>
      <c r="E126" s="1">
        <v>5</v>
      </c>
      <c r="F126" s="1">
        <v>1</v>
      </c>
      <c r="G126" s="1">
        <v>1</v>
      </c>
    </row>
    <row r="127" spans="1:7" x14ac:dyDescent="0.2">
      <c r="A127" s="1" t="s">
        <v>136</v>
      </c>
      <c r="B127" s="1" t="str">
        <f>VLOOKUP(student_skills[[#This Row],[Student_ID]],student_data[],2,0)</f>
        <v>Mechanical</v>
      </c>
      <c r="C127" s="1">
        <v>7</v>
      </c>
      <c r="D127" s="1">
        <v>3</v>
      </c>
      <c r="E127" s="1">
        <v>3</v>
      </c>
      <c r="F127" s="1">
        <v>5</v>
      </c>
      <c r="G127" s="1">
        <v>5</v>
      </c>
    </row>
    <row r="128" spans="1:7" x14ac:dyDescent="0.2">
      <c r="A128" s="1" t="s">
        <v>137</v>
      </c>
      <c r="B128" s="1" t="str">
        <f>VLOOKUP(student_skills[[#This Row],[Student_ID]],student_data[],2,0)</f>
        <v>Computer Science</v>
      </c>
      <c r="C128" s="1">
        <v>1</v>
      </c>
      <c r="D128" s="1">
        <v>1</v>
      </c>
      <c r="E128" s="1">
        <v>2</v>
      </c>
      <c r="F128" s="1">
        <v>4</v>
      </c>
      <c r="G128" s="1">
        <v>7</v>
      </c>
    </row>
    <row r="129" spans="1:7" x14ac:dyDescent="0.2">
      <c r="A129" s="1" t="s">
        <v>138</v>
      </c>
      <c r="B129" s="1" t="str">
        <f>VLOOKUP(student_skills[[#This Row],[Student_ID]],student_data[],2,0)</f>
        <v>Civil</v>
      </c>
      <c r="C129" s="1">
        <v>4</v>
      </c>
      <c r="D129" s="1">
        <v>8</v>
      </c>
      <c r="E129" s="1">
        <v>2</v>
      </c>
      <c r="F129" s="1">
        <v>6</v>
      </c>
      <c r="G129" s="1">
        <v>8</v>
      </c>
    </row>
    <row r="130" spans="1:7" x14ac:dyDescent="0.2">
      <c r="A130" s="1" t="s">
        <v>139</v>
      </c>
      <c r="B130" s="1" t="str">
        <f>VLOOKUP(student_skills[[#This Row],[Student_ID]],student_data[],2,0)</f>
        <v>Information Technology</v>
      </c>
      <c r="C130" s="1">
        <v>4</v>
      </c>
      <c r="D130" s="1">
        <v>2</v>
      </c>
      <c r="E130" s="1">
        <v>3</v>
      </c>
      <c r="F130" s="1">
        <v>3</v>
      </c>
      <c r="G130" s="1">
        <v>10</v>
      </c>
    </row>
    <row r="131" spans="1:7" x14ac:dyDescent="0.2">
      <c r="A131" s="1" t="s">
        <v>140</v>
      </c>
      <c r="B131" s="1" t="str">
        <f>VLOOKUP(student_skills[[#This Row],[Student_ID]],student_data[],2,0)</f>
        <v>Civil</v>
      </c>
      <c r="C131" s="1">
        <v>5</v>
      </c>
      <c r="D131" s="1">
        <v>3</v>
      </c>
      <c r="E131" s="1">
        <v>2</v>
      </c>
      <c r="F131" s="1">
        <v>5</v>
      </c>
      <c r="G131" s="1">
        <v>1</v>
      </c>
    </row>
    <row r="132" spans="1:7" x14ac:dyDescent="0.2">
      <c r="A132" s="1" t="s">
        <v>141</v>
      </c>
      <c r="B132" s="1" t="str">
        <f>VLOOKUP(student_skills[[#This Row],[Student_ID]],student_data[],2,0)</f>
        <v>Information Technology</v>
      </c>
      <c r="C132" s="1">
        <v>7</v>
      </c>
      <c r="D132" s="1">
        <v>8</v>
      </c>
      <c r="E132" s="1">
        <v>4</v>
      </c>
      <c r="F132" s="1">
        <v>2</v>
      </c>
      <c r="G132" s="1">
        <v>7</v>
      </c>
    </row>
    <row r="133" spans="1:7" x14ac:dyDescent="0.2">
      <c r="A133" s="1" t="s">
        <v>142</v>
      </c>
      <c r="B133" s="1" t="str">
        <f>VLOOKUP(student_skills[[#This Row],[Student_ID]],student_data[],2,0)</f>
        <v>Information Technology</v>
      </c>
      <c r="C133" s="1">
        <v>7</v>
      </c>
      <c r="D133" s="1">
        <v>8</v>
      </c>
      <c r="E133" s="1">
        <v>2</v>
      </c>
      <c r="F133" s="1">
        <v>6</v>
      </c>
      <c r="G133" s="1">
        <v>5</v>
      </c>
    </row>
    <row r="134" spans="1:7" x14ac:dyDescent="0.2">
      <c r="A134" s="1" t="s">
        <v>143</v>
      </c>
      <c r="B134" s="1" t="str">
        <f>VLOOKUP(student_skills[[#This Row],[Student_ID]],student_data[],2,0)</f>
        <v>Mechanical</v>
      </c>
      <c r="C134" s="1">
        <v>4</v>
      </c>
      <c r="D134" s="1">
        <v>4</v>
      </c>
      <c r="E134" s="1">
        <v>10</v>
      </c>
      <c r="F134" s="1">
        <v>6</v>
      </c>
      <c r="G134" s="1">
        <v>10</v>
      </c>
    </row>
    <row r="135" spans="1:7" x14ac:dyDescent="0.2">
      <c r="A135" s="1" t="s">
        <v>144</v>
      </c>
      <c r="B135" s="1" t="str">
        <f>VLOOKUP(student_skills[[#This Row],[Student_ID]],student_data[],2,0)</f>
        <v>Information Technology</v>
      </c>
      <c r="C135" s="1">
        <v>7</v>
      </c>
      <c r="D135" s="1">
        <v>4</v>
      </c>
      <c r="E135" s="1">
        <v>9</v>
      </c>
      <c r="F135" s="1">
        <v>5</v>
      </c>
      <c r="G135" s="1">
        <v>1</v>
      </c>
    </row>
    <row r="136" spans="1:7" x14ac:dyDescent="0.2">
      <c r="A136" s="1" t="s">
        <v>145</v>
      </c>
      <c r="B136" s="1" t="str">
        <f>VLOOKUP(student_skills[[#This Row],[Student_ID]],student_data[],2,0)</f>
        <v>Civil</v>
      </c>
      <c r="C136" s="1">
        <v>3</v>
      </c>
      <c r="D136" s="1">
        <v>5</v>
      </c>
      <c r="E136" s="1">
        <v>2</v>
      </c>
      <c r="F136" s="1">
        <v>6</v>
      </c>
      <c r="G136" s="1">
        <v>3</v>
      </c>
    </row>
    <row r="137" spans="1:7" x14ac:dyDescent="0.2">
      <c r="A137" s="1" t="s">
        <v>146</v>
      </c>
      <c r="B137" s="1" t="str">
        <f>VLOOKUP(student_skills[[#This Row],[Student_ID]],student_data[],2,0)</f>
        <v>Information Technology</v>
      </c>
      <c r="C137" s="1">
        <v>6</v>
      </c>
      <c r="D137" s="1">
        <v>6</v>
      </c>
      <c r="E137" s="1">
        <v>9</v>
      </c>
      <c r="F137" s="1">
        <v>7</v>
      </c>
      <c r="G137" s="1">
        <v>7</v>
      </c>
    </row>
    <row r="138" spans="1:7" x14ac:dyDescent="0.2">
      <c r="A138" s="1" t="s">
        <v>147</v>
      </c>
      <c r="B138" s="1" t="str">
        <f>VLOOKUP(student_skills[[#This Row],[Student_ID]],student_data[],2,0)</f>
        <v>Mechanical</v>
      </c>
      <c r="C138" s="1">
        <v>2</v>
      </c>
      <c r="D138" s="1">
        <v>5</v>
      </c>
      <c r="E138" s="1">
        <v>6</v>
      </c>
      <c r="F138" s="1">
        <v>5</v>
      </c>
      <c r="G138" s="1">
        <v>10</v>
      </c>
    </row>
    <row r="139" spans="1:7" x14ac:dyDescent="0.2">
      <c r="A139" s="1" t="s">
        <v>148</v>
      </c>
      <c r="B139" s="1" t="str">
        <f>VLOOKUP(student_skills[[#This Row],[Student_ID]],student_data[],2,0)</f>
        <v>Mechanical</v>
      </c>
      <c r="C139" s="1">
        <v>10</v>
      </c>
      <c r="D139" s="1">
        <v>7</v>
      </c>
      <c r="E139" s="1">
        <v>1</v>
      </c>
      <c r="F139" s="1">
        <v>1</v>
      </c>
      <c r="G139" s="1">
        <v>1</v>
      </c>
    </row>
    <row r="140" spans="1:7" x14ac:dyDescent="0.2">
      <c r="A140" s="1" t="s">
        <v>149</v>
      </c>
      <c r="B140" s="1" t="str">
        <f>VLOOKUP(student_skills[[#This Row],[Student_ID]],student_data[],2,0)</f>
        <v>Civil</v>
      </c>
      <c r="C140" s="1">
        <v>9</v>
      </c>
      <c r="D140" s="1">
        <v>2</v>
      </c>
      <c r="E140" s="1">
        <v>4</v>
      </c>
      <c r="F140" s="1">
        <v>8</v>
      </c>
      <c r="G140" s="1">
        <v>7</v>
      </c>
    </row>
    <row r="141" spans="1:7" x14ac:dyDescent="0.2">
      <c r="A141" s="1" t="s">
        <v>150</v>
      </c>
      <c r="B141" s="1" t="str">
        <f>VLOOKUP(student_skills[[#This Row],[Student_ID]],student_data[],2,0)</f>
        <v>Electronics</v>
      </c>
      <c r="C141" s="1">
        <v>5</v>
      </c>
      <c r="D141" s="1">
        <v>7</v>
      </c>
      <c r="E141" s="1">
        <v>1</v>
      </c>
      <c r="F141" s="1">
        <v>4</v>
      </c>
      <c r="G141" s="1">
        <v>5</v>
      </c>
    </row>
    <row r="142" spans="1:7" x14ac:dyDescent="0.2">
      <c r="A142" s="1" t="s">
        <v>151</v>
      </c>
      <c r="B142" s="1" t="str">
        <f>VLOOKUP(student_skills[[#This Row],[Student_ID]],student_data[],2,0)</f>
        <v>Electronics</v>
      </c>
      <c r="C142" s="1">
        <v>6</v>
      </c>
      <c r="D142" s="1">
        <v>10</v>
      </c>
      <c r="E142" s="1">
        <v>6</v>
      </c>
      <c r="F142" s="1">
        <v>9</v>
      </c>
      <c r="G142" s="1">
        <v>1</v>
      </c>
    </row>
    <row r="143" spans="1:7" x14ac:dyDescent="0.2">
      <c r="A143" s="1" t="s">
        <v>152</v>
      </c>
      <c r="B143" s="1" t="str">
        <f>VLOOKUP(student_skills[[#This Row],[Student_ID]],student_data[],2,0)</f>
        <v>Information Technology</v>
      </c>
      <c r="C143" s="1">
        <v>4</v>
      </c>
      <c r="D143" s="1">
        <v>7</v>
      </c>
      <c r="E143" s="1">
        <v>4</v>
      </c>
      <c r="F143" s="1">
        <v>10</v>
      </c>
      <c r="G143" s="1">
        <v>1</v>
      </c>
    </row>
    <row r="144" spans="1:7" x14ac:dyDescent="0.2">
      <c r="A144" s="1" t="s">
        <v>153</v>
      </c>
      <c r="B144" s="1" t="str">
        <f>VLOOKUP(student_skills[[#This Row],[Student_ID]],student_data[],2,0)</f>
        <v>Computer Science</v>
      </c>
      <c r="C144" s="1">
        <v>10</v>
      </c>
      <c r="D144" s="1">
        <v>1</v>
      </c>
      <c r="E144" s="1">
        <v>3</v>
      </c>
      <c r="F144" s="1">
        <v>6</v>
      </c>
      <c r="G144" s="1">
        <v>1</v>
      </c>
    </row>
    <row r="145" spans="1:7" x14ac:dyDescent="0.2">
      <c r="A145" s="1" t="s">
        <v>154</v>
      </c>
      <c r="B145" s="1" t="str">
        <f>VLOOKUP(student_skills[[#This Row],[Student_ID]],student_data[],2,0)</f>
        <v>Information Technology</v>
      </c>
      <c r="C145" s="1">
        <v>7</v>
      </c>
      <c r="D145" s="1">
        <v>7</v>
      </c>
      <c r="E145" s="1">
        <v>3</v>
      </c>
      <c r="F145" s="1">
        <v>1</v>
      </c>
      <c r="G145" s="1">
        <v>9</v>
      </c>
    </row>
    <row r="146" spans="1:7" x14ac:dyDescent="0.2">
      <c r="A146" s="1" t="s">
        <v>155</v>
      </c>
      <c r="B146" s="1" t="str">
        <f>VLOOKUP(student_skills[[#This Row],[Student_ID]],student_data[],2,0)</f>
        <v>Civil</v>
      </c>
      <c r="C146" s="1">
        <v>9</v>
      </c>
      <c r="D146" s="1">
        <v>5</v>
      </c>
      <c r="E146" s="1">
        <v>9</v>
      </c>
      <c r="F146" s="1">
        <v>3</v>
      </c>
      <c r="G146" s="1">
        <v>3</v>
      </c>
    </row>
    <row r="147" spans="1:7" x14ac:dyDescent="0.2">
      <c r="A147" s="1" t="s">
        <v>156</v>
      </c>
      <c r="B147" s="1" t="str">
        <f>VLOOKUP(student_skills[[#This Row],[Student_ID]],student_data[],2,0)</f>
        <v>Civil</v>
      </c>
      <c r="C147" s="1">
        <v>7</v>
      </c>
      <c r="D147" s="1">
        <v>3</v>
      </c>
      <c r="E147" s="1">
        <v>6</v>
      </c>
      <c r="F147" s="1">
        <v>3</v>
      </c>
      <c r="G147" s="1">
        <v>5</v>
      </c>
    </row>
    <row r="148" spans="1:7" x14ac:dyDescent="0.2">
      <c r="A148" s="1" t="s">
        <v>157</v>
      </c>
      <c r="B148" s="1" t="str">
        <f>VLOOKUP(student_skills[[#This Row],[Student_ID]],student_data[],2,0)</f>
        <v>Civil</v>
      </c>
      <c r="C148" s="1">
        <v>1</v>
      </c>
      <c r="D148" s="1">
        <v>3</v>
      </c>
      <c r="E148" s="1">
        <v>9</v>
      </c>
      <c r="F148" s="1">
        <v>10</v>
      </c>
      <c r="G148" s="1">
        <v>10</v>
      </c>
    </row>
    <row r="149" spans="1:7" x14ac:dyDescent="0.2">
      <c r="A149" s="1" t="s">
        <v>158</v>
      </c>
      <c r="B149" s="1" t="str">
        <f>VLOOKUP(student_skills[[#This Row],[Student_ID]],student_data[],2,0)</f>
        <v>Civil</v>
      </c>
      <c r="C149" s="1">
        <v>1</v>
      </c>
      <c r="D149" s="1">
        <v>4</v>
      </c>
      <c r="E149" s="1">
        <v>5</v>
      </c>
      <c r="F149" s="1">
        <v>4</v>
      </c>
      <c r="G149" s="1">
        <v>9</v>
      </c>
    </row>
    <row r="150" spans="1:7" x14ac:dyDescent="0.2">
      <c r="A150" s="1" t="s">
        <v>159</v>
      </c>
      <c r="B150" s="1" t="str">
        <f>VLOOKUP(student_skills[[#This Row],[Student_ID]],student_data[],2,0)</f>
        <v>Civil</v>
      </c>
      <c r="C150" s="1">
        <v>9</v>
      </c>
      <c r="D150" s="1">
        <v>2</v>
      </c>
      <c r="E150" s="1">
        <v>2</v>
      </c>
      <c r="F150" s="1">
        <v>6</v>
      </c>
      <c r="G150" s="1">
        <v>6</v>
      </c>
    </row>
    <row r="151" spans="1:7" x14ac:dyDescent="0.2">
      <c r="A151" s="1" t="s">
        <v>160</v>
      </c>
      <c r="B151" s="1" t="str">
        <f>VLOOKUP(student_skills[[#This Row],[Student_ID]],student_data[],2,0)</f>
        <v>Mechanical</v>
      </c>
      <c r="C151" s="1">
        <v>9</v>
      </c>
      <c r="D151" s="1">
        <v>2</v>
      </c>
      <c r="E151" s="1">
        <v>8</v>
      </c>
      <c r="F151" s="1">
        <v>7</v>
      </c>
      <c r="G151" s="1">
        <v>9</v>
      </c>
    </row>
    <row r="152" spans="1:7" x14ac:dyDescent="0.2">
      <c r="A152" s="1" t="s">
        <v>161</v>
      </c>
      <c r="B152" s="1" t="str">
        <f>VLOOKUP(student_skills[[#This Row],[Student_ID]],student_data[],2,0)</f>
        <v>Electronics</v>
      </c>
      <c r="C152" s="1">
        <v>4</v>
      </c>
      <c r="D152" s="1">
        <v>1</v>
      </c>
      <c r="E152" s="1">
        <v>5</v>
      </c>
      <c r="F152" s="1">
        <v>10</v>
      </c>
      <c r="G152" s="1">
        <v>8</v>
      </c>
    </row>
    <row r="153" spans="1:7" x14ac:dyDescent="0.2">
      <c r="A153" s="1" t="s">
        <v>162</v>
      </c>
      <c r="B153" s="1" t="str">
        <f>VLOOKUP(student_skills[[#This Row],[Student_ID]],student_data[],2,0)</f>
        <v>Civil</v>
      </c>
      <c r="C153" s="1">
        <v>9</v>
      </c>
      <c r="D153" s="1">
        <v>5</v>
      </c>
      <c r="E153" s="1">
        <v>2</v>
      </c>
      <c r="F153" s="1">
        <v>4</v>
      </c>
      <c r="G153" s="1">
        <v>8</v>
      </c>
    </row>
    <row r="154" spans="1:7" x14ac:dyDescent="0.2">
      <c r="A154" s="1" t="s">
        <v>163</v>
      </c>
      <c r="B154" s="1" t="str">
        <f>VLOOKUP(student_skills[[#This Row],[Student_ID]],student_data[],2,0)</f>
        <v>Computer Science</v>
      </c>
      <c r="C154" s="1">
        <v>3</v>
      </c>
      <c r="D154" s="1">
        <v>4</v>
      </c>
      <c r="E154" s="1">
        <v>4</v>
      </c>
      <c r="F154" s="1">
        <v>6</v>
      </c>
      <c r="G154" s="1">
        <v>1</v>
      </c>
    </row>
    <row r="155" spans="1:7" x14ac:dyDescent="0.2">
      <c r="A155" s="1" t="s">
        <v>164</v>
      </c>
      <c r="B155" s="1" t="str">
        <f>VLOOKUP(student_skills[[#This Row],[Student_ID]],student_data[],2,0)</f>
        <v>Computer Science</v>
      </c>
      <c r="C155" s="1">
        <v>7</v>
      </c>
      <c r="D155" s="1">
        <v>10</v>
      </c>
      <c r="E155" s="1">
        <v>9</v>
      </c>
      <c r="F155" s="1">
        <v>1</v>
      </c>
      <c r="G155" s="1">
        <v>9</v>
      </c>
    </row>
    <row r="156" spans="1:7" x14ac:dyDescent="0.2">
      <c r="A156" s="1" t="s">
        <v>165</v>
      </c>
      <c r="B156" s="1" t="str">
        <f>VLOOKUP(student_skills[[#This Row],[Student_ID]],student_data[],2,0)</f>
        <v>Computer Science</v>
      </c>
      <c r="C156" s="1">
        <v>6</v>
      </c>
      <c r="D156" s="1">
        <v>2</v>
      </c>
      <c r="E156" s="1">
        <v>4</v>
      </c>
      <c r="F156" s="1">
        <v>8</v>
      </c>
      <c r="G156" s="1">
        <v>6</v>
      </c>
    </row>
    <row r="157" spans="1:7" x14ac:dyDescent="0.2">
      <c r="A157" s="1" t="s">
        <v>166</v>
      </c>
      <c r="B157" s="1" t="str">
        <f>VLOOKUP(student_skills[[#This Row],[Student_ID]],student_data[],2,0)</f>
        <v>Computer Science</v>
      </c>
      <c r="C157" s="1">
        <v>8</v>
      </c>
      <c r="D157" s="1">
        <v>3</v>
      </c>
      <c r="E157" s="1">
        <v>4</v>
      </c>
      <c r="F157" s="1">
        <v>7</v>
      </c>
      <c r="G157" s="1">
        <v>9</v>
      </c>
    </row>
    <row r="158" spans="1:7" x14ac:dyDescent="0.2">
      <c r="A158" s="1" t="s">
        <v>167</v>
      </c>
      <c r="B158" s="1" t="str">
        <f>VLOOKUP(student_skills[[#This Row],[Student_ID]],student_data[],2,0)</f>
        <v>Mechanical</v>
      </c>
      <c r="C158" s="1">
        <v>9</v>
      </c>
      <c r="D158" s="1">
        <v>7</v>
      </c>
      <c r="E158" s="1">
        <v>2</v>
      </c>
      <c r="F158" s="1">
        <v>9</v>
      </c>
      <c r="G158" s="1">
        <v>3</v>
      </c>
    </row>
    <row r="159" spans="1:7" x14ac:dyDescent="0.2">
      <c r="A159" s="1" t="s">
        <v>168</v>
      </c>
      <c r="B159" s="1" t="str">
        <f>VLOOKUP(student_skills[[#This Row],[Student_ID]],student_data[],2,0)</f>
        <v>Computer Science</v>
      </c>
      <c r="C159" s="1">
        <v>5</v>
      </c>
      <c r="D159" s="1">
        <v>7</v>
      </c>
      <c r="E159" s="1">
        <v>6</v>
      </c>
      <c r="F159" s="1">
        <v>3</v>
      </c>
      <c r="G159" s="1">
        <v>3</v>
      </c>
    </row>
    <row r="160" spans="1:7" x14ac:dyDescent="0.2">
      <c r="A160" s="1" t="s">
        <v>169</v>
      </c>
      <c r="B160" s="1" t="str">
        <f>VLOOKUP(student_skills[[#This Row],[Student_ID]],student_data[],2,0)</f>
        <v>Civil</v>
      </c>
      <c r="C160" s="1">
        <v>1</v>
      </c>
      <c r="D160" s="1">
        <v>4</v>
      </c>
      <c r="E160" s="1">
        <v>2</v>
      </c>
      <c r="F160" s="1">
        <v>2</v>
      </c>
      <c r="G160" s="1">
        <v>6</v>
      </c>
    </row>
    <row r="161" spans="1:7" x14ac:dyDescent="0.2">
      <c r="A161" s="1" t="s">
        <v>170</v>
      </c>
      <c r="B161" s="1" t="str">
        <f>VLOOKUP(student_skills[[#This Row],[Student_ID]],student_data[],2,0)</f>
        <v>Information Technology</v>
      </c>
      <c r="C161" s="1">
        <v>3</v>
      </c>
      <c r="D161" s="1">
        <v>5</v>
      </c>
      <c r="E161" s="1">
        <v>7</v>
      </c>
      <c r="F161" s="1">
        <v>1</v>
      </c>
      <c r="G161" s="1">
        <v>9</v>
      </c>
    </row>
    <row r="162" spans="1:7" x14ac:dyDescent="0.2">
      <c r="A162" s="1" t="s">
        <v>171</v>
      </c>
      <c r="B162" s="1" t="str">
        <f>VLOOKUP(student_skills[[#This Row],[Student_ID]],student_data[],2,0)</f>
        <v>Computer Science</v>
      </c>
      <c r="C162" s="1">
        <v>10</v>
      </c>
      <c r="D162" s="1">
        <v>5</v>
      </c>
      <c r="E162" s="1">
        <v>3</v>
      </c>
      <c r="F162" s="1">
        <v>3</v>
      </c>
      <c r="G162" s="1">
        <v>7</v>
      </c>
    </row>
    <row r="163" spans="1:7" x14ac:dyDescent="0.2">
      <c r="A163" s="1" t="s">
        <v>172</v>
      </c>
      <c r="B163" s="1" t="str">
        <f>VLOOKUP(student_skills[[#This Row],[Student_ID]],student_data[],2,0)</f>
        <v>Mechanical</v>
      </c>
      <c r="C163" s="1">
        <v>8</v>
      </c>
      <c r="D163" s="1">
        <v>6</v>
      </c>
      <c r="E163" s="1">
        <v>3</v>
      </c>
      <c r="F163" s="1">
        <v>5</v>
      </c>
      <c r="G163" s="1">
        <v>3</v>
      </c>
    </row>
    <row r="164" spans="1:7" x14ac:dyDescent="0.2">
      <c r="A164" s="1" t="s">
        <v>173</v>
      </c>
      <c r="B164" s="1" t="str">
        <f>VLOOKUP(student_skills[[#This Row],[Student_ID]],student_data[],2,0)</f>
        <v>Mechanical</v>
      </c>
      <c r="C164" s="1">
        <v>6</v>
      </c>
      <c r="D164" s="1">
        <v>9</v>
      </c>
      <c r="E164" s="1">
        <v>5</v>
      </c>
      <c r="F164" s="1">
        <v>2</v>
      </c>
      <c r="G164" s="1">
        <v>3</v>
      </c>
    </row>
    <row r="165" spans="1:7" x14ac:dyDescent="0.2">
      <c r="A165" s="1" t="s">
        <v>174</v>
      </c>
      <c r="B165" s="1" t="str">
        <f>VLOOKUP(student_skills[[#This Row],[Student_ID]],student_data[],2,0)</f>
        <v>Computer Science</v>
      </c>
      <c r="C165" s="1">
        <v>8</v>
      </c>
      <c r="D165" s="1">
        <v>2</v>
      </c>
      <c r="E165" s="1">
        <v>3</v>
      </c>
      <c r="F165" s="1">
        <v>3</v>
      </c>
      <c r="G165" s="1">
        <v>2</v>
      </c>
    </row>
    <row r="166" spans="1:7" x14ac:dyDescent="0.2">
      <c r="A166" s="1" t="s">
        <v>175</v>
      </c>
      <c r="B166" s="1" t="str">
        <f>VLOOKUP(student_skills[[#This Row],[Student_ID]],student_data[],2,0)</f>
        <v>Information Technology</v>
      </c>
      <c r="C166" s="1">
        <v>9</v>
      </c>
      <c r="D166" s="1">
        <v>5</v>
      </c>
      <c r="E166" s="1">
        <v>2</v>
      </c>
      <c r="F166" s="1">
        <v>4</v>
      </c>
      <c r="G166" s="1">
        <v>9</v>
      </c>
    </row>
    <row r="167" spans="1:7" x14ac:dyDescent="0.2">
      <c r="A167" s="1" t="s">
        <v>176</v>
      </c>
      <c r="B167" s="1" t="str">
        <f>VLOOKUP(student_skills[[#This Row],[Student_ID]],student_data[],2,0)</f>
        <v>Computer Science</v>
      </c>
      <c r="C167" s="1">
        <v>4</v>
      </c>
      <c r="D167" s="1">
        <v>3</v>
      </c>
      <c r="E167" s="1">
        <v>10</v>
      </c>
      <c r="F167" s="1">
        <v>7</v>
      </c>
      <c r="G167" s="1">
        <v>3</v>
      </c>
    </row>
    <row r="168" spans="1:7" x14ac:dyDescent="0.2">
      <c r="A168" s="1" t="s">
        <v>177</v>
      </c>
      <c r="B168" s="1" t="str">
        <f>VLOOKUP(student_skills[[#This Row],[Student_ID]],student_data[],2,0)</f>
        <v>Mechanical</v>
      </c>
      <c r="C168" s="1">
        <v>1</v>
      </c>
      <c r="D168" s="1">
        <v>4</v>
      </c>
      <c r="E168" s="1">
        <v>9</v>
      </c>
      <c r="F168" s="1">
        <v>3</v>
      </c>
      <c r="G168" s="1">
        <v>5</v>
      </c>
    </row>
    <row r="169" spans="1:7" x14ac:dyDescent="0.2">
      <c r="A169" s="1" t="s">
        <v>178</v>
      </c>
      <c r="B169" s="1" t="str">
        <f>VLOOKUP(student_skills[[#This Row],[Student_ID]],student_data[],2,0)</f>
        <v>Electronics</v>
      </c>
      <c r="C169" s="1">
        <v>1</v>
      </c>
      <c r="D169" s="1">
        <v>10</v>
      </c>
      <c r="E169" s="1">
        <v>2</v>
      </c>
      <c r="F169" s="1">
        <v>9</v>
      </c>
      <c r="G169" s="1">
        <v>9</v>
      </c>
    </row>
    <row r="170" spans="1:7" x14ac:dyDescent="0.2">
      <c r="A170" s="1" t="s">
        <v>179</v>
      </c>
      <c r="B170" s="1" t="str">
        <f>VLOOKUP(student_skills[[#This Row],[Student_ID]],student_data[],2,0)</f>
        <v>Civil</v>
      </c>
      <c r="C170" s="1">
        <v>10</v>
      </c>
      <c r="D170" s="1">
        <v>6</v>
      </c>
      <c r="E170" s="1">
        <v>2</v>
      </c>
      <c r="F170" s="1">
        <v>8</v>
      </c>
      <c r="G170" s="1">
        <v>8</v>
      </c>
    </row>
    <row r="171" spans="1:7" x14ac:dyDescent="0.2">
      <c r="A171" s="1" t="s">
        <v>180</v>
      </c>
      <c r="B171" s="1" t="str">
        <f>VLOOKUP(student_skills[[#This Row],[Student_ID]],student_data[],2,0)</f>
        <v>Mechanical</v>
      </c>
      <c r="C171" s="1">
        <v>4</v>
      </c>
      <c r="D171" s="1">
        <v>8</v>
      </c>
      <c r="E171" s="1">
        <v>8</v>
      </c>
      <c r="F171" s="1">
        <v>4</v>
      </c>
      <c r="G171" s="1">
        <v>2</v>
      </c>
    </row>
    <row r="172" spans="1:7" x14ac:dyDescent="0.2">
      <c r="A172" s="1" t="s">
        <v>181</v>
      </c>
      <c r="B172" s="1" t="str">
        <f>VLOOKUP(student_skills[[#This Row],[Student_ID]],student_data[],2,0)</f>
        <v>Computer Science</v>
      </c>
      <c r="C172" s="1">
        <v>7</v>
      </c>
      <c r="D172" s="1">
        <v>1</v>
      </c>
      <c r="E172" s="1">
        <v>9</v>
      </c>
      <c r="F172" s="1">
        <v>1</v>
      </c>
      <c r="G172" s="1">
        <v>3</v>
      </c>
    </row>
    <row r="173" spans="1:7" x14ac:dyDescent="0.2">
      <c r="A173" s="1" t="s">
        <v>182</v>
      </c>
      <c r="B173" s="1" t="str">
        <f>VLOOKUP(student_skills[[#This Row],[Student_ID]],student_data[],2,0)</f>
        <v>Civil</v>
      </c>
      <c r="C173" s="1">
        <v>2</v>
      </c>
      <c r="D173" s="1">
        <v>10</v>
      </c>
      <c r="E173" s="1">
        <v>7</v>
      </c>
      <c r="F173" s="1">
        <v>1</v>
      </c>
      <c r="G173" s="1">
        <v>2</v>
      </c>
    </row>
    <row r="174" spans="1:7" x14ac:dyDescent="0.2">
      <c r="A174" s="1" t="s">
        <v>183</v>
      </c>
      <c r="B174" s="1" t="str">
        <f>VLOOKUP(student_skills[[#This Row],[Student_ID]],student_data[],2,0)</f>
        <v>Computer Science</v>
      </c>
      <c r="C174" s="1">
        <v>3</v>
      </c>
      <c r="D174" s="1">
        <v>8</v>
      </c>
      <c r="E174" s="1">
        <v>3</v>
      </c>
      <c r="F174" s="1">
        <v>1</v>
      </c>
      <c r="G174" s="1">
        <v>8</v>
      </c>
    </row>
    <row r="175" spans="1:7" x14ac:dyDescent="0.2">
      <c r="A175" s="1" t="s">
        <v>184</v>
      </c>
      <c r="B175" s="1" t="str">
        <f>VLOOKUP(student_skills[[#This Row],[Student_ID]],student_data[],2,0)</f>
        <v>Computer Science</v>
      </c>
      <c r="C175" s="1">
        <v>1</v>
      </c>
      <c r="D175" s="1">
        <v>7</v>
      </c>
      <c r="E175" s="1">
        <v>9</v>
      </c>
      <c r="F175" s="1">
        <v>1</v>
      </c>
      <c r="G175" s="1">
        <v>6</v>
      </c>
    </row>
    <row r="176" spans="1:7" x14ac:dyDescent="0.2">
      <c r="A176" s="1" t="s">
        <v>185</v>
      </c>
      <c r="B176" s="1" t="str">
        <f>VLOOKUP(student_skills[[#This Row],[Student_ID]],student_data[],2,0)</f>
        <v>Electronics</v>
      </c>
      <c r="C176" s="1">
        <v>5</v>
      </c>
      <c r="D176" s="1">
        <v>1</v>
      </c>
      <c r="E176" s="1">
        <v>3</v>
      </c>
      <c r="F176" s="1">
        <v>8</v>
      </c>
      <c r="G176" s="1">
        <v>6</v>
      </c>
    </row>
    <row r="177" spans="1:7" x14ac:dyDescent="0.2">
      <c r="A177" s="1" t="s">
        <v>186</v>
      </c>
      <c r="B177" s="1" t="str">
        <f>VLOOKUP(student_skills[[#This Row],[Student_ID]],student_data[],2,0)</f>
        <v>Civil</v>
      </c>
      <c r="C177" s="1">
        <v>1</v>
      </c>
      <c r="D177" s="1">
        <v>2</v>
      </c>
      <c r="E177" s="1">
        <v>5</v>
      </c>
      <c r="F177" s="1">
        <v>3</v>
      </c>
      <c r="G177" s="1">
        <v>9</v>
      </c>
    </row>
    <row r="178" spans="1:7" x14ac:dyDescent="0.2">
      <c r="A178" s="1" t="s">
        <v>187</v>
      </c>
      <c r="B178" s="1" t="str">
        <f>VLOOKUP(student_skills[[#This Row],[Student_ID]],student_data[],2,0)</f>
        <v>Civil</v>
      </c>
      <c r="C178" s="1">
        <v>8</v>
      </c>
      <c r="D178" s="1">
        <v>3</v>
      </c>
      <c r="E178" s="1">
        <v>9</v>
      </c>
      <c r="F178" s="1">
        <v>6</v>
      </c>
      <c r="G178" s="1">
        <v>8</v>
      </c>
    </row>
    <row r="179" spans="1:7" x14ac:dyDescent="0.2">
      <c r="A179" s="1" t="s">
        <v>188</v>
      </c>
      <c r="B179" s="1" t="str">
        <f>VLOOKUP(student_skills[[#This Row],[Student_ID]],student_data[],2,0)</f>
        <v>Electronics</v>
      </c>
      <c r="C179" s="1">
        <v>1</v>
      </c>
      <c r="D179" s="1">
        <v>1</v>
      </c>
      <c r="E179" s="1">
        <v>3</v>
      </c>
      <c r="F179" s="1">
        <v>3</v>
      </c>
      <c r="G179" s="1">
        <v>4</v>
      </c>
    </row>
    <row r="180" spans="1:7" x14ac:dyDescent="0.2">
      <c r="A180" s="1" t="s">
        <v>189</v>
      </c>
      <c r="B180" s="1" t="str">
        <f>VLOOKUP(student_skills[[#This Row],[Student_ID]],student_data[],2,0)</f>
        <v>Mechanical</v>
      </c>
      <c r="C180" s="1">
        <v>1</v>
      </c>
      <c r="D180" s="1">
        <v>9</v>
      </c>
      <c r="E180" s="1">
        <v>7</v>
      </c>
      <c r="F180" s="1">
        <v>5</v>
      </c>
      <c r="G180" s="1">
        <v>4</v>
      </c>
    </row>
    <row r="181" spans="1:7" x14ac:dyDescent="0.2">
      <c r="A181" s="1" t="s">
        <v>190</v>
      </c>
      <c r="B181" s="1" t="str">
        <f>VLOOKUP(student_skills[[#This Row],[Student_ID]],student_data[],2,0)</f>
        <v>Computer Science</v>
      </c>
      <c r="C181" s="1">
        <v>2</v>
      </c>
      <c r="D181" s="1">
        <v>8</v>
      </c>
      <c r="E181" s="1">
        <v>1</v>
      </c>
      <c r="F181" s="1">
        <v>7</v>
      </c>
      <c r="G181" s="1">
        <v>9</v>
      </c>
    </row>
    <row r="182" spans="1:7" x14ac:dyDescent="0.2">
      <c r="A182" s="1" t="s">
        <v>191</v>
      </c>
      <c r="B182" s="1" t="str">
        <f>VLOOKUP(student_skills[[#This Row],[Student_ID]],student_data[],2,0)</f>
        <v>Information Technology</v>
      </c>
      <c r="C182" s="1">
        <v>2</v>
      </c>
      <c r="D182" s="1">
        <v>2</v>
      </c>
      <c r="E182" s="1">
        <v>4</v>
      </c>
      <c r="F182" s="1">
        <v>2</v>
      </c>
      <c r="G182" s="1">
        <v>1</v>
      </c>
    </row>
    <row r="183" spans="1:7" x14ac:dyDescent="0.2">
      <c r="A183" s="1" t="s">
        <v>192</v>
      </c>
      <c r="B183" s="1" t="str">
        <f>VLOOKUP(student_skills[[#This Row],[Student_ID]],student_data[],2,0)</f>
        <v>Computer Science</v>
      </c>
      <c r="C183" s="1">
        <v>6</v>
      </c>
      <c r="D183" s="1">
        <v>9</v>
      </c>
      <c r="E183" s="1">
        <v>4</v>
      </c>
      <c r="F183" s="1">
        <v>6</v>
      </c>
      <c r="G183" s="1">
        <v>2</v>
      </c>
    </row>
    <row r="184" spans="1:7" x14ac:dyDescent="0.2">
      <c r="A184" s="1" t="s">
        <v>193</v>
      </c>
      <c r="B184" s="1" t="str">
        <f>VLOOKUP(student_skills[[#This Row],[Student_ID]],student_data[],2,0)</f>
        <v>Computer Science</v>
      </c>
      <c r="C184" s="1">
        <v>7</v>
      </c>
      <c r="D184" s="1">
        <v>7</v>
      </c>
      <c r="E184" s="1">
        <v>7</v>
      </c>
      <c r="F184" s="1">
        <v>6</v>
      </c>
      <c r="G184" s="1">
        <v>2</v>
      </c>
    </row>
    <row r="185" spans="1:7" x14ac:dyDescent="0.2">
      <c r="A185" s="1" t="s">
        <v>194</v>
      </c>
      <c r="B185" s="1" t="str">
        <f>VLOOKUP(student_skills[[#This Row],[Student_ID]],student_data[],2,0)</f>
        <v>Mechanical</v>
      </c>
      <c r="C185" s="1">
        <v>5</v>
      </c>
      <c r="D185" s="1">
        <v>9</v>
      </c>
      <c r="E185" s="1">
        <v>8</v>
      </c>
      <c r="F185" s="1">
        <v>3</v>
      </c>
      <c r="G185" s="1">
        <v>6</v>
      </c>
    </row>
    <row r="186" spans="1:7" x14ac:dyDescent="0.2">
      <c r="A186" s="1" t="s">
        <v>195</v>
      </c>
      <c r="B186" s="1" t="str">
        <f>VLOOKUP(student_skills[[#This Row],[Student_ID]],student_data[],2,0)</f>
        <v>Computer Science</v>
      </c>
      <c r="C186" s="1">
        <v>1</v>
      </c>
      <c r="D186" s="1">
        <v>6</v>
      </c>
      <c r="E186" s="1">
        <v>1</v>
      </c>
      <c r="F186" s="1">
        <v>6</v>
      </c>
      <c r="G186" s="1">
        <v>4</v>
      </c>
    </row>
    <row r="187" spans="1:7" x14ac:dyDescent="0.2">
      <c r="A187" s="1" t="s">
        <v>196</v>
      </c>
      <c r="B187" s="1" t="str">
        <f>VLOOKUP(student_skills[[#This Row],[Student_ID]],student_data[],2,0)</f>
        <v>Electronics</v>
      </c>
      <c r="C187" s="1">
        <v>1</v>
      </c>
      <c r="D187" s="1">
        <v>6</v>
      </c>
      <c r="E187" s="1">
        <v>5</v>
      </c>
      <c r="F187" s="1">
        <v>10</v>
      </c>
      <c r="G187" s="1">
        <v>10</v>
      </c>
    </row>
    <row r="188" spans="1:7" x14ac:dyDescent="0.2">
      <c r="A188" s="1" t="s">
        <v>197</v>
      </c>
      <c r="B188" s="1" t="str">
        <f>VLOOKUP(student_skills[[#This Row],[Student_ID]],student_data[],2,0)</f>
        <v>Electronics</v>
      </c>
      <c r="C188" s="1">
        <v>3</v>
      </c>
      <c r="D188" s="1">
        <v>4</v>
      </c>
      <c r="E188" s="1">
        <v>7</v>
      </c>
      <c r="F188" s="1">
        <v>10</v>
      </c>
      <c r="G188" s="1">
        <v>3</v>
      </c>
    </row>
    <row r="189" spans="1:7" x14ac:dyDescent="0.2">
      <c r="A189" s="1" t="s">
        <v>198</v>
      </c>
      <c r="B189" s="1" t="str">
        <f>VLOOKUP(student_skills[[#This Row],[Student_ID]],student_data[],2,0)</f>
        <v>Civil</v>
      </c>
      <c r="C189" s="1">
        <v>2</v>
      </c>
      <c r="D189" s="1">
        <v>10</v>
      </c>
      <c r="E189" s="1">
        <v>4</v>
      </c>
      <c r="F189" s="1">
        <v>5</v>
      </c>
      <c r="G189" s="1">
        <v>3</v>
      </c>
    </row>
    <row r="190" spans="1:7" x14ac:dyDescent="0.2">
      <c r="A190" s="1" t="s">
        <v>199</v>
      </c>
      <c r="B190" s="1" t="str">
        <f>VLOOKUP(student_skills[[#This Row],[Student_ID]],student_data[],2,0)</f>
        <v>Information Technology</v>
      </c>
      <c r="C190" s="1">
        <v>5</v>
      </c>
      <c r="D190" s="1">
        <v>10</v>
      </c>
      <c r="E190" s="1">
        <v>4</v>
      </c>
      <c r="F190" s="1">
        <v>2</v>
      </c>
      <c r="G190" s="1">
        <v>3</v>
      </c>
    </row>
    <row r="191" spans="1:7" x14ac:dyDescent="0.2">
      <c r="A191" s="1" t="s">
        <v>200</v>
      </c>
      <c r="B191" s="1" t="str">
        <f>VLOOKUP(student_skills[[#This Row],[Student_ID]],student_data[],2,0)</f>
        <v>Computer Science</v>
      </c>
      <c r="C191" s="1">
        <v>10</v>
      </c>
      <c r="D191" s="1">
        <v>2</v>
      </c>
      <c r="E191" s="1">
        <v>4</v>
      </c>
      <c r="F191" s="1">
        <v>9</v>
      </c>
      <c r="G191" s="1">
        <v>6</v>
      </c>
    </row>
    <row r="192" spans="1:7" x14ac:dyDescent="0.2">
      <c r="A192" s="1" t="s">
        <v>201</v>
      </c>
      <c r="B192" s="1" t="str">
        <f>VLOOKUP(student_skills[[#This Row],[Student_ID]],student_data[],2,0)</f>
        <v>Computer Science</v>
      </c>
      <c r="C192" s="1">
        <v>6</v>
      </c>
      <c r="D192" s="1">
        <v>7</v>
      </c>
      <c r="E192" s="1">
        <v>6</v>
      </c>
      <c r="F192" s="1">
        <v>8</v>
      </c>
      <c r="G192" s="1">
        <v>8</v>
      </c>
    </row>
    <row r="193" spans="1:7" x14ac:dyDescent="0.2">
      <c r="A193" s="1" t="s">
        <v>202</v>
      </c>
      <c r="B193" s="1" t="str">
        <f>VLOOKUP(student_skills[[#This Row],[Student_ID]],student_data[],2,0)</f>
        <v>Mechanical</v>
      </c>
      <c r="C193" s="1">
        <v>7</v>
      </c>
      <c r="D193" s="1">
        <v>5</v>
      </c>
      <c r="E193" s="1">
        <v>7</v>
      </c>
      <c r="F193" s="1">
        <v>3</v>
      </c>
      <c r="G193" s="1">
        <v>7</v>
      </c>
    </row>
    <row r="194" spans="1:7" x14ac:dyDescent="0.2">
      <c r="A194" s="1" t="s">
        <v>203</v>
      </c>
      <c r="B194" s="1" t="str">
        <f>VLOOKUP(student_skills[[#This Row],[Student_ID]],student_data[],2,0)</f>
        <v>Electronics</v>
      </c>
      <c r="C194" s="1">
        <v>4</v>
      </c>
      <c r="D194" s="1">
        <v>6</v>
      </c>
      <c r="E194" s="1">
        <v>2</v>
      </c>
      <c r="F194" s="1">
        <v>8</v>
      </c>
      <c r="G194" s="1">
        <v>4</v>
      </c>
    </row>
    <row r="195" spans="1:7" x14ac:dyDescent="0.2">
      <c r="A195" s="1" t="s">
        <v>204</v>
      </c>
      <c r="B195" s="1" t="str">
        <f>VLOOKUP(student_skills[[#This Row],[Student_ID]],student_data[],2,0)</f>
        <v>Information Technology</v>
      </c>
      <c r="C195" s="1">
        <v>7</v>
      </c>
      <c r="D195" s="1">
        <v>2</v>
      </c>
      <c r="E195" s="1">
        <v>5</v>
      </c>
      <c r="F195" s="1">
        <v>9</v>
      </c>
      <c r="G195" s="1">
        <v>4</v>
      </c>
    </row>
    <row r="196" spans="1:7" x14ac:dyDescent="0.2">
      <c r="A196" s="1" t="s">
        <v>205</v>
      </c>
      <c r="B196" s="1" t="str">
        <f>VLOOKUP(student_skills[[#This Row],[Student_ID]],student_data[],2,0)</f>
        <v>Civil</v>
      </c>
      <c r="C196" s="1">
        <v>8</v>
      </c>
      <c r="D196" s="1">
        <v>5</v>
      </c>
      <c r="E196" s="1">
        <v>4</v>
      </c>
      <c r="F196" s="1">
        <v>3</v>
      </c>
      <c r="G196" s="1">
        <v>10</v>
      </c>
    </row>
    <row r="197" spans="1:7" x14ac:dyDescent="0.2">
      <c r="A197" s="1" t="s">
        <v>206</v>
      </c>
      <c r="B197" s="1" t="str">
        <f>VLOOKUP(student_skills[[#This Row],[Student_ID]],student_data[],2,0)</f>
        <v>Electronics</v>
      </c>
      <c r="C197" s="1">
        <v>1</v>
      </c>
      <c r="D197" s="1">
        <v>10</v>
      </c>
      <c r="E197" s="1">
        <v>3</v>
      </c>
      <c r="F197" s="1">
        <v>3</v>
      </c>
      <c r="G197" s="1">
        <v>2</v>
      </c>
    </row>
    <row r="198" spans="1:7" x14ac:dyDescent="0.2">
      <c r="A198" s="1" t="s">
        <v>207</v>
      </c>
      <c r="B198" s="1" t="str">
        <f>VLOOKUP(student_skills[[#This Row],[Student_ID]],student_data[],2,0)</f>
        <v>Civil</v>
      </c>
      <c r="C198" s="1">
        <v>6</v>
      </c>
      <c r="D198" s="1">
        <v>4</v>
      </c>
      <c r="E198" s="1">
        <v>7</v>
      </c>
      <c r="F198" s="1">
        <v>2</v>
      </c>
      <c r="G198" s="1">
        <v>1</v>
      </c>
    </row>
    <row r="199" spans="1:7" x14ac:dyDescent="0.2">
      <c r="A199" s="1" t="s">
        <v>208</v>
      </c>
      <c r="B199" s="1" t="str">
        <f>VLOOKUP(student_skills[[#This Row],[Student_ID]],student_data[],2,0)</f>
        <v>Mechanical</v>
      </c>
      <c r="C199" s="1">
        <v>8</v>
      </c>
      <c r="D199" s="1">
        <v>9</v>
      </c>
      <c r="E199" s="1">
        <v>6</v>
      </c>
      <c r="F199" s="1">
        <v>8</v>
      </c>
      <c r="G199" s="1">
        <v>9</v>
      </c>
    </row>
    <row r="200" spans="1:7" x14ac:dyDescent="0.2">
      <c r="A200" s="1" t="s">
        <v>209</v>
      </c>
      <c r="B200" s="1" t="str">
        <f>VLOOKUP(student_skills[[#This Row],[Student_ID]],student_data[],2,0)</f>
        <v>Mechanical</v>
      </c>
      <c r="C200" s="1">
        <v>5</v>
      </c>
      <c r="D200" s="1">
        <v>6</v>
      </c>
      <c r="E200" s="1">
        <v>7</v>
      </c>
      <c r="F200" s="1">
        <v>10</v>
      </c>
      <c r="G200" s="1">
        <v>2</v>
      </c>
    </row>
    <row r="201" spans="1:7" x14ac:dyDescent="0.2">
      <c r="A201" s="1" t="s">
        <v>210</v>
      </c>
      <c r="B201" s="1" t="str">
        <f>VLOOKUP(student_skills[[#This Row],[Student_ID]],student_data[],2,0)</f>
        <v>Computer Science</v>
      </c>
      <c r="C201" s="1">
        <v>4</v>
      </c>
      <c r="D201" s="1">
        <v>2</v>
      </c>
      <c r="E201" s="1">
        <v>5</v>
      </c>
      <c r="F201" s="1">
        <v>1</v>
      </c>
      <c r="G201" s="1">
        <v>8</v>
      </c>
    </row>
    <row r="202" spans="1:7" x14ac:dyDescent="0.2">
      <c r="A202" s="1" t="s">
        <v>211</v>
      </c>
      <c r="B202" s="1" t="str">
        <f>VLOOKUP(student_skills[[#This Row],[Student_ID]],student_data[],2,0)</f>
        <v>Information Technology</v>
      </c>
      <c r="C202" s="1">
        <v>2</v>
      </c>
      <c r="D202" s="1">
        <v>1</v>
      </c>
      <c r="E202" s="1">
        <v>6</v>
      </c>
      <c r="F202" s="1">
        <v>8</v>
      </c>
      <c r="G202" s="1">
        <v>9</v>
      </c>
    </row>
    <row r="203" spans="1:7" x14ac:dyDescent="0.2">
      <c r="A203" s="1" t="s">
        <v>212</v>
      </c>
      <c r="B203" s="1" t="str">
        <f>VLOOKUP(student_skills[[#This Row],[Student_ID]],student_data[],2,0)</f>
        <v>Civil</v>
      </c>
      <c r="C203" s="1">
        <v>6</v>
      </c>
      <c r="D203" s="1">
        <v>5</v>
      </c>
      <c r="E203" s="1">
        <v>5</v>
      </c>
      <c r="F203" s="1">
        <v>7</v>
      </c>
      <c r="G203" s="1">
        <v>4</v>
      </c>
    </row>
    <row r="204" spans="1:7" x14ac:dyDescent="0.2">
      <c r="A204" s="1" t="s">
        <v>213</v>
      </c>
      <c r="B204" s="1" t="str">
        <f>VLOOKUP(student_skills[[#This Row],[Student_ID]],student_data[],2,0)</f>
        <v>Electronics</v>
      </c>
      <c r="C204" s="1">
        <v>6</v>
      </c>
      <c r="D204" s="1">
        <v>9</v>
      </c>
      <c r="E204" s="1">
        <v>7</v>
      </c>
      <c r="F204" s="1">
        <v>7</v>
      </c>
      <c r="G204" s="1">
        <v>8</v>
      </c>
    </row>
    <row r="205" spans="1:7" x14ac:dyDescent="0.2">
      <c r="A205" s="1" t="s">
        <v>214</v>
      </c>
      <c r="B205" s="1" t="str">
        <f>VLOOKUP(student_skills[[#This Row],[Student_ID]],student_data[],2,0)</f>
        <v>Mechanical</v>
      </c>
      <c r="C205" s="1">
        <v>1</v>
      </c>
      <c r="D205" s="1">
        <v>6</v>
      </c>
      <c r="E205" s="1">
        <v>2</v>
      </c>
      <c r="F205" s="1">
        <v>3</v>
      </c>
      <c r="G205" s="1">
        <v>9</v>
      </c>
    </row>
    <row r="206" spans="1:7" x14ac:dyDescent="0.2">
      <c r="A206" s="1" t="s">
        <v>215</v>
      </c>
      <c r="B206" s="1" t="str">
        <f>VLOOKUP(student_skills[[#This Row],[Student_ID]],student_data[],2,0)</f>
        <v>Computer Science</v>
      </c>
      <c r="C206" s="1">
        <v>9</v>
      </c>
      <c r="D206" s="1">
        <v>10</v>
      </c>
      <c r="E206" s="1">
        <v>5</v>
      </c>
      <c r="F206" s="1">
        <v>1</v>
      </c>
      <c r="G206" s="1">
        <v>10</v>
      </c>
    </row>
    <row r="207" spans="1:7" x14ac:dyDescent="0.2">
      <c r="A207" s="1" t="s">
        <v>216</v>
      </c>
      <c r="B207" s="1" t="str">
        <f>VLOOKUP(student_skills[[#This Row],[Student_ID]],student_data[],2,0)</f>
        <v>Computer Science</v>
      </c>
      <c r="C207" s="1">
        <v>6</v>
      </c>
      <c r="D207" s="1">
        <v>7</v>
      </c>
      <c r="E207" s="1">
        <v>6</v>
      </c>
      <c r="F207" s="1">
        <v>4</v>
      </c>
      <c r="G207" s="1">
        <v>10</v>
      </c>
    </row>
    <row r="208" spans="1:7" x14ac:dyDescent="0.2">
      <c r="A208" s="1" t="s">
        <v>217</v>
      </c>
      <c r="B208" s="1" t="str">
        <f>VLOOKUP(student_skills[[#This Row],[Student_ID]],student_data[],2,0)</f>
        <v>Civil</v>
      </c>
      <c r="C208" s="1">
        <v>3</v>
      </c>
      <c r="D208" s="1">
        <v>5</v>
      </c>
      <c r="E208" s="1">
        <v>6</v>
      </c>
      <c r="F208" s="1">
        <v>9</v>
      </c>
      <c r="G208" s="1">
        <v>5</v>
      </c>
    </row>
    <row r="209" spans="1:7" x14ac:dyDescent="0.2">
      <c r="A209" s="1" t="s">
        <v>218</v>
      </c>
      <c r="B209" s="1" t="str">
        <f>VLOOKUP(student_skills[[#This Row],[Student_ID]],student_data[],2,0)</f>
        <v>Mechanical</v>
      </c>
      <c r="C209" s="1">
        <v>4</v>
      </c>
      <c r="D209" s="1">
        <v>10</v>
      </c>
      <c r="E209" s="1">
        <v>5</v>
      </c>
      <c r="F209" s="1">
        <v>5</v>
      </c>
      <c r="G209" s="1">
        <v>7</v>
      </c>
    </row>
    <row r="210" spans="1:7" x14ac:dyDescent="0.2">
      <c r="A210" s="1" t="s">
        <v>219</v>
      </c>
      <c r="B210" s="1" t="str">
        <f>VLOOKUP(student_skills[[#This Row],[Student_ID]],student_data[],2,0)</f>
        <v>Information Technology</v>
      </c>
      <c r="C210" s="1">
        <v>4</v>
      </c>
      <c r="D210" s="1">
        <v>6</v>
      </c>
      <c r="E210" s="1">
        <v>10</v>
      </c>
      <c r="F210" s="1">
        <v>1</v>
      </c>
      <c r="G210" s="1">
        <v>10</v>
      </c>
    </row>
    <row r="211" spans="1:7" x14ac:dyDescent="0.2">
      <c r="A211" s="1" t="s">
        <v>220</v>
      </c>
      <c r="B211" s="1" t="str">
        <f>VLOOKUP(student_skills[[#This Row],[Student_ID]],student_data[],2,0)</f>
        <v>Mechanical</v>
      </c>
      <c r="C211" s="1">
        <v>3</v>
      </c>
      <c r="D211" s="1">
        <v>5</v>
      </c>
      <c r="E211" s="1">
        <v>7</v>
      </c>
      <c r="F211" s="1">
        <v>5</v>
      </c>
      <c r="G211" s="1">
        <v>4</v>
      </c>
    </row>
    <row r="212" spans="1:7" x14ac:dyDescent="0.2">
      <c r="A212" s="1" t="s">
        <v>221</v>
      </c>
      <c r="B212" s="1" t="str">
        <f>VLOOKUP(student_skills[[#This Row],[Student_ID]],student_data[],2,0)</f>
        <v>Civil</v>
      </c>
      <c r="C212" s="1">
        <v>10</v>
      </c>
      <c r="D212" s="1">
        <v>9</v>
      </c>
      <c r="E212" s="1">
        <v>10</v>
      </c>
      <c r="F212" s="1">
        <v>8</v>
      </c>
      <c r="G212" s="1">
        <v>1</v>
      </c>
    </row>
    <row r="213" spans="1:7" x14ac:dyDescent="0.2">
      <c r="A213" s="1" t="s">
        <v>222</v>
      </c>
      <c r="B213" s="1" t="str">
        <f>VLOOKUP(student_skills[[#This Row],[Student_ID]],student_data[],2,0)</f>
        <v>Civil</v>
      </c>
      <c r="C213" s="1">
        <v>3</v>
      </c>
      <c r="D213" s="1">
        <v>6</v>
      </c>
      <c r="E213" s="1">
        <v>8</v>
      </c>
      <c r="F213" s="1">
        <v>8</v>
      </c>
      <c r="G213" s="1">
        <v>3</v>
      </c>
    </row>
    <row r="214" spans="1:7" x14ac:dyDescent="0.2">
      <c r="A214" s="1" t="s">
        <v>223</v>
      </c>
      <c r="B214" s="1" t="str">
        <f>VLOOKUP(student_skills[[#This Row],[Student_ID]],student_data[],2,0)</f>
        <v>Mechanical</v>
      </c>
      <c r="C214" s="1">
        <v>3</v>
      </c>
      <c r="D214" s="1">
        <v>8</v>
      </c>
      <c r="E214" s="1">
        <v>7</v>
      </c>
      <c r="F214" s="1">
        <v>5</v>
      </c>
      <c r="G214" s="1">
        <v>5</v>
      </c>
    </row>
    <row r="215" spans="1:7" x14ac:dyDescent="0.2">
      <c r="A215" s="1" t="s">
        <v>224</v>
      </c>
      <c r="B215" s="1" t="str">
        <f>VLOOKUP(student_skills[[#This Row],[Student_ID]],student_data[],2,0)</f>
        <v>Civil</v>
      </c>
      <c r="C215" s="1">
        <v>4</v>
      </c>
      <c r="D215" s="1">
        <v>2</v>
      </c>
      <c r="E215" s="1">
        <v>5</v>
      </c>
      <c r="F215" s="1">
        <v>9</v>
      </c>
      <c r="G215" s="1">
        <v>3</v>
      </c>
    </row>
    <row r="216" spans="1:7" x14ac:dyDescent="0.2">
      <c r="A216" s="1" t="s">
        <v>225</v>
      </c>
      <c r="B216" s="1" t="str">
        <f>VLOOKUP(student_skills[[#This Row],[Student_ID]],student_data[],2,0)</f>
        <v>Mechanical</v>
      </c>
      <c r="C216" s="1">
        <v>7</v>
      </c>
      <c r="D216" s="1">
        <v>9</v>
      </c>
      <c r="E216" s="1">
        <v>1</v>
      </c>
      <c r="F216" s="1">
        <v>1</v>
      </c>
      <c r="G216" s="1">
        <v>7</v>
      </c>
    </row>
    <row r="217" spans="1:7" x14ac:dyDescent="0.2">
      <c r="A217" s="1" t="s">
        <v>226</v>
      </c>
      <c r="B217" s="1" t="str">
        <f>VLOOKUP(student_skills[[#This Row],[Student_ID]],student_data[],2,0)</f>
        <v>Electronics</v>
      </c>
      <c r="C217" s="1">
        <v>4</v>
      </c>
      <c r="D217" s="1">
        <v>5</v>
      </c>
      <c r="E217" s="1">
        <v>5</v>
      </c>
      <c r="F217" s="1">
        <v>4</v>
      </c>
      <c r="G217" s="1">
        <v>9</v>
      </c>
    </row>
    <row r="218" spans="1:7" x14ac:dyDescent="0.2">
      <c r="A218" s="1" t="s">
        <v>227</v>
      </c>
      <c r="B218" s="1" t="str">
        <f>VLOOKUP(student_skills[[#This Row],[Student_ID]],student_data[],2,0)</f>
        <v>Mechanical</v>
      </c>
      <c r="C218" s="1">
        <v>9</v>
      </c>
      <c r="D218" s="1">
        <v>7</v>
      </c>
      <c r="E218" s="1">
        <v>10</v>
      </c>
      <c r="F218" s="1">
        <v>3</v>
      </c>
      <c r="G218" s="1">
        <v>6</v>
      </c>
    </row>
    <row r="219" spans="1:7" x14ac:dyDescent="0.2">
      <c r="A219" s="1" t="s">
        <v>228</v>
      </c>
      <c r="B219" s="1" t="str">
        <f>VLOOKUP(student_skills[[#This Row],[Student_ID]],student_data[],2,0)</f>
        <v>Mechanical</v>
      </c>
      <c r="C219" s="1">
        <v>1</v>
      </c>
      <c r="D219" s="1">
        <v>10</v>
      </c>
      <c r="E219" s="1">
        <v>2</v>
      </c>
      <c r="F219" s="1">
        <v>2</v>
      </c>
      <c r="G219" s="1">
        <v>10</v>
      </c>
    </row>
    <row r="220" spans="1:7" x14ac:dyDescent="0.2">
      <c r="A220" s="1" t="s">
        <v>229</v>
      </c>
      <c r="B220" s="1" t="str">
        <f>VLOOKUP(student_skills[[#This Row],[Student_ID]],student_data[],2,0)</f>
        <v>Civil</v>
      </c>
      <c r="C220" s="1">
        <v>8</v>
      </c>
      <c r="D220" s="1">
        <v>1</v>
      </c>
      <c r="E220" s="1">
        <v>5</v>
      </c>
      <c r="F220" s="1">
        <v>8</v>
      </c>
      <c r="G220" s="1">
        <v>1</v>
      </c>
    </row>
    <row r="221" spans="1:7" x14ac:dyDescent="0.2">
      <c r="A221" s="1" t="s">
        <v>230</v>
      </c>
      <c r="B221" s="1" t="str">
        <f>VLOOKUP(student_skills[[#This Row],[Student_ID]],student_data[],2,0)</f>
        <v>Civil</v>
      </c>
      <c r="C221" s="1">
        <v>7</v>
      </c>
      <c r="D221" s="1">
        <v>10</v>
      </c>
      <c r="E221" s="1">
        <v>5</v>
      </c>
      <c r="F221" s="1">
        <v>7</v>
      </c>
      <c r="G221" s="1">
        <v>7</v>
      </c>
    </row>
    <row r="222" spans="1:7" x14ac:dyDescent="0.2">
      <c r="A222" s="1" t="s">
        <v>231</v>
      </c>
      <c r="B222" s="1" t="str">
        <f>VLOOKUP(student_skills[[#This Row],[Student_ID]],student_data[],2,0)</f>
        <v>Computer Science</v>
      </c>
      <c r="C222" s="1">
        <v>2</v>
      </c>
      <c r="D222" s="1">
        <v>5</v>
      </c>
      <c r="E222" s="1">
        <v>2</v>
      </c>
      <c r="F222" s="1">
        <v>9</v>
      </c>
      <c r="G222" s="1">
        <v>3</v>
      </c>
    </row>
    <row r="223" spans="1:7" x14ac:dyDescent="0.2">
      <c r="A223" s="1" t="s">
        <v>232</v>
      </c>
      <c r="B223" s="1" t="str">
        <f>VLOOKUP(student_skills[[#This Row],[Student_ID]],student_data[],2,0)</f>
        <v>Computer Science</v>
      </c>
      <c r="C223" s="1">
        <v>8</v>
      </c>
      <c r="D223" s="1">
        <v>10</v>
      </c>
      <c r="E223" s="1">
        <v>5</v>
      </c>
      <c r="F223" s="1">
        <v>2</v>
      </c>
      <c r="G223" s="1">
        <v>5</v>
      </c>
    </row>
    <row r="224" spans="1:7" x14ac:dyDescent="0.2">
      <c r="A224" s="1" t="s">
        <v>233</v>
      </c>
      <c r="B224" s="1" t="str">
        <f>VLOOKUP(student_skills[[#This Row],[Student_ID]],student_data[],2,0)</f>
        <v>Electronics</v>
      </c>
      <c r="C224" s="1">
        <v>1</v>
      </c>
      <c r="D224" s="1">
        <v>2</v>
      </c>
      <c r="E224" s="1">
        <v>4</v>
      </c>
      <c r="F224" s="1">
        <v>4</v>
      </c>
      <c r="G224" s="1">
        <v>10</v>
      </c>
    </row>
    <row r="225" spans="1:7" x14ac:dyDescent="0.2">
      <c r="A225" s="1" t="s">
        <v>234</v>
      </c>
      <c r="B225" s="1" t="str">
        <f>VLOOKUP(student_skills[[#This Row],[Student_ID]],student_data[],2,0)</f>
        <v>Computer Science</v>
      </c>
      <c r="C225" s="1">
        <v>9</v>
      </c>
      <c r="D225" s="1">
        <v>6</v>
      </c>
      <c r="E225" s="1">
        <v>1</v>
      </c>
      <c r="F225" s="1">
        <v>6</v>
      </c>
      <c r="G225" s="1">
        <v>4</v>
      </c>
    </row>
    <row r="226" spans="1:7" x14ac:dyDescent="0.2">
      <c r="A226" s="1" t="s">
        <v>235</v>
      </c>
      <c r="B226" s="1" t="str">
        <f>VLOOKUP(student_skills[[#This Row],[Student_ID]],student_data[],2,0)</f>
        <v>Mechanical</v>
      </c>
      <c r="C226" s="1">
        <v>9</v>
      </c>
      <c r="D226" s="1">
        <v>1</v>
      </c>
      <c r="E226" s="1">
        <v>3</v>
      </c>
      <c r="F226" s="1">
        <v>3</v>
      </c>
      <c r="G226" s="1">
        <v>10</v>
      </c>
    </row>
    <row r="227" spans="1:7" x14ac:dyDescent="0.2">
      <c r="A227" s="1" t="s">
        <v>236</v>
      </c>
      <c r="B227" s="1" t="str">
        <f>VLOOKUP(student_skills[[#This Row],[Student_ID]],student_data[],2,0)</f>
        <v>Civil</v>
      </c>
      <c r="C227" s="1">
        <v>2</v>
      </c>
      <c r="D227" s="1">
        <v>3</v>
      </c>
      <c r="E227" s="1">
        <v>1</v>
      </c>
      <c r="F227" s="1">
        <v>8</v>
      </c>
      <c r="G227" s="1">
        <v>5</v>
      </c>
    </row>
    <row r="228" spans="1:7" x14ac:dyDescent="0.2">
      <c r="A228" s="1" t="s">
        <v>237</v>
      </c>
      <c r="B228" s="1" t="str">
        <f>VLOOKUP(student_skills[[#This Row],[Student_ID]],student_data[],2,0)</f>
        <v>Computer Science</v>
      </c>
      <c r="C228" s="1">
        <v>7</v>
      </c>
      <c r="D228" s="1">
        <v>5</v>
      </c>
      <c r="E228" s="1">
        <v>5</v>
      </c>
      <c r="F228" s="1">
        <v>3</v>
      </c>
      <c r="G228" s="1">
        <v>5</v>
      </c>
    </row>
    <row r="229" spans="1:7" x14ac:dyDescent="0.2">
      <c r="A229" s="1" t="s">
        <v>238</v>
      </c>
      <c r="B229" s="1" t="str">
        <f>VLOOKUP(student_skills[[#This Row],[Student_ID]],student_data[],2,0)</f>
        <v>Computer Science</v>
      </c>
      <c r="C229" s="1">
        <v>10</v>
      </c>
      <c r="D229" s="1">
        <v>4</v>
      </c>
      <c r="E229" s="1">
        <v>4</v>
      </c>
      <c r="F229" s="1">
        <v>2</v>
      </c>
      <c r="G229" s="1">
        <v>6</v>
      </c>
    </row>
    <row r="230" spans="1:7" x14ac:dyDescent="0.2">
      <c r="A230" s="1" t="s">
        <v>239</v>
      </c>
      <c r="B230" s="1" t="str">
        <f>VLOOKUP(student_skills[[#This Row],[Student_ID]],student_data[],2,0)</f>
        <v>Electronics</v>
      </c>
      <c r="C230" s="1">
        <v>3</v>
      </c>
      <c r="D230" s="1">
        <v>3</v>
      </c>
      <c r="E230" s="1">
        <v>7</v>
      </c>
      <c r="F230" s="1">
        <v>3</v>
      </c>
      <c r="G230" s="1">
        <v>10</v>
      </c>
    </row>
    <row r="231" spans="1:7" x14ac:dyDescent="0.2">
      <c r="A231" s="1" t="s">
        <v>240</v>
      </c>
      <c r="B231" s="1" t="str">
        <f>VLOOKUP(student_skills[[#This Row],[Student_ID]],student_data[],2,0)</f>
        <v>Electronics</v>
      </c>
      <c r="C231" s="1">
        <v>7</v>
      </c>
      <c r="D231" s="1">
        <v>10</v>
      </c>
      <c r="E231" s="1">
        <v>5</v>
      </c>
      <c r="F231" s="1">
        <v>6</v>
      </c>
      <c r="G231" s="1">
        <v>10</v>
      </c>
    </row>
    <row r="232" spans="1:7" x14ac:dyDescent="0.2">
      <c r="A232" s="1" t="s">
        <v>241</v>
      </c>
      <c r="B232" s="1" t="str">
        <f>VLOOKUP(student_skills[[#This Row],[Student_ID]],student_data[],2,0)</f>
        <v>Mechanical</v>
      </c>
      <c r="C232" s="1">
        <v>10</v>
      </c>
      <c r="D232" s="1">
        <v>5</v>
      </c>
      <c r="E232" s="1">
        <v>10</v>
      </c>
      <c r="F232" s="1">
        <v>2</v>
      </c>
      <c r="G232" s="1">
        <v>6</v>
      </c>
    </row>
    <row r="233" spans="1:7" x14ac:dyDescent="0.2">
      <c r="A233" s="1" t="s">
        <v>242</v>
      </c>
      <c r="B233" s="1" t="str">
        <f>VLOOKUP(student_skills[[#This Row],[Student_ID]],student_data[],2,0)</f>
        <v>Civil</v>
      </c>
      <c r="C233" s="1">
        <v>9</v>
      </c>
      <c r="D233" s="1">
        <v>8</v>
      </c>
      <c r="E233" s="1">
        <v>4</v>
      </c>
      <c r="F233" s="1">
        <v>8</v>
      </c>
      <c r="G233" s="1">
        <v>8</v>
      </c>
    </row>
    <row r="234" spans="1:7" x14ac:dyDescent="0.2">
      <c r="A234" s="1" t="s">
        <v>243</v>
      </c>
      <c r="B234" s="1" t="str">
        <f>VLOOKUP(student_skills[[#This Row],[Student_ID]],student_data[],2,0)</f>
        <v>Electronics</v>
      </c>
      <c r="C234" s="1">
        <v>4</v>
      </c>
      <c r="D234" s="1">
        <v>4</v>
      </c>
      <c r="E234" s="1">
        <v>2</v>
      </c>
      <c r="F234" s="1">
        <v>1</v>
      </c>
      <c r="G234" s="1">
        <v>8</v>
      </c>
    </row>
    <row r="235" spans="1:7" x14ac:dyDescent="0.2">
      <c r="A235" s="1" t="s">
        <v>244</v>
      </c>
      <c r="B235" s="1" t="str">
        <f>VLOOKUP(student_skills[[#This Row],[Student_ID]],student_data[],2,0)</f>
        <v>Computer Science</v>
      </c>
      <c r="C235" s="1">
        <v>1</v>
      </c>
      <c r="D235" s="1">
        <v>1</v>
      </c>
      <c r="E235" s="1">
        <v>4</v>
      </c>
      <c r="F235" s="1">
        <v>7</v>
      </c>
      <c r="G235" s="1">
        <v>9</v>
      </c>
    </row>
    <row r="236" spans="1:7" x14ac:dyDescent="0.2">
      <c r="A236" s="1" t="s">
        <v>245</v>
      </c>
      <c r="B236" s="1" t="str">
        <f>VLOOKUP(student_skills[[#This Row],[Student_ID]],student_data[],2,0)</f>
        <v>Civil</v>
      </c>
      <c r="C236" s="1">
        <v>2</v>
      </c>
      <c r="D236" s="1">
        <v>7</v>
      </c>
      <c r="E236" s="1">
        <v>2</v>
      </c>
      <c r="F236" s="1">
        <v>2</v>
      </c>
      <c r="G236" s="1">
        <v>8</v>
      </c>
    </row>
    <row r="237" spans="1:7" x14ac:dyDescent="0.2">
      <c r="A237" s="1" t="s">
        <v>246</v>
      </c>
      <c r="B237" s="1" t="str">
        <f>VLOOKUP(student_skills[[#This Row],[Student_ID]],student_data[],2,0)</f>
        <v>Civil</v>
      </c>
      <c r="C237" s="1">
        <v>1</v>
      </c>
      <c r="D237" s="1">
        <v>8</v>
      </c>
      <c r="E237" s="1">
        <v>8</v>
      </c>
      <c r="F237" s="1">
        <v>10</v>
      </c>
      <c r="G237" s="1">
        <v>2</v>
      </c>
    </row>
    <row r="238" spans="1:7" x14ac:dyDescent="0.2">
      <c r="A238" s="1" t="s">
        <v>247</v>
      </c>
      <c r="B238" s="1" t="str">
        <f>VLOOKUP(student_skills[[#This Row],[Student_ID]],student_data[],2,0)</f>
        <v>Computer Science</v>
      </c>
      <c r="C238" s="1">
        <v>5</v>
      </c>
      <c r="D238" s="1">
        <v>3</v>
      </c>
      <c r="E238" s="1">
        <v>3</v>
      </c>
      <c r="F238" s="1">
        <v>6</v>
      </c>
      <c r="G238" s="1">
        <v>10</v>
      </c>
    </row>
    <row r="239" spans="1:7" x14ac:dyDescent="0.2">
      <c r="A239" s="1" t="s">
        <v>248</v>
      </c>
      <c r="B239" s="1" t="str">
        <f>VLOOKUP(student_skills[[#This Row],[Student_ID]],student_data[],2,0)</f>
        <v>Electronics</v>
      </c>
      <c r="C239" s="1">
        <v>5</v>
      </c>
      <c r="D239" s="1">
        <v>6</v>
      </c>
      <c r="E239" s="1">
        <v>9</v>
      </c>
      <c r="F239" s="1">
        <v>2</v>
      </c>
      <c r="G239" s="1">
        <v>1</v>
      </c>
    </row>
    <row r="240" spans="1:7" x14ac:dyDescent="0.2">
      <c r="A240" s="1" t="s">
        <v>249</v>
      </c>
      <c r="B240" s="1" t="str">
        <f>VLOOKUP(student_skills[[#This Row],[Student_ID]],student_data[],2,0)</f>
        <v>Computer Science</v>
      </c>
      <c r="C240" s="1">
        <v>7</v>
      </c>
      <c r="D240" s="1">
        <v>2</v>
      </c>
      <c r="E240" s="1">
        <v>4</v>
      </c>
      <c r="F240" s="1">
        <v>2</v>
      </c>
      <c r="G240" s="1">
        <v>10</v>
      </c>
    </row>
    <row r="241" spans="1:7" x14ac:dyDescent="0.2">
      <c r="A241" s="1" t="s">
        <v>250</v>
      </c>
      <c r="B241" s="1" t="str">
        <f>VLOOKUP(student_skills[[#This Row],[Student_ID]],student_data[],2,0)</f>
        <v>Civil</v>
      </c>
      <c r="C241" s="1">
        <v>9</v>
      </c>
      <c r="D241" s="1">
        <v>7</v>
      </c>
      <c r="E241" s="1">
        <v>6</v>
      </c>
      <c r="F241" s="1">
        <v>10</v>
      </c>
      <c r="G241" s="1">
        <v>2</v>
      </c>
    </row>
    <row r="242" spans="1:7" x14ac:dyDescent="0.2">
      <c r="A242" s="1" t="s">
        <v>251</v>
      </c>
      <c r="B242" s="1" t="str">
        <f>VLOOKUP(student_skills[[#This Row],[Student_ID]],student_data[],2,0)</f>
        <v>Information Technology</v>
      </c>
      <c r="C242" s="1">
        <v>9</v>
      </c>
      <c r="D242" s="1">
        <v>8</v>
      </c>
      <c r="E242" s="1">
        <v>10</v>
      </c>
      <c r="F242" s="1">
        <v>8</v>
      </c>
      <c r="G242" s="1">
        <v>2</v>
      </c>
    </row>
    <row r="243" spans="1:7" x14ac:dyDescent="0.2">
      <c r="A243" s="1" t="s">
        <v>252</v>
      </c>
      <c r="B243" s="1" t="str">
        <f>VLOOKUP(student_skills[[#This Row],[Student_ID]],student_data[],2,0)</f>
        <v>Information Technology</v>
      </c>
      <c r="C243" s="1">
        <v>3</v>
      </c>
      <c r="D243" s="1">
        <v>6</v>
      </c>
      <c r="E243" s="1">
        <v>5</v>
      </c>
      <c r="F243" s="1">
        <v>2</v>
      </c>
      <c r="G243" s="1">
        <v>3</v>
      </c>
    </row>
    <row r="244" spans="1:7" x14ac:dyDescent="0.2">
      <c r="A244" s="1" t="s">
        <v>253</v>
      </c>
      <c r="B244" s="1" t="str">
        <f>VLOOKUP(student_skills[[#This Row],[Student_ID]],student_data[],2,0)</f>
        <v>Mechanical</v>
      </c>
      <c r="C244" s="1">
        <v>3</v>
      </c>
      <c r="D244" s="1">
        <v>6</v>
      </c>
      <c r="E244" s="1">
        <v>10</v>
      </c>
      <c r="F244" s="1">
        <v>7</v>
      </c>
      <c r="G244" s="1">
        <v>10</v>
      </c>
    </row>
    <row r="245" spans="1:7" x14ac:dyDescent="0.2">
      <c r="A245" s="1" t="s">
        <v>254</v>
      </c>
      <c r="B245" s="1" t="str">
        <f>VLOOKUP(student_skills[[#This Row],[Student_ID]],student_data[],2,0)</f>
        <v>Computer Science</v>
      </c>
      <c r="C245" s="1">
        <v>3</v>
      </c>
      <c r="D245" s="1">
        <v>5</v>
      </c>
      <c r="E245" s="1">
        <v>1</v>
      </c>
      <c r="F245" s="1">
        <v>3</v>
      </c>
      <c r="G245" s="1">
        <v>7</v>
      </c>
    </row>
    <row r="246" spans="1:7" x14ac:dyDescent="0.2">
      <c r="A246" s="1" t="s">
        <v>255</v>
      </c>
      <c r="B246" s="1" t="str">
        <f>VLOOKUP(student_skills[[#This Row],[Student_ID]],student_data[],2,0)</f>
        <v>Computer Science</v>
      </c>
      <c r="C246" s="1">
        <v>4</v>
      </c>
      <c r="D246" s="1">
        <v>8</v>
      </c>
      <c r="E246" s="1">
        <v>9</v>
      </c>
      <c r="F246" s="1">
        <v>8</v>
      </c>
      <c r="G246" s="1">
        <v>2</v>
      </c>
    </row>
    <row r="247" spans="1:7" x14ac:dyDescent="0.2">
      <c r="A247" s="1" t="s">
        <v>256</v>
      </c>
      <c r="B247" s="1" t="str">
        <f>VLOOKUP(student_skills[[#This Row],[Student_ID]],student_data[],2,0)</f>
        <v>Mechanical</v>
      </c>
      <c r="C247" s="1">
        <v>8</v>
      </c>
      <c r="D247" s="1">
        <v>1</v>
      </c>
      <c r="E247" s="1">
        <v>1</v>
      </c>
      <c r="F247" s="1">
        <v>7</v>
      </c>
      <c r="G247" s="1">
        <v>1</v>
      </c>
    </row>
    <row r="248" spans="1:7" x14ac:dyDescent="0.2">
      <c r="A248" s="1" t="s">
        <v>257</v>
      </c>
      <c r="B248" s="1" t="str">
        <f>VLOOKUP(student_skills[[#This Row],[Student_ID]],student_data[],2,0)</f>
        <v>Mechanical</v>
      </c>
      <c r="C248" s="1">
        <v>6</v>
      </c>
      <c r="D248" s="1">
        <v>10</v>
      </c>
      <c r="E248" s="1">
        <v>8</v>
      </c>
      <c r="F248" s="1">
        <v>8</v>
      </c>
      <c r="G248" s="1">
        <v>6</v>
      </c>
    </row>
    <row r="249" spans="1:7" x14ac:dyDescent="0.2">
      <c r="A249" s="1" t="s">
        <v>258</v>
      </c>
      <c r="B249" s="1" t="str">
        <f>VLOOKUP(student_skills[[#This Row],[Student_ID]],student_data[],2,0)</f>
        <v>Mechanical</v>
      </c>
      <c r="C249" s="1">
        <v>8</v>
      </c>
      <c r="D249" s="1">
        <v>4</v>
      </c>
      <c r="E249" s="1">
        <v>9</v>
      </c>
      <c r="F249" s="1">
        <v>7</v>
      </c>
      <c r="G249" s="1">
        <v>9</v>
      </c>
    </row>
    <row r="250" spans="1:7" x14ac:dyDescent="0.2">
      <c r="A250" s="1" t="s">
        <v>259</v>
      </c>
      <c r="B250" s="1" t="str">
        <f>VLOOKUP(student_skills[[#This Row],[Student_ID]],student_data[],2,0)</f>
        <v>Civil</v>
      </c>
      <c r="C250" s="1">
        <v>1</v>
      </c>
      <c r="D250" s="1">
        <v>4</v>
      </c>
      <c r="E250" s="1">
        <v>9</v>
      </c>
      <c r="F250" s="1">
        <v>6</v>
      </c>
      <c r="G250" s="1">
        <v>3</v>
      </c>
    </row>
    <row r="251" spans="1:7" x14ac:dyDescent="0.2">
      <c r="A251" s="1" t="s">
        <v>260</v>
      </c>
      <c r="B251" s="1" t="str">
        <f>VLOOKUP(student_skills[[#This Row],[Student_ID]],student_data[],2,0)</f>
        <v>Computer Science</v>
      </c>
      <c r="C251" s="1">
        <v>8</v>
      </c>
      <c r="D251" s="1">
        <v>3</v>
      </c>
      <c r="E251" s="1">
        <v>1</v>
      </c>
      <c r="F251" s="1">
        <v>7</v>
      </c>
      <c r="G251" s="1">
        <v>6</v>
      </c>
    </row>
    <row r="252" spans="1:7" x14ac:dyDescent="0.2">
      <c r="A252" s="1" t="s">
        <v>261</v>
      </c>
      <c r="B252" s="1" t="str">
        <f>VLOOKUP(student_skills[[#This Row],[Student_ID]],student_data[],2,0)</f>
        <v>Civil</v>
      </c>
      <c r="C252" s="1">
        <v>4</v>
      </c>
      <c r="D252" s="1">
        <v>3</v>
      </c>
      <c r="E252" s="1">
        <v>2</v>
      </c>
      <c r="F252" s="1">
        <v>5</v>
      </c>
      <c r="G252" s="1">
        <v>3</v>
      </c>
    </row>
    <row r="253" spans="1:7" x14ac:dyDescent="0.2">
      <c r="A253" s="1" t="s">
        <v>262</v>
      </c>
      <c r="B253" s="1" t="str">
        <f>VLOOKUP(student_skills[[#This Row],[Student_ID]],student_data[],2,0)</f>
        <v>Mechanical</v>
      </c>
      <c r="C253" s="1">
        <v>1</v>
      </c>
      <c r="D253" s="1">
        <v>4</v>
      </c>
      <c r="E253" s="1">
        <v>1</v>
      </c>
      <c r="F253" s="1">
        <v>7</v>
      </c>
      <c r="G253" s="1">
        <v>1</v>
      </c>
    </row>
    <row r="254" spans="1:7" x14ac:dyDescent="0.2">
      <c r="A254" s="1" t="s">
        <v>263</v>
      </c>
      <c r="B254" s="1" t="str">
        <f>VLOOKUP(student_skills[[#This Row],[Student_ID]],student_data[],2,0)</f>
        <v>Computer Science</v>
      </c>
      <c r="C254" s="1">
        <v>8</v>
      </c>
      <c r="D254" s="1">
        <v>1</v>
      </c>
      <c r="E254" s="1">
        <v>10</v>
      </c>
      <c r="F254" s="1">
        <v>1</v>
      </c>
      <c r="G254" s="1">
        <v>5</v>
      </c>
    </row>
    <row r="255" spans="1:7" x14ac:dyDescent="0.2">
      <c r="A255" s="1" t="s">
        <v>264</v>
      </c>
      <c r="B255" s="1" t="str">
        <f>VLOOKUP(student_skills[[#This Row],[Student_ID]],student_data[],2,0)</f>
        <v>Civil</v>
      </c>
      <c r="C255" s="1">
        <v>4</v>
      </c>
      <c r="D255" s="1">
        <v>2</v>
      </c>
      <c r="E255" s="1">
        <v>2</v>
      </c>
      <c r="F255" s="1">
        <v>1</v>
      </c>
      <c r="G255" s="1">
        <v>10</v>
      </c>
    </row>
    <row r="256" spans="1:7" x14ac:dyDescent="0.2">
      <c r="A256" s="1" t="s">
        <v>265</v>
      </c>
      <c r="B256" s="1" t="str">
        <f>VLOOKUP(student_skills[[#This Row],[Student_ID]],student_data[],2,0)</f>
        <v>Civil</v>
      </c>
      <c r="C256" s="1">
        <v>6</v>
      </c>
      <c r="D256" s="1">
        <v>9</v>
      </c>
      <c r="E256" s="1">
        <v>10</v>
      </c>
      <c r="F256" s="1">
        <v>9</v>
      </c>
      <c r="G256" s="1">
        <v>4</v>
      </c>
    </row>
    <row r="257" spans="1:7" x14ac:dyDescent="0.2">
      <c r="A257" s="1" t="s">
        <v>266</v>
      </c>
      <c r="B257" s="1" t="str">
        <f>VLOOKUP(student_skills[[#This Row],[Student_ID]],student_data[],2,0)</f>
        <v>Mechanical</v>
      </c>
      <c r="C257" s="1">
        <v>8</v>
      </c>
      <c r="D257" s="1">
        <v>10</v>
      </c>
      <c r="E257" s="1">
        <v>8</v>
      </c>
      <c r="F257" s="1">
        <v>5</v>
      </c>
      <c r="G257" s="1">
        <v>7</v>
      </c>
    </row>
    <row r="258" spans="1:7" x14ac:dyDescent="0.2">
      <c r="A258" s="1" t="s">
        <v>267</v>
      </c>
      <c r="B258" s="1" t="str">
        <f>VLOOKUP(student_skills[[#This Row],[Student_ID]],student_data[],2,0)</f>
        <v>Computer Science</v>
      </c>
      <c r="C258" s="1">
        <v>4</v>
      </c>
      <c r="D258" s="1">
        <v>2</v>
      </c>
      <c r="E258" s="1">
        <v>5</v>
      </c>
      <c r="F258" s="1">
        <v>5</v>
      </c>
      <c r="G258" s="1">
        <v>6</v>
      </c>
    </row>
    <row r="259" spans="1:7" x14ac:dyDescent="0.2">
      <c r="A259" s="1" t="s">
        <v>268</v>
      </c>
      <c r="B259" s="1" t="str">
        <f>VLOOKUP(student_skills[[#This Row],[Student_ID]],student_data[],2,0)</f>
        <v>Mechanical</v>
      </c>
      <c r="C259" s="1">
        <v>3</v>
      </c>
      <c r="D259" s="1">
        <v>5</v>
      </c>
      <c r="E259" s="1">
        <v>7</v>
      </c>
      <c r="F259" s="1">
        <v>3</v>
      </c>
      <c r="G259" s="1">
        <v>10</v>
      </c>
    </row>
    <row r="260" spans="1:7" x14ac:dyDescent="0.2">
      <c r="A260" s="1" t="s">
        <v>269</v>
      </c>
      <c r="B260" s="1" t="str">
        <f>VLOOKUP(student_skills[[#This Row],[Student_ID]],student_data[],2,0)</f>
        <v>Computer Science</v>
      </c>
      <c r="C260" s="1">
        <v>9</v>
      </c>
      <c r="D260" s="1">
        <v>9</v>
      </c>
      <c r="E260" s="1">
        <v>2</v>
      </c>
      <c r="F260" s="1">
        <v>5</v>
      </c>
      <c r="G260" s="1">
        <v>7</v>
      </c>
    </row>
    <row r="261" spans="1:7" x14ac:dyDescent="0.2">
      <c r="A261" s="1" t="s">
        <v>270</v>
      </c>
      <c r="B261" s="1" t="str">
        <f>VLOOKUP(student_skills[[#This Row],[Student_ID]],student_data[],2,0)</f>
        <v>Information Technology</v>
      </c>
      <c r="C261" s="1">
        <v>3</v>
      </c>
      <c r="D261" s="1">
        <v>9</v>
      </c>
      <c r="E261" s="1">
        <v>8</v>
      </c>
      <c r="F261" s="1">
        <v>3</v>
      </c>
      <c r="G261" s="1">
        <v>5</v>
      </c>
    </row>
    <row r="262" spans="1:7" x14ac:dyDescent="0.2">
      <c r="A262" s="1" t="s">
        <v>271</v>
      </c>
      <c r="B262" s="1" t="str">
        <f>VLOOKUP(student_skills[[#This Row],[Student_ID]],student_data[],2,0)</f>
        <v>Electronics</v>
      </c>
      <c r="C262" s="1">
        <v>9</v>
      </c>
      <c r="D262" s="1">
        <v>8</v>
      </c>
      <c r="E262" s="1">
        <v>6</v>
      </c>
      <c r="F262" s="1">
        <v>9</v>
      </c>
      <c r="G262" s="1">
        <v>4</v>
      </c>
    </row>
    <row r="263" spans="1:7" x14ac:dyDescent="0.2">
      <c r="A263" s="1" t="s">
        <v>272</v>
      </c>
      <c r="B263" s="1" t="str">
        <f>VLOOKUP(student_skills[[#This Row],[Student_ID]],student_data[],2,0)</f>
        <v>Electronics</v>
      </c>
      <c r="C263" s="1">
        <v>2</v>
      </c>
      <c r="D263" s="1">
        <v>1</v>
      </c>
      <c r="E263" s="1">
        <v>8</v>
      </c>
      <c r="F263" s="1">
        <v>9</v>
      </c>
      <c r="G263" s="1">
        <v>7</v>
      </c>
    </row>
    <row r="264" spans="1:7" x14ac:dyDescent="0.2">
      <c r="A264" s="1" t="s">
        <v>273</v>
      </c>
      <c r="B264" s="1" t="str">
        <f>VLOOKUP(student_skills[[#This Row],[Student_ID]],student_data[],2,0)</f>
        <v>Electronics</v>
      </c>
      <c r="C264" s="1">
        <v>2</v>
      </c>
      <c r="D264" s="1">
        <v>1</v>
      </c>
      <c r="E264" s="1">
        <v>1</v>
      </c>
      <c r="F264" s="1">
        <v>6</v>
      </c>
      <c r="G264" s="1">
        <v>7</v>
      </c>
    </row>
    <row r="265" spans="1:7" x14ac:dyDescent="0.2">
      <c r="A265" s="1" t="s">
        <v>274</v>
      </c>
      <c r="B265" s="1" t="str">
        <f>VLOOKUP(student_skills[[#This Row],[Student_ID]],student_data[],2,0)</f>
        <v>Mechanical</v>
      </c>
      <c r="C265" s="1">
        <v>2</v>
      </c>
      <c r="D265" s="1">
        <v>9</v>
      </c>
      <c r="E265" s="1">
        <v>1</v>
      </c>
      <c r="F265" s="1">
        <v>1</v>
      </c>
      <c r="G265" s="1">
        <v>6</v>
      </c>
    </row>
    <row r="266" spans="1:7" x14ac:dyDescent="0.2">
      <c r="A266" s="1" t="s">
        <v>275</v>
      </c>
      <c r="B266" s="1" t="str">
        <f>VLOOKUP(student_skills[[#This Row],[Student_ID]],student_data[],2,0)</f>
        <v>Information Technology</v>
      </c>
      <c r="C266" s="1">
        <v>6</v>
      </c>
      <c r="D266" s="1">
        <v>8</v>
      </c>
      <c r="E266" s="1">
        <v>7</v>
      </c>
      <c r="F266" s="1">
        <v>7</v>
      </c>
      <c r="G266" s="1">
        <v>8</v>
      </c>
    </row>
    <row r="267" spans="1:7" x14ac:dyDescent="0.2">
      <c r="A267" s="1" t="s">
        <v>276</v>
      </c>
      <c r="B267" s="1" t="str">
        <f>VLOOKUP(student_skills[[#This Row],[Student_ID]],student_data[],2,0)</f>
        <v>Computer Science</v>
      </c>
      <c r="C267" s="1">
        <v>3</v>
      </c>
      <c r="D267" s="1">
        <v>10</v>
      </c>
      <c r="E267" s="1">
        <v>8</v>
      </c>
      <c r="F267" s="1">
        <v>7</v>
      </c>
      <c r="G267" s="1">
        <v>4</v>
      </c>
    </row>
    <row r="268" spans="1:7" x14ac:dyDescent="0.2">
      <c r="A268" s="1" t="s">
        <v>277</v>
      </c>
      <c r="B268" s="1" t="str">
        <f>VLOOKUP(student_skills[[#This Row],[Student_ID]],student_data[],2,0)</f>
        <v>Civil</v>
      </c>
      <c r="C268" s="1">
        <v>9</v>
      </c>
      <c r="D268" s="1">
        <v>9</v>
      </c>
      <c r="E268" s="1">
        <v>3</v>
      </c>
      <c r="F268" s="1">
        <v>10</v>
      </c>
      <c r="G268" s="1">
        <v>10</v>
      </c>
    </row>
    <row r="269" spans="1:7" x14ac:dyDescent="0.2">
      <c r="A269" s="1" t="s">
        <v>278</v>
      </c>
      <c r="B269" s="1" t="str">
        <f>VLOOKUP(student_skills[[#This Row],[Student_ID]],student_data[],2,0)</f>
        <v>Computer Science</v>
      </c>
      <c r="C269" s="1">
        <v>4</v>
      </c>
      <c r="D269" s="1">
        <v>7</v>
      </c>
      <c r="E269" s="1">
        <v>5</v>
      </c>
      <c r="F269" s="1">
        <v>10</v>
      </c>
      <c r="G269" s="1">
        <v>5</v>
      </c>
    </row>
    <row r="270" spans="1:7" x14ac:dyDescent="0.2">
      <c r="A270" s="1" t="s">
        <v>279</v>
      </c>
      <c r="B270" s="1" t="str">
        <f>VLOOKUP(student_skills[[#This Row],[Student_ID]],student_data[],2,0)</f>
        <v>Civil</v>
      </c>
      <c r="C270" s="1">
        <v>1</v>
      </c>
      <c r="D270" s="1">
        <v>3</v>
      </c>
      <c r="E270" s="1">
        <v>1</v>
      </c>
      <c r="F270" s="1">
        <v>4</v>
      </c>
      <c r="G270" s="1">
        <v>4</v>
      </c>
    </row>
    <row r="271" spans="1:7" x14ac:dyDescent="0.2">
      <c r="A271" s="1" t="s">
        <v>280</v>
      </c>
      <c r="B271" s="1" t="str">
        <f>VLOOKUP(student_skills[[#This Row],[Student_ID]],student_data[],2,0)</f>
        <v>Computer Science</v>
      </c>
      <c r="C271" s="1">
        <v>4</v>
      </c>
      <c r="D271" s="1">
        <v>3</v>
      </c>
      <c r="E271" s="1">
        <v>7</v>
      </c>
      <c r="F271" s="1">
        <v>8</v>
      </c>
      <c r="G271" s="1">
        <v>1</v>
      </c>
    </row>
    <row r="272" spans="1:7" x14ac:dyDescent="0.2">
      <c r="A272" s="1" t="s">
        <v>281</v>
      </c>
      <c r="B272" s="1" t="str">
        <f>VLOOKUP(student_skills[[#This Row],[Student_ID]],student_data[],2,0)</f>
        <v>Information Technology</v>
      </c>
      <c r="C272" s="1">
        <v>1</v>
      </c>
      <c r="D272" s="1">
        <v>2</v>
      </c>
      <c r="E272" s="1">
        <v>5</v>
      </c>
      <c r="F272" s="1">
        <v>6</v>
      </c>
      <c r="G272" s="1">
        <v>8</v>
      </c>
    </row>
    <row r="273" spans="1:7" x14ac:dyDescent="0.2">
      <c r="A273" s="1" t="s">
        <v>282</v>
      </c>
      <c r="B273" s="1" t="str">
        <f>VLOOKUP(student_skills[[#This Row],[Student_ID]],student_data[],2,0)</f>
        <v>Civil</v>
      </c>
      <c r="C273" s="1">
        <v>5</v>
      </c>
      <c r="D273" s="1">
        <v>5</v>
      </c>
      <c r="E273" s="1">
        <v>8</v>
      </c>
      <c r="F273" s="1">
        <v>4</v>
      </c>
      <c r="G273" s="1">
        <v>1</v>
      </c>
    </row>
    <row r="274" spans="1:7" x14ac:dyDescent="0.2">
      <c r="A274" s="1" t="s">
        <v>283</v>
      </c>
      <c r="B274" s="1" t="str">
        <f>VLOOKUP(student_skills[[#This Row],[Student_ID]],student_data[],2,0)</f>
        <v>Mechanical</v>
      </c>
      <c r="C274" s="1">
        <v>4</v>
      </c>
      <c r="D274" s="1">
        <v>3</v>
      </c>
      <c r="E274" s="1">
        <v>8</v>
      </c>
      <c r="F274" s="1">
        <v>4</v>
      </c>
      <c r="G274" s="1">
        <v>5</v>
      </c>
    </row>
    <row r="275" spans="1:7" x14ac:dyDescent="0.2">
      <c r="A275" s="1" t="s">
        <v>284</v>
      </c>
      <c r="B275" s="1" t="str">
        <f>VLOOKUP(student_skills[[#This Row],[Student_ID]],student_data[],2,0)</f>
        <v>Computer Science</v>
      </c>
      <c r="C275" s="1">
        <v>8</v>
      </c>
      <c r="D275" s="1">
        <v>6</v>
      </c>
      <c r="E275" s="1">
        <v>9</v>
      </c>
      <c r="F275" s="1">
        <v>2</v>
      </c>
      <c r="G275" s="1">
        <v>6</v>
      </c>
    </row>
    <row r="276" spans="1:7" x14ac:dyDescent="0.2">
      <c r="A276" s="1" t="s">
        <v>285</v>
      </c>
      <c r="B276" s="1" t="str">
        <f>VLOOKUP(student_skills[[#This Row],[Student_ID]],student_data[],2,0)</f>
        <v>Computer Science</v>
      </c>
      <c r="C276" s="1">
        <v>8</v>
      </c>
      <c r="D276" s="1">
        <v>2</v>
      </c>
      <c r="E276" s="1">
        <v>7</v>
      </c>
      <c r="F276" s="1">
        <v>2</v>
      </c>
      <c r="G276" s="1">
        <v>6</v>
      </c>
    </row>
    <row r="277" spans="1:7" x14ac:dyDescent="0.2">
      <c r="A277" s="1" t="s">
        <v>286</v>
      </c>
      <c r="B277" s="1" t="str">
        <f>VLOOKUP(student_skills[[#This Row],[Student_ID]],student_data[],2,0)</f>
        <v>Civil</v>
      </c>
      <c r="C277" s="1">
        <v>7</v>
      </c>
      <c r="D277" s="1">
        <v>3</v>
      </c>
      <c r="E277" s="1">
        <v>1</v>
      </c>
      <c r="F277" s="1">
        <v>4</v>
      </c>
      <c r="G277" s="1">
        <v>5</v>
      </c>
    </row>
    <row r="278" spans="1:7" x14ac:dyDescent="0.2">
      <c r="A278" s="1" t="s">
        <v>287</v>
      </c>
      <c r="B278" s="1" t="str">
        <f>VLOOKUP(student_skills[[#This Row],[Student_ID]],student_data[],2,0)</f>
        <v>Mechanical</v>
      </c>
      <c r="C278" s="1">
        <v>3</v>
      </c>
      <c r="D278" s="1">
        <v>5</v>
      </c>
      <c r="E278" s="1">
        <v>3</v>
      </c>
      <c r="F278" s="1">
        <v>5</v>
      </c>
      <c r="G278" s="1">
        <v>3</v>
      </c>
    </row>
    <row r="279" spans="1:7" x14ac:dyDescent="0.2">
      <c r="A279" s="1" t="s">
        <v>288</v>
      </c>
      <c r="B279" s="1" t="str">
        <f>VLOOKUP(student_skills[[#This Row],[Student_ID]],student_data[],2,0)</f>
        <v>Mechanical</v>
      </c>
      <c r="C279" s="1">
        <v>1</v>
      </c>
      <c r="D279" s="1">
        <v>1</v>
      </c>
      <c r="E279" s="1">
        <v>8</v>
      </c>
      <c r="F279" s="1">
        <v>8</v>
      </c>
      <c r="G279" s="1">
        <v>5</v>
      </c>
    </row>
    <row r="280" spans="1:7" x14ac:dyDescent="0.2">
      <c r="A280" s="1" t="s">
        <v>289</v>
      </c>
      <c r="B280" s="1" t="str">
        <f>VLOOKUP(student_skills[[#This Row],[Student_ID]],student_data[],2,0)</f>
        <v>Information Technology</v>
      </c>
      <c r="C280" s="1">
        <v>1</v>
      </c>
      <c r="D280" s="1">
        <v>1</v>
      </c>
      <c r="E280" s="1">
        <v>3</v>
      </c>
      <c r="F280" s="1">
        <v>6</v>
      </c>
      <c r="G280" s="1">
        <v>8</v>
      </c>
    </row>
    <row r="281" spans="1:7" x14ac:dyDescent="0.2">
      <c r="A281" s="1" t="s">
        <v>290</v>
      </c>
      <c r="B281" s="1" t="str">
        <f>VLOOKUP(student_skills[[#This Row],[Student_ID]],student_data[],2,0)</f>
        <v>Mechanical</v>
      </c>
      <c r="C281" s="1">
        <v>3</v>
      </c>
      <c r="D281" s="1">
        <v>10</v>
      </c>
      <c r="E281" s="1">
        <v>8</v>
      </c>
      <c r="F281" s="1">
        <v>4</v>
      </c>
      <c r="G281" s="1">
        <v>2</v>
      </c>
    </row>
    <row r="282" spans="1:7" x14ac:dyDescent="0.2">
      <c r="A282" s="1" t="s">
        <v>291</v>
      </c>
      <c r="B282" s="1" t="str">
        <f>VLOOKUP(student_skills[[#This Row],[Student_ID]],student_data[],2,0)</f>
        <v>Mechanical</v>
      </c>
      <c r="C282" s="1">
        <v>6</v>
      </c>
      <c r="D282" s="1">
        <v>9</v>
      </c>
      <c r="E282" s="1">
        <v>1</v>
      </c>
      <c r="F282" s="1">
        <v>7</v>
      </c>
      <c r="G282" s="1">
        <v>6</v>
      </c>
    </row>
    <row r="283" spans="1:7" x14ac:dyDescent="0.2">
      <c r="A283" s="1" t="s">
        <v>292</v>
      </c>
      <c r="B283" s="1" t="str">
        <f>VLOOKUP(student_skills[[#This Row],[Student_ID]],student_data[],2,0)</f>
        <v>Mechanical</v>
      </c>
      <c r="C283" s="1">
        <v>7</v>
      </c>
      <c r="D283" s="1">
        <v>7</v>
      </c>
      <c r="E283" s="1">
        <v>5</v>
      </c>
      <c r="F283" s="1">
        <v>8</v>
      </c>
      <c r="G283" s="1">
        <v>9</v>
      </c>
    </row>
    <row r="284" spans="1:7" x14ac:dyDescent="0.2">
      <c r="A284" s="1" t="s">
        <v>293</v>
      </c>
      <c r="B284" s="1" t="str">
        <f>VLOOKUP(student_skills[[#This Row],[Student_ID]],student_data[],2,0)</f>
        <v>Electronics</v>
      </c>
      <c r="C284" s="1">
        <v>6</v>
      </c>
      <c r="D284" s="1">
        <v>1</v>
      </c>
      <c r="E284" s="1">
        <v>4</v>
      </c>
      <c r="F284" s="1">
        <v>2</v>
      </c>
      <c r="G284" s="1">
        <v>8</v>
      </c>
    </row>
    <row r="285" spans="1:7" x14ac:dyDescent="0.2">
      <c r="A285" s="1" t="s">
        <v>294</v>
      </c>
      <c r="B285" s="1" t="str">
        <f>VLOOKUP(student_skills[[#This Row],[Student_ID]],student_data[],2,0)</f>
        <v>Information Technology</v>
      </c>
      <c r="C285" s="1">
        <v>6</v>
      </c>
      <c r="D285" s="1">
        <v>8</v>
      </c>
      <c r="E285" s="1">
        <v>5</v>
      </c>
      <c r="F285" s="1">
        <v>7</v>
      </c>
      <c r="G285" s="1">
        <v>8</v>
      </c>
    </row>
    <row r="286" spans="1:7" x14ac:dyDescent="0.2">
      <c r="A286" s="1" t="s">
        <v>295</v>
      </c>
      <c r="B286" s="1" t="str">
        <f>VLOOKUP(student_skills[[#This Row],[Student_ID]],student_data[],2,0)</f>
        <v>Computer Science</v>
      </c>
      <c r="C286" s="1">
        <v>6</v>
      </c>
      <c r="D286" s="1">
        <v>3</v>
      </c>
      <c r="E286" s="1">
        <v>8</v>
      </c>
      <c r="F286" s="1">
        <v>2</v>
      </c>
      <c r="G286" s="1">
        <v>8</v>
      </c>
    </row>
    <row r="287" spans="1:7" x14ac:dyDescent="0.2">
      <c r="A287" s="1" t="s">
        <v>296</v>
      </c>
      <c r="B287" s="1" t="str">
        <f>VLOOKUP(student_skills[[#This Row],[Student_ID]],student_data[],2,0)</f>
        <v>Civil</v>
      </c>
      <c r="C287" s="1">
        <v>3</v>
      </c>
      <c r="D287" s="1">
        <v>8</v>
      </c>
      <c r="E287" s="1">
        <v>10</v>
      </c>
      <c r="F287" s="1">
        <v>2</v>
      </c>
      <c r="G287" s="1">
        <v>7</v>
      </c>
    </row>
    <row r="288" spans="1:7" x14ac:dyDescent="0.2">
      <c r="A288" s="1" t="s">
        <v>297</v>
      </c>
      <c r="B288" s="1" t="str">
        <f>VLOOKUP(student_skills[[#This Row],[Student_ID]],student_data[],2,0)</f>
        <v>Computer Science</v>
      </c>
      <c r="C288" s="1">
        <v>6</v>
      </c>
      <c r="D288" s="1">
        <v>5</v>
      </c>
      <c r="E288" s="1">
        <v>4</v>
      </c>
      <c r="F288" s="1">
        <v>8</v>
      </c>
      <c r="G288" s="1">
        <v>8</v>
      </c>
    </row>
    <row r="289" spans="1:7" x14ac:dyDescent="0.2">
      <c r="A289" s="1" t="s">
        <v>298</v>
      </c>
      <c r="B289" s="1" t="str">
        <f>VLOOKUP(student_skills[[#This Row],[Student_ID]],student_data[],2,0)</f>
        <v>Information Technology</v>
      </c>
      <c r="C289" s="1">
        <v>8</v>
      </c>
      <c r="D289" s="1">
        <v>1</v>
      </c>
      <c r="E289" s="1">
        <v>4</v>
      </c>
      <c r="F289" s="1">
        <v>2</v>
      </c>
      <c r="G289" s="1">
        <v>6</v>
      </c>
    </row>
    <row r="290" spans="1:7" x14ac:dyDescent="0.2">
      <c r="A290" s="1" t="s">
        <v>299</v>
      </c>
      <c r="B290" s="1" t="str">
        <f>VLOOKUP(student_skills[[#This Row],[Student_ID]],student_data[],2,0)</f>
        <v>Civil</v>
      </c>
      <c r="C290" s="1">
        <v>2</v>
      </c>
      <c r="D290" s="1">
        <v>7</v>
      </c>
      <c r="E290" s="1">
        <v>3</v>
      </c>
      <c r="F290" s="1">
        <v>9</v>
      </c>
      <c r="G290" s="1">
        <v>2</v>
      </c>
    </row>
    <row r="291" spans="1:7" x14ac:dyDescent="0.2">
      <c r="A291" s="1" t="s">
        <v>300</v>
      </c>
      <c r="B291" s="1" t="str">
        <f>VLOOKUP(student_skills[[#This Row],[Student_ID]],student_data[],2,0)</f>
        <v>Information Technology</v>
      </c>
      <c r="C291" s="1">
        <v>5</v>
      </c>
      <c r="D291" s="1">
        <v>5</v>
      </c>
      <c r="E291" s="1">
        <v>7</v>
      </c>
      <c r="F291" s="1">
        <v>1</v>
      </c>
      <c r="G291" s="1">
        <v>2</v>
      </c>
    </row>
    <row r="292" spans="1:7" x14ac:dyDescent="0.2">
      <c r="A292" s="1" t="s">
        <v>301</v>
      </c>
      <c r="B292" s="1" t="str">
        <f>VLOOKUP(student_skills[[#This Row],[Student_ID]],student_data[],2,0)</f>
        <v>Mechanical</v>
      </c>
      <c r="C292" s="1">
        <v>1</v>
      </c>
      <c r="D292" s="1">
        <v>6</v>
      </c>
      <c r="E292" s="1">
        <v>3</v>
      </c>
      <c r="F292" s="1">
        <v>9</v>
      </c>
      <c r="G292" s="1">
        <v>8</v>
      </c>
    </row>
    <row r="293" spans="1:7" x14ac:dyDescent="0.2">
      <c r="A293" s="1" t="s">
        <v>302</v>
      </c>
      <c r="B293" s="1" t="str">
        <f>VLOOKUP(student_skills[[#This Row],[Student_ID]],student_data[],2,0)</f>
        <v>Civil</v>
      </c>
      <c r="C293" s="1">
        <v>1</v>
      </c>
      <c r="D293" s="1">
        <v>6</v>
      </c>
      <c r="E293" s="1">
        <v>3</v>
      </c>
      <c r="F293" s="1">
        <v>1</v>
      </c>
      <c r="G293" s="1">
        <v>1</v>
      </c>
    </row>
    <row r="294" spans="1:7" x14ac:dyDescent="0.2">
      <c r="A294" s="1" t="s">
        <v>303</v>
      </c>
      <c r="B294" s="1" t="str">
        <f>VLOOKUP(student_skills[[#This Row],[Student_ID]],student_data[],2,0)</f>
        <v>Mechanical</v>
      </c>
      <c r="C294" s="1">
        <v>5</v>
      </c>
      <c r="D294" s="1">
        <v>8</v>
      </c>
      <c r="E294" s="1">
        <v>10</v>
      </c>
      <c r="F294" s="1">
        <v>10</v>
      </c>
      <c r="G294" s="1">
        <v>6</v>
      </c>
    </row>
    <row r="295" spans="1:7" x14ac:dyDescent="0.2">
      <c r="A295" s="1" t="s">
        <v>304</v>
      </c>
      <c r="B295" s="1" t="str">
        <f>VLOOKUP(student_skills[[#This Row],[Student_ID]],student_data[],2,0)</f>
        <v>Computer Science</v>
      </c>
      <c r="C295" s="1">
        <v>3</v>
      </c>
      <c r="D295" s="1">
        <v>9</v>
      </c>
      <c r="E295" s="1">
        <v>5</v>
      </c>
      <c r="F295" s="1">
        <v>10</v>
      </c>
      <c r="G295" s="1">
        <v>6</v>
      </c>
    </row>
    <row r="296" spans="1:7" x14ac:dyDescent="0.2">
      <c r="A296" s="1" t="s">
        <v>305</v>
      </c>
      <c r="B296" s="1" t="str">
        <f>VLOOKUP(student_skills[[#This Row],[Student_ID]],student_data[],2,0)</f>
        <v>Computer Science</v>
      </c>
      <c r="C296" s="1">
        <v>4</v>
      </c>
      <c r="D296" s="1">
        <v>2</v>
      </c>
      <c r="E296" s="1">
        <v>5</v>
      </c>
      <c r="F296" s="1">
        <v>2</v>
      </c>
      <c r="G296" s="1">
        <v>4</v>
      </c>
    </row>
    <row r="297" spans="1:7" x14ac:dyDescent="0.2">
      <c r="A297" s="1" t="s">
        <v>306</v>
      </c>
      <c r="B297" s="1" t="str">
        <f>VLOOKUP(student_skills[[#This Row],[Student_ID]],student_data[],2,0)</f>
        <v>Civil</v>
      </c>
      <c r="C297" s="1">
        <v>3</v>
      </c>
      <c r="D297" s="1">
        <v>9</v>
      </c>
      <c r="E297" s="1">
        <v>6</v>
      </c>
      <c r="F297" s="1">
        <v>6</v>
      </c>
      <c r="G297" s="1">
        <v>10</v>
      </c>
    </row>
    <row r="298" spans="1:7" x14ac:dyDescent="0.2">
      <c r="A298" s="1" t="s">
        <v>307</v>
      </c>
      <c r="B298" s="1" t="str">
        <f>VLOOKUP(student_skills[[#This Row],[Student_ID]],student_data[],2,0)</f>
        <v>Civil</v>
      </c>
      <c r="C298" s="1">
        <v>1</v>
      </c>
      <c r="D298" s="1">
        <v>10</v>
      </c>
      <c r="E298" s="1">
        <v>8</v>
      </c>
      <c r="F298" s="1">
        <v>6</v>
      </c>
      <c r="G298" s="1">
        <v>3</v>
      </c>
    </row>
    <row r="299" spans="1:7" x14ac:dyDescent="0.2">
      <c r="A299" s="1" t="s">
        <v>308</v>
      </c>
      <c r="B299" s="1" t="str">
        <f>VLOOKUP(student_skills[[#This Row],[Student_ID]],student_data[],2,0)</f>
        <v>Information Technology</v>
      </c>
      <c r="C299" s="1">
        <v>1</v>
      </c>
      <c r="D299" s="1">
        <v>9</v>
      </c>
      <c r="E299" s="1">
        <v>10</v>
      </c>
      <c r="F299" s="1">
        <v>1</v>
      </c>
      <c r="G299" s="1">
        <v>3</v>
      </c>
    </row>
    <row r="300" spans="1:7" x14ac:dyDescent="0.2">
      <c r="A300" s="1" t="s">
        <v>309</v>
      </c>
      <c r="B300" s="1" t="str">
        <f>VLOOKUP(student_skills[[#This Row],[Student_ID]],student_data[],2,0)</f>
        <v>Information Technology</v>
      </c>
      <c r="C300" s="1">
        <v>5</v>
      </c>
      <c r="D300" s="1">
        <v>10</v>
      </c>
      <c r="E300" s="1">
        <v>6</v>
      </c>
      <c r="F300" s="1">
        <v>7</v>
      </c>
      <c r="G300" s="1">
        <v>1</v>
      </c>
    </row>
    <row r="301" spans="1:7" x14ac:dyDescent="0.2">
      <c r="A301" s="1" t="s">
        <v>310</v>
      </c>
      <c r="B301" s="1" t="str">
        <f>VLOOKUP(student_skills[[#This Row],[Student_ID]],student_data[],2,0)</f>
        <v>Mechanical</v>
      </c>
      <c r="C301" s="1">
        <v>6</v>
      </c>
      <c r="D301" s="1">
        <v>10</v>
      </c>
      <c r="E301" s="1">
        <v>1</v>
      </c>
      <c r="F301" s="1">
        <v>8</v>
      </c>
      <c r="G301" s="1">
        <v>3</v>
      </c>
    </row>
    <row r="302" spans="1:7" x14ac:dyDescent="0.2">
      <c r="A302" s="1" t="s">
        <v>311</v>
      </c>
      <c r="B302" s="1" t="str">
        <f>VLOOKUP(student_skills[[#This Row],[Student_ID]],student_data[],2,0)</f>
        <v>Civil</v>
      </c>
      <c r="C302" s="1">
        <v>3</v>
      </c>
      <c r="D302" s="1">
        <v>7</v>
      </c>
      <c r="E302" s="1">
        <v>8</v>
      </c>
      <c r="F302" s="1">
        <v>2</v>
      </c>
      <c r="G302" s="1">
        <v>4</v>
      </c>
    </row>
    <row r="303" spans="1:7" x14ac:dyDescent="0.2">
      <c r="A303" s="1" t="s">
        <v>312</v>
      </c>
      <c r="B303" s="1" t="str">
        <f>VLOOKUP(student_skills[[#This Row],[Student_ID]],student_data[],2,0)</f>
        <v>Computer Science</v>
      </c>
      <c r="C303" s="1">
        <v>9</v>
      </c>
      <c r="D303" s="1">
        <v>1</v>
      </c>
      <c r="E303" s="1">
        <v>8</v>
      </c>
      <c r="F303" s="1">
        <v>8</v>
      </c>
      <c r="G303" s="1">
        <v>5</v>
      </c>
    </row>
    <row r="304" spans="1:7" x14ac:dyDescent="0.2">
      <c r="A304" s="1" t="s">
        <v>313</v>
      </c>
      <c r="B304" s="1" t="str">
        <f>VLOOKUP(student_skills[[#This Row],[Student_ID]],student_data[],2,0)</f>
        <v>Information Technology</v>
      </c>
      <c r="C304" s="1">
        <v>5</v>
      </c>
      <c r="D304" s="1">
        <v>7</v>
      </c>
      <c r="E304" s="1">
        <v>9</v>
      </c>
      <c r="F304" s="1">
        <v>9</v>
      </c>
      <c r="G304" s="1">
        <v>3</v>
      </c>
    </row>
    <row r="305" spans="1:7" x14ac:dyDescent="0.2">
      <c r="A305" s="1" t="s">
        <v>314</v>
      </c>
      <c r="B305" s="1" t="str">
        <f>VLOOKUP(student_skills[[#This Row],[Student_ID]],student_data[],2,0)</f>
        <v>Information Technology</v>
      </c>
      <c r="C305" s="1">
        <v>8</v>
      </c>
      <c r="D305" s="1">
        <v>10</v>
      </c>
      <c r="E305" s="1">
        <v>9</v>
      </c>
      <c r="F305" s="1">
        <v>6</v>
      </c>
      <c r="G305" s="1">
        <v>6</v>
      </c>
    </row>
    <row r="306" spans="1:7" x14ac:dyDescent="0.2">
      <c r="A306" s="1" t="s">
        <v>315</v>
      </c>
      <c r="B306" s="1" t="str">
        <f>VLOOKUP(student_skills[[#This Row],[Student_ID]],student_data[],2,0)</f>
        <v>Computer Science</v>
      </c>
      <c r="C306" s="1">
        <v>1</v>
      </c>
      <c r="D306" s="1">
        <v>5</v>
      </c>
      <c r="E306" s="1">
        <v>2</v>
      </c>
      <c r="F306" s="1">
        <v>5</v>
      </c>
      <c r="G306" s="1">
        <v>5</v>
      </c>
    </row>
    <row r="307" spans="1:7" x14ac:dyDescent="0.2">
      <c r="A307" s="1" t="s">
        <v>316</v>
      </c>
      <c r="B307" s="1" t="str">
        <f>VLOOKUP(student_skills[[#This Row],[Student_ID]],student_data[],2,0)</f>
        <v>Information Technology</v>
      </c>
      <c r="C307" s="1">
        <v>5</v>
      </c>
      <c r="D307" s="1">
        <v>6</v>
      </c>
      <c r="E307" s="1">
        <v>2</v>
      </c>
      <c r="F307" s="1">
        <v>9</v>
      </c>
      <c r="G307" s="1">
        <v>3</v>
      </c>
    </row>
    <row r="308" spans="1:7" x14ac:dyDescent="0.2">
      <c r="A308" s="1" t="s">
        <v>317</v>
      </c>
      <c r="B308" s="1" t="str">
        <f>VLOOKUP(student_skills[[#This Row],[Student_ID]],student_data[],2,0)</f>
        <v>Mechanical</v>
      </c>
      <c r="C308" s="1">
        <v>3</v>
      </c>
      <c r="D308" s="1">
        <v>10</v>
      </c>
      <c r="E308" s="1">
        <v>3</v>
      </c>
      <c r="F308" s="1">
        <v>9</v>
      </c>
      <c r="G308" s="1">
        <v>6</v>
      </c>
    </row>
    <row r="309" spans="1:7" x14ac:dyDescent="0.2">
      <c r="A309" s="1" t="s">
        <v>318</v>
      </c>
      <c r="B309" s="1" t="str">
        <f>VLOOKUP(student_skills[[#This Row],[Student_ID]],student_data[],2,0)</f>
        <v>Civil</v>
      </c>
      <c r="C309" s="1">
        <v>1</v>
      </c>
      <c r="D309" s="1">
        <v>7</v>
      </c>
      <c r="E309" s="1">
        <v>1</v>
      </c>
      <c r="F309" s="1">
        <v>1</v>
      </c>
      <c r="G309" s="1">
        <v>6</v>
      </c>
    </row>
    <row r="310" spans="1:7" x14ac:dyDescent="0.2">
      <c r="A310" s="1" t="s">
        <v>319</v>
      </c>
      <c r="B310" s="1" t="str">
        <f>VLOOKUP(student_skills[[#This Row],[Student_ID]],student_data[],2,0)</f>
        <v>Computer Science</v>
      </c>
      <c r="C310" s="1">
        <v>4</v>
      </c>
      <c r="D310" s="1">
        <v>5</v>
      </c>
      <c r="E310" s="1">
        <v>4</v>
      </c>
      <c r="F310" s="1">
        <v>3</v>
      </c>
      <c r="G310" s="1">
        <v>8</v>
      </c>
    </row>
    <row r="311" spans="1:7" x14ac:dyDescent="0.2">
      <c r="A311" s="1" t="s">
        <v>320</v>
      </c>
      <c r="B311" s="1" t="str">
        <f>VLOOKUP(student_skills[[#This Row],[Student_ID]],student_data[],2,0)</f>
        <v>Civil</v>
      </c>
      <c r="C311" s="1">
        <v>5</v>
      </c>
      <c r="D311" s="1">
        <v>7</v>
      </c>
      <c r="E311" s="1">
        <v>4</v>
      </c>
      <c r="F311" s="1">
        <v>9</v>
      </c>
      <c r="G311" s="1">
        <v>2</v>
      </c>
    </row>
    <row r="312" spans="1:7" x14ac:dyDescent="0.2">
      <c r="A312" s="1" t="s">
        <v>321</v>
      </c>
      <c r="B312" s="1" t="str">
        <f>VLOOKUP(student_skills[[#This Row],[Student_ID]],student_data[],2,0)</f>
        <v>Information Technology</v>
      </c>
      <c r="C312" s="1">
        <v>7</v>
      </c>
      <c r="D312" s="1">
        <v>9</v>
      </c>
      <c r="E312" s="1">
        <v>9</v>
      </c>
      <c r="F312" s="1">
        <v>2</v>
      </c>
      <c r="G312" s="1">
        <v>1</v>
      </c>
    </row>
    <row r="313" spans="1:7" x14ac:dyDescent="0.2">
      <c r="A313" s="1" t="s">
        <v>322</v>
      </c>
      <c r="B313" s="1" t="str">
        <f>VLOOKUP(student_skills[[#This Row],[Student_ID]],student_data[],2,0)</f>
        <v>Information Technology</v>
      </c>
      <c r="C313" s="1">
        <v>1</v>
      </c>
      <c r="D313" s="1">
        <v>3</v>
      </c>
      <c r="E313" s="1">
        <v>9</v>
      </c>
      <c r="F313" s="1">
        <v>4</v>
      </c>
      <c r="G313" s="1">
        <v>4</v>
      </c>
    </row>
    <row r="314" spans="1:7" x14ac:dyDescent="0.2">
      <c r="A314" s="1" t="s">
        <v>323</v>
      </c>
      <c r="B314" s="1" t="str">
        <f>VLOOKUP(student_skills[[#This Row],[Student_ID]],student_data[],2,0)</f>
        <v>Computer Science</v>
      </c>
      <c r="C314" s="1">
        <v>3</v>
      </c>
      <c r="D314" s="1">
        <v>8</v>
      </c>
      <c r="E314" s="1">
        <v>9</v>
      </c>
      <c r="F314" s="1">
        <v>4</v>
      </c>
      <c r="G314" s="1">
        <v>7</v>
      </c>
    </row>
    <row r="315" spans="1:7" x14ac:dyDescent="0.2">
      <c r="A315" s="1" t="s">
        <v>324</v>
      </c>
      <c r="B315" s="1" t="str">
        <f>VLOOKUP(student_skills[[#This Row],[Student_ID]],student_data[],2,0)</f>
        <v>Mechanical</v>
      </c>
      <c r="C315" s="1">
        <v>2</v>
      </c>
      <c r="D315" s="1">
        <v>2</v>
      </c>
      <c r="E315" s="1">
        <v>10</v>
      </c>
      <c r="F315" s="1">
        <v>2</v>
      </c>
      <c r="G315" s="1">
        <v>10</v>
      </c>
    </row>
    <row r="316" spans="1:7" x14ac:dyDescent="0.2">
      <c r="A316" s="1" t="s">
        <v>325</v>
      </c>
      <c r="B316" s="1" t="str">
        <f>VLOOKUP(student_skills[[#This Row],[Student_ID]],student_data[],2,0)</f>
        <v>Electronics</v>
      </c>
      <c r="C316" s="1">
        <v>9</v>
      </c>
      <c r="D316" s="1">
        <v>7</v>
      </c>
      <c r="E316" s="1">
        <v>7</v>
      </c>
      <c r="F316" s="1">
        <v>3</v>
      </c>
      <c r="G316" s="1">
        <v>3</v>
      </c>
    </row>
    <row r="317" spans="1:7" x14ac:dyDescent="0.2">
      <c r="A317" s="1" t="s">
        <v>326</v>
      </c>
      <c r="B317" s="1" t="str">
        <f>VLOOKUP(student_skills[[#This Row],[Student_ID]],student_data[],2,0)</f>
        <v>Computer Science</v>
      </c>
      <c r="C317" s="1">
        <v>10</v>
      </c>
      <c r="D317" s="1">
        <v>2</v>
      </c>
      <c r="E317" s="1">
        <v>2</v>
      </c>
      <c r="F317" s="1">
        <v>3</v>
      </c>
      <c r="G317" s="1">
        <v>3</v>
      </c>
    </row>
    <row r="318" spans="1:7" x14ac:dyDescent="0.2">
      <c r="A318" s="1" t="s">
        <v>327</v>
      </c>
      <c r="B318" s="1" t="str">
        <f>VLOOKUP(student_skills[[#This Row],[Student_ID]],student_data[],2,0)</f>
        <v>Electronics</v>
      </c>
      <c r="C318" s="1">
        <v>6</v>
      </c>
      <c r="D318" s="1">
        <v>4</v>
      </c>
      <c r="E318" s="1">
        <v>10</v>
      </c>
      <c r="F318" s="1">
        <v>1</v>
      </c>
      <c r="G318" s="1">
        <v>5</v>
      </c>
    </row>
    <row r="319" spans="1:7" x14ac:dyDescent="0.2">
      <c r="A319" s="1" t="s">
        <v>328</v>
      </c>
      <c r="B319" s="1" t="str">
        <f>VLOOKUP(student_skills[[#This Row],[Student_ID]],student_data[],2,0)</f>
        <v>Electronics</v>
      </c>
      <c r="C319" s="1">
        <v>10</v>
      </c>
      <c r="D319" s="1">
        <v>7</v>
      </c>
      <c r="E319" s="1">
        <v>5</v>
      </c>
      <c r="F319" s="1">
        <v>6</v>
      </c>
      <c r="G319" s="1">
        <v>5</v>
      </c>
    </row>
    <row r="320" spans="1:7" x14ac:dyDescent="0.2">
      <c r="A320" s="1" t="s">
        <v>329</v>
      </c>
      <c r="B320" s="1" t="str">
        <f>VLOOKUP(student_skills[[#This Row],[Student_ID]],student_data[],2,0)</f>
        <v>Mechanical</v>
      </c>
      <c r="C320" s="1">
        <v>3</v>
      </c>
      <c r="D320" s="1">
        <v>3</v>
      </c>
      <c r="E320" s="1">
        <v>4</v>
      </c>
      <c r="F320" s="1">
        <v>8</v>
      </c>
      <c r="G320" s="1">
        <v>10</v>
      </c>
    </row>
    <row r="321" spans="1:7" x14ac:dyDescent="0.2">
      <c r="A321" s="1" t="s">
        <v>330</v>
      </c>
      <c r="B321" s="1" t="str">
        <f>VLOOKUP(student_skills[[#This Row],[Student_ID]],student_data[],2,0)</f>
        <v>Electronics</v>
      </c>
      <c r="C321" s="1">
        <v>8</v>
      </c>
      <c r="D321" s="1">
        <v>2</v>
      </c>
      <c r="E321" s="1">
        <v>8</v>
      </c>
      <c r="F321" s="1">
        <v>3</v>
      </c>
      <c r="G321" s="1">
        <v>3</v>
      </c>
    </row>
    <row r="322" spans="1:7" x14ac:dyDescent="0.2">
      <c r="A322" s="1" t="s">
        <v>331</v>
      </c>
      <c r="B322" s="1" t="str">
        <f>VLOOKUP(student_skills[[#This Row],[Student_ID]],student_data[],2,0)</f>
        <v>Electronics</v>
      </c>
      <c r="C322" s="1">
        <v>8</v>
      </c>
      <c r="D322" s="1">
        <v>10</v>
      </c>
      <c r="E322" s="1">
        <v>2</v>
      </c>
      <c r="F322" s="1">
        <v>5</v>
      </c>
      <c r="G322" s="1">
        <v>9</v>
      </c>
    </row>
    <row r="323" spans="1:7" x14ac:dyDescent="0.2">
      <c r="A323" s="1" t="s">
        <v>332</v>
      </c>
      <c r="B323" s="1" t="str">
        <f>VLOOKUP(student_skills[[#This Row],[Student_ID]],student_data[],2,0)</f>
        <v>Mechanical</v>
      </c>
      <c r="C323" s="1">
        <v>2</v>
      </c>
      <c r="D323" s="1">
        <v>7</v>
      </c>
      <c r="E323" s="1">
        <v>6</v>
      </c>
      <c r="F323" s="1">
        <v>1</v>
      </c>
      <c r="G323" s="1">
        <v>4</v>
      </c>
    </row>
    <row r="324" spans="1:7" x14ac:dyDescent="0.2">
      <c r="A324" s="1" t="s">
        <v>333</v>
      </c>
      <c r="B324" s="1" t="str">
        <f>VLOOKUP(student_skills[[#This Row],[Student_ID]],student_data[],2,0)</f>
        <v>Electronics</v>
      </c>
      <c r="C324" s="1">
        <v>6</v>
      </c>
      <c r="D324" s="1">
        <v>1</v>
      </c>
      <c r="E324" s="1">
        <v>5</v>
      </c>
      <c r="F324" s="1">
        <v>10</v>
      </c>
      <c r="G324" s="1">
        <v>3</v>
      </c>
    </row>
    <row r="325" spans="1:7" x14ac:dyDescent="0.2">
      <c r="A325" s="1" t="s">
        <v>334</v>
      </c>
      <c r="B325" s="1" t="str">
        <f>VLOOKUP(student_skills[[#This Row],[Student_ID]],student_data[],2,0)</f>
        <v>Electronics</v>
      </c>
      <c r="C325" s="1">
        <v>7</v>
      </c>
      <c r="D325" s="1">
        <v>8</v>
      </c>
      <c r="E325" s="1">
        <v>2</v>
      </c>
      <c r="F325" s="1">
        <v>7</v>
      </c>
      <c r="G325" s="1">
        <v>2</v>
      </c>
    </row>
    <row r="326" spans="1:7" x14ac:dyDescent="0.2">
      <c r="A326" s="1" t="s">
        <v>335</v>
      </c>
      <c r="B326" s="1" t="str">
        <f>VLOOKUP(student_skills[[#This Row],[Student_ID]],student_data[],2,0)</f>
        <v>Electronics</v>
      </c>
      <c r="C326" s="1">
        <v>2</v>
      </c>
      <c r="D326" s="1">
        <v>3</v>
      </c>
      <c r="E326" s="1">
        <v>10</v>
      </c>
      <c r="F326" s="1">
        <v>10</v>
      </c>
      <c r="G326" s="1">
        <v>10</v>
      </c>
    </row>
    <row r="327" spans="1:7" x14ac:dyDescent="0.2">
      <c r="A327" s="1" t="s">
        <v>336</v>
      </c>
      <c r="B327" s="1" t="str">
        <f>VLOOKUP(student_skills[[#This Row],[Student_ID]],student_data[],2,0)</f>
        <v>Computer Science</v>
      </c>
      <c r="C327" s="1">
        <v>10</v>
      </c>
      <c r="D327" s="1">
        <v>2</v>
      </c>
      <c r="E327" s="1">
        <v>1</v>
      </c>
      <c r="F327" s="1">
        <v>1</v>
      </c>
      <c r="G327" s="1">
        <v>9</v>
      </c>
    </row>
    <row r="328" spans="1:7" x14ac:dyDescent="0.2">
      <c r="A328" s="1" t="s">
        <v>337</v>
      </c>
      <c r="B328" s="1" t="str">
        <f>VLOOKUP(student_skills[[#This Row],[Student_ID]],student_data[],2,0)</f>
        <v>Computer Science</v>
      </c>
      <c r="C328" s="1">
        <v>2</v>
      </c>
      <c r="D328" s="1">
        <v>3</v>
      </c>
      <c r="E328" s="1">
        <v>8</v>
      </c>
      <c r="F328" s="1">
        <v>9</v>
      </c>
      <c r="G328" s="1">
        <v>4</v>
      </c>
    </row>
    <row r="329" spans="1:7" x14ac:dyDescent="0.2">
      <c r="A329" s="1" t="s">
        <v>338</v>
      </c>
      <c r="B329" s="1" t="str">
        <f>VLOOKUP(student_skills[[#This Row],[Student_ID]],student_data[],2,0)</f>
        <v>Computer Science</v>
      </c>
      <c r="C329" s="1">
        <v>10</v>
      </c>
      <c r="D329" s="1">
        <v>5</v>
      </c>
      <c r="E329" s="1">
        <v>2</v>
      </c>
      <c r="F329" s="1">
        <v>8</v>
      </c>
      <c r="G329" s="1">
        <v>3</v>
      </c>
    </row>
    <row r="330" spans="1:7" x14ac:dyDescent="0.2">
      <c r="A330" s="1" t="s">
        <v>339</v>
      </c>
      <c r="B330" s="1" t="str">
        <f>VLOOKUP(student_skills[[#This Row],[Student_ID]],student_data[],2,0)</f>
        <v>Mechanical</v>
      </c>
      <c r="C330" s="1">
        <v>1</v>
      </c>
      <c r="D330" s="1">
        <v>8</v>
      </c>
      <c r="E330" s="1">
        <v>7</v>
      </c>
      <c r="F330" s="1">
        <v>7</v>
      </c>
      <c r="G330" s="1">
        <v>7</v>
      </c>
    </row>
    <row r="331" spans="1:7" x14ac:dyDescent="0.2">
      <c r="A331" s="1" t="s">
        <v>340</v>
      </c>
      <c r="B331" s="1" t="str">
        <f>VLOOKUP(student_skills[[#This Row],[Student_ID]],student_data[],2,0)</f>
        <v>Information Technology</v>
      </c>
      <c r="C331" s="1">
        <v>8</v>
      </c>
      <c r="D331" s="1">
        <v>10</v>
      </c>
      <c r="E331" s="1">
        <v>9</v>
      </c>
      <c r="F331" s="1">
        <v>10</v>
      </c>
      <c r="G331" s="1">
        <v>8</v>
      </c>
    </row>
    <row r="332" spans="1:7" x14ac:dyDescent="0.2">
      <c r="A332" s="1" t="s">
        <v>341</v>
      </c>
      <c r="B332" s="1" t="str">
        <f>VLOOKUP(student_skills[[#This Row],[Student_ID]],student_data[],2,0)</f>
        <v>Electronics</v>
      </c>
      <c r="C332" s="1">
        <v>1</v>
      </c>
      <c r="D332" s="1">
        <v>7</v>
      </c>
      <c r="E332" s="1">
        <v>9</v>
      </c>
      <c r="F332" s="1">
        <v>7</v>
      </c>
      <c r="G332" s="1">
        <v>2</v>
      </c>
    </row>
    <row r="333" spans="1:7" x14ac:dyDescent="0.2">
      <c r="A333" s="1" t="s">
        <v>342</v>
      </c>
      <c r="B333" s="1" t="str">
        <f>VLOOKUP(student_skills[[#This Row],[Student_ID]],student_data[],2,0)</f>
        <v>Electronics</v>
      </c>
      <c r="C333" s="1">
        <v>9</v>
      </c>
      <c r="D333" s="1">
        <v>7</v>
      </c>
      <c r="E333" s="1">
        <v>8</v>
      </c>
      <c r="F333" s="1">
        <v>5</v>
      </c>
      <c r="G333" s="1">
        <v>7</v>
      </c>
    </row>
    <row r="334" spans="1:7" x14ac:dyDescent="0.2">
      <c r="A334" s="1" t="s">
        <v>343</v>
      </c>
      <c r="B334" s="1" t="str">
        <f>VLOOKUP(student_skills[[#This Row],[Student_ID]],student_data[],2,0)</f>
        <v>Mechanical</v>
      </c>
      <c r="C334" s="1">
        <v>6</v>
      </c>
      <c r="D334" s="1">
        <v>7</v>
      </c>
      <c r="E334" s="1">
        <v>10</v>
      </c>
      <c r="F334" s="1">
        <v>5</v>
      </c>
      <c r="G334" s="1">
        <v>5</v>
      </c>
    </row>
    <row r="335" spans="1:7" x14ac:dyDescent="0.2">
      <c r="A335" s="1" t="s">
        <v>344</v>
      </c>
      <c r="B335" s="1" t="str">
        <f>VLOOKUP(student_skills[[#This Row],[Student_ID]],student_data[],2,0)</f>
        <v>Electronics</v>
      </c>
      <c r="C335" s="1">
        <v>7</v>
      </c>
      <c r="D335" s="1">
        <v>8</v>
      </c>
      <c r="E335" s="1">
        <v>9</v>
      </c>
      <c r="F335" s="1">
        <v>5</v>
      </c>
      <c r="G335" s="1">
        <v>5</v>
      </c>
    </row>
    <row r="336" spans="1:7" x14ac:dyDescent="0.2">
      <c r="A336" s="1" t="s">
        <v>345</v>
      </c>
      <c r="B336" s="1" t="str">
        <f>VLOOKUP(student_skills[[#This Row],[Student_ID]],student_data[],2,0)</f>
        <v>Computer Science</v>
      </c>
      <c r="C336" s="1">
        <v>10</v>
      </c>
      <c r="D336" s="1">
        <v>1</v>
      </c>
      <c r="E336" s="1">
        <v>2</v>
      </c>
      <c r="F336" s="1">
        <v>1</v>
      </c>
      <c r="G336" s="1">
        <v>3</v>
      </c>
    </row>
    <row r="337" spans="1:7" x14ac:dyDescent="0.2">
      <c r="A337" s="1" t="s">
        <v>346</v>
      </c>
      <c r="B337" s="1" t="str">
        <f>VLOOKUP(student_skills[[#This Row],[Student_ID]],student_data[],2,0)</f>
        <v>Information Technology</v>
      </c>
      <c r="C337" s="1">
        <v>7</v>
      </c>
      <c r="D337" s="1">
        <v>4</v>
      </c>
      <c r="E337" s="1">
        <v>6</v>
      </c>
      <c r="F337" s="1">
        <v>8</v>
      </c>
      <c r="G337" s="1">
        <v>5</v>
      </c>
    </row>
    <row r="338" spans="1:7" x14ac:dyDescent="0.2">
      <c r="A338" s="1" t="s">
        <v>347</v>
      </c>
      <c r="B338" s="1" t="str">
        <f>VLOOKUP(student_skills[[#This Row],[Student_ID]],student_data[],2,0)</f>
        <v>Civil</v>
      </c>
      <c r="C338" s="1">
        <v>10</v>
      </c>
      <c r="D338" s="1">
        <v>6</v>
      </c>
      <c r="E338" s="1">
        <v>4</v>
      </c>
      <c r="F338" s="1">
        <v>1</v>
      </c>
      <c r="G338" s="1">
        <v>2</v>
      </c>
    </row>
    <row r="339" spans="1:7" x14ac:dyDescent="0.2">
      <c r="A339" s="1" t="s">
        <v>348</v>
      </c>
      <c r="B339" s="1" t="str">
        <f>VLOOKUP(student_skills[[#This Row],[Student_ID]],student_data[],2,0)</f>
        <v>Electronics</v>
      </c>
      <c r="C339" s="1">
        <v>3</v>
      </c>
      <c r="D339" s="1">
        <v>9</v>
      </c>
      <c r="E339" s="1">
        <v>4</v>
      </c>
      <c r="F339" s="1">
        <v>4</v>
      </c>
      <c r="G339" s="1">
        <v>4</v>
      </c>
    </row>
    <row r="340" spans="1:7" x14ac:dyDescent="0.2">
      <c r="A340" s="1" t="s">
        <v>349</v>
      </c>
      <c r="B340" s="1" t="str">
        <f>VLOOKUP(student_skills[[#This Row],[Student_ID]],student_data[],2,0)</f>
        <v>Computer Science</v>
      </c>
      <c r="C340" s="1">
        <v>2</v>
      </c>
      <c r="D340" s="1">
        <v>2</v>
      </c>
      <c r="E340" s="1">
        <v>5</v>
      </c>
      <c r="F340" s="1">
        <v>9</v>
      </c>
      <c r="G340" s="1">
        <v>6</v>
      </c>
    </row>
    <row r="341" spans="1:7" x14ac:dyDescent="0.2">
      <c r="A341" s="1" t="s">
        <v>350</v>
      </c>
      <c r="B341" s="1" t="str">
        <f>VLOOKUP(student_skills[[#This Row],[Student_ID]],student_data[],2,0)</f>
        <v>Civil</v>
      </c>
      <c r="C341" s="1">
        <v>9</v>
      </c>
      <c r="D341" s="1">
        <v>1</v>
      </c>
      <c r="E341" s="1">
        <v>3</v>
      </c>
      <c r="F341" s="1">
        <v>9</v>
      </c>
      <c r="G341" s="1">
        <v>1</v>
      </c>
    </row>
    <row r="342" spans="1:7" x14ac:dyDescent="0.2">
      <c r="A342" s="1" t="s">
        <v>351</v>
      </c>
      <c r="B342" s="1" t="str">
        <f>VLOOKUP(student_skills[[#This Row],[Student_ID]],student_data[],2,0)</f>
        <v>Information Technology</v>
      </c>
      <c r="C342" s="1">
        <v>8</v>
      </c>
      <c r="D342" s="1">
        <v>10</v>
      </c>
      <c r="E342" s="1">
        <v>1</v>
      </c>
      <c r="F342" s="1">
        <v>5</v>
      </c>
      <c r="G342" s="1">
        <v>10</v>
      </c>
    </row>
    <row r="343" spans="1:7" x14ac:dyDescent="0.2">
      <c r="A343" s="1" t="s">
        <v>352</v>
      </c>
      <c r="B343" s="1" t="str">
        <f>VLOOKUP(student_skills[[#This Row],[Student_ID]],student_data[],2,0)</f>
        <v>Civil</v>
      </c>
      <c r="C343" s="1">
        <v>10</v>
      </c>
      <c r="D343" s="1">
        <v>2</v>
      </c>
      <c r="E343" s="1">
        <v>8</v>
      </c>
      <c r="F343" s="1">
        <v>4</v>
      </c>
      <c r="G343" s="1">
        <v>4</v>
      </c>
    </row>
    <row r="344" spans="1:7" x14ac:dyDescent="0.2">
      <c r="A344" s="1" t="s">
        <v>353</v>
      </c>
      <c r="B344" s="1" t="str">
        <f>VLOOKUP(student_skills[[#This Row],[Student_ID]],student_data[],2,0)</f>
        <v>Computer Science</v>
      </c>
      <c r="C344" s="1">
        <v>7</v>
      </c>
      <c r="D344" s="1">
        <v>7</v>
      </c>
      <c r="E344" s="1">
        <v>5</v>
      </c>
      <c r="F344" s="1">
        <v>3</v>
      </c>
      <c r="G344" s="1">
        <v>6</v>
      </c>
    </row>
    <row r="345" spans="1:7" x14ac:dyDescent="0.2">
      <c r="A345" s="1" t="s">
        <v>354</v>
      </c>
      <c r="B345" s="1" t="str">
        <f>VLOOKUP(student_skills[[#This Row],[Student_ID]],student_data[],2,0)</f>
        <v>Civil</v>
      </c>
      <c r="C345" s="1">
        <v>9</v>
      </c>
      <c r="D345" s="1">
        <v>3</v>
      </c>
      <c r="E345" s="1">
        <v>3</v>
      </c>
      <c r="F345" s="1">
        <v>3</v>
      </c>
      <c r="G345" s="1">
        <v>9</v>
      </c>
    </row>
    <row r="346" spans="1:7" x14ac:dyDescent="0.2">
      <c r="A346" s="1" t="s">
        <v>355</v>
      </c>
      <c r="B346" s="1" t="str">
        <f>VLOOKUP(student_skills[[#This Row],[Student_ID]],student_data[],2,0)</f>
        <v>Mechanical</v>
      </c>
      <c r="C346" s="1">
        <v>4</v>
      </c>
      <c r="D346" s="1">
        <v>10</v>
      </c>
      <c r="E346" s="1">
        <v>10</v>
      </c>
      <c r="F346" s="1">
        <v>5</v>
      </c>
      <c r="G346" s="1">
        <v>2</v>
      </c>
    </row>
    <row r="347" spans="1:7" x14ac:dyDescent="0.2">
      <c r="A347" s="1" t="s">
        <v>356</v>
      </c>
      <c r="B347" s="1" t="str">
        <f>VLOOKUP(student_skills[[#This Row],[Student_ID]],student_data[],2,0)</f>
        <v>Civil</v>
      </c>
      <c r="C347" s="1">
        <v>4</v>
      </c>
      <c r="D347" s="1">
        <v>2</v>
      </c>
      <c r="E347" s="1">
        <v>7</v>
      </c>
      <c r="F347" s="1">
        <v>10</v>
      </c>
      <c r="G347" s="1">
        <v>7</v>
      </c>
    </row>
    <row r="348" spans="1:7" x14ac:dyDescent="0.2">
      <c r="A348" s="1" t="s">
        <v>357</v>
      </c>
      <c r="B348" s="1" t="str">
        <f>VLOOKUP(student_skills[[#This Row],[Student_ID]],student_data[],2,0)</f>
        <v>Electronics</v>
      </c>
      <c r="C348" s="1">
        <v>1</v>
      </c>
      <c r="D348" s="1">
        <v>7</v>
      </c>
      <c r="E348" s="1">
        <v>7</v>
      </c>
      <c r="F348" s="1">
        <v>1</v>
      </c>
      <c r="G348" s="1">
        <v>6</v>
      </c>
    </row>
    <row r="349" spans="1:7" x14ac:dyDescent="0.2">
      <c r="A349" s="1" t="s">
        <v>358</v>
      </c>
      <c r="B349" s="1" t="str">
        <f>VLOOKUP(student_skills[[#This Row],[Student_ID]],student_data[],2,0)</f>
        <v>Electronics</v>
      </c>
      <c r="C349" s="1">
        <v>8</v>
      </c>
      <c r="D349" s="1">
        <v>2</v>
      </c>
      <c r="E349" s="1">
        <v>1</v>
      </c>
      <c r="F349" s="1">
        <v>5</v>
      </c>
      <c r="G349" s="1">
        <v>2</v>
      </c>
    </row>
    <row r="350" spans="1:7" x14ac:dyDescent="0.2">
      <c r="A350" s="1" t="s">
        <v>359</v>
      </c>
      <c r="B350" s="1" t="str">
        <f>VLOOKUP(student_skills[[#This Row],[Student_ID]],student_data[],2,0)</f>
        <v>Mechanical</v>
      </c>
      <c r="C350" s="1">
        <v>3</v>
      </c>
      <c r="D350" s="1">
        <v>3</v>
      </c>
      <c r="E350" s="1">
        <v>9</v>
      </c>
      <c r="F350" s="1">
        <v>6</v>
      </c>
      <c r="G350" s="1">
        <v>8</v>
      </c>
    </row>
    <row r="351" spans="1:7" x14ac:dyDescent="0.2">
      <c r="A351" s="1" t="s">
        <v>360</v>
      </c>
      <c r="B351" s="1" t="str">
        <f>VLOOKUP(student_skills[[#This Row],[Student_ID]],student_data[],2,0)</f>
        <v>Computer Science</v>
      </c>
      <c r="C351" s="1">
        <v>7</v>
      </c>
      <c r="D351" s="1">
        <v>7</v>
      </c>
      <c r="E351" s="1">
        <v>2</v>
      </c>
      <c r="F351" s="1">
        <v>7</v>
      </c>
      <c r="G351" s="1">
        <v>7</v>
      </c>
    </row>
    <row r="352" spans="1:7" x14ac:dyDescent="0.2">
      <c r="A352" s="1" t="s">
        <v>361</v>
      </c>
      <c r="B352" s="1" t="str">
        <f>VLOOKUP(student_skills[[#This Row],[Student_ID]],student_data[],2,0)</f>
        <v>Electronics</v>
      </c>
      <c r="C352" s="1">
        <v>2</v>
      </c>
      <c r="D352" s="1">
        <v>4</v>
      </c>
      <c r="E352" s="1">
        <v>5</v>
      </c>
      <c r="F352" s="1">
        <v>9</v>
      </c>
      <c r="G352" s="1">
        <v>5</v>
      </c>
    </row>
    <row r="353" spans="1:7" x14ac:dyDescent="0.2">
      <c r="A353" s="1" t="s">
        <v>362</v>
      </c>
      <c r="B353" s="1" t="str">
        <f>VLOOKUP(student_skills[[#This Row],[Student_ID]],student_data[],2,0)</f>
        <v>Information Technology</v>
      </c>
      <c r="C353" s="1">
        <v>2</v>
      </c>
      <c r="D353" s="1">
        <v>1</v>
      </c>
      <c r="E353" s="1">
        <v>5</v>
      </c>
      <c r="F353" s="1">
        <v>3</v>
      </c>
      <c r="G353" s="1">
        <v>5</v>
      </c>
    </row>
    <row r="354" spans="1:7" x14ac:dyDescent="0.2">
      <c r="A354" s="1" t="s">
        <v>363</v>
      </c>
      <c r="B354" s="1" t="str">
        <f>VLOOKUP(student_skills[[#This Row],[Student_ID]],student_data[],2,0)</f>
        <v>Electronics</v>
      </c>
      <c r="C354" s="1">
        <v>7</v>
      </c>
      <c r="D354" s="1">
        <v>5</v>
      </c>
      <c r="E354" s="1">
        <v>8</v>
      </c>
      <c r="F354" s="1">
        <v>2</v>
      </c>
      <c r="G354" s="1">
        <v>7</v>
      </c>
    </row>
    <row r="355" spans="1:7" x14ac:dyDescent="0.2">
      <c r="A355" s="1" t="s">
        <v>364</v>
      </c>
      <c r="B355" s="1" t="str">
        <f>VLOOKUP(student_skills[[#This Row],[Student_ID]],student_data[],2,0)</f>
        <v>Electronics</v>
      </c>
      <c r="C355" s="1">
        <v>6</v>
      </c>
      <c r="D355" s="1">
        <v>9</v>
      </c>
      <c r="E355" s="1">
        <v>8</v>
      </c>
      <c r="F355" s="1">
        <v>3</v>
      </c>
      <c r="G355" s="1">
        <v>9</v>
      </c>
    </row>
    <row r="356" spans="1:7" x14ac:dyDescent="0.2">
      <c r="A356" s="1" t="s">
        <v>365</v>
      </c>
      <c r="B356" s="1" t="str">
        <f>VLOOKUP(student_skills[[#This Row],[Student_ID]],student_data[],2,0)</f>
        <v>Computer Science</v>
      </c>
      <c r="C356" s="1">
        <v>3</v>
      </c>
      <c r="D356" s="1">
        <v>8</v>
      </c>
      <c r="E356" s="1">
        <v>7</v>
      </c>
      <c r="F356" s="1">
        <v>9</v>
      </c>
      <c r="G356" s="1">
        <v>9</v>
      </c>
    </row>
    <row r="357" spans="1:7" x14ac:dyDescent="0.2">
      <c r="A357" s="1" t="s">
        <v>366</v>
      </c>
      <c r="B357" s="1" t="str">
        <f>VLOOKUP(student_skills[[#This Row],[Student_ID]],student_data[],2,0)</f>
        <v>Civil</v>
      </c>
      <c r="C357" s="1">
        <v>9</v>
      </c>
      <c r="D357" s="1">
        <v>9</v>
      </c>
      <c r="E357" s="1">
        <v>7</v>
      </c>
      <c r="F357" s="1">
        <v>7</v>
      </c>
      <c r="G357" s="1">
        <v>9</v>
      </c>
    </row>
    <row r="358" spans="1:7" x14ac:dyDescent="0.2">
      <c r="A358" s="1" t="s">
        <v>367</v>
      </c>
      <c r="B358" s="1" t="str">
        <f>VLOOKUP(student_skills[[#This Row],[Student_ID]],student_data[],2,0)</f>
        <v>Electronics</v>
      </c>
      <c r="C358" s="1">
        <v>10</v>
      </c>
      <c r="D358" s="1">
        <v>10</v>
      </c>
      <c r="E358" s="1">
        <v>6</v>
      </c>
      <c r="F358" s="1">
        <v>9</v>
      </c>
      <c r="G358" s="1">
        <v>6</v>
      </c>
    </row>
    <row r="359" spans="1:7" x14ac:dyDescent="0.2">
      <c r="A359" s="1" t="s">
        <v>368</v>
      </c>
      <c r="B359" s="1" t="str">
        <f>VLOOKUP(student_skills[[#This Row],[Student_ID]],student_data[],2,0)</f>
        <v>Mechanical</v>
      </c>
      <c r="C359" s="1">
        <v>6</v>
      </c>
      <c r="D359" s="1">
        <v>9</v>
      </c>
      <c r="E359" s="1">
        <v>6</v>
      </c>
      <c r="F359" s="1">
        <v>2</v>
      </c>
      <c r="G359" s="1">
        <v>10</v>
      </c>
    </row>
    <row r="360" spans="1:7" x14ac:dyDescent="0.2">
      <c r="A360" s="1" t="s">
        <v>369</v>
      </c>
      <c r="B360" s="1" t="str">
        <f>VLOOKUP(student_skills[[#This Row],[Student_ID]],student_data[],2,0)</f>
        <v>Civil</v>
      </c>
      <c r="C360" s="1">
        <v>10</v>
      </c>
      <c r="D360" s="1">
        <v>7</v>
      </c>
      <c r="E360" s="1">
        <v>9</v>
      </c>
      <c r="F360" s="1">
        <v>5</v>
      </c>
      <c r="G360" s="1">
        <v>6</v>
      </c>
    </row>
    <row r="361" spans="1:7" x14ac:dyDescent="0.2">
      <c r="A361" s="1" t="s">
        <v>370</v>
      </c>
      <c r="B361" s="1" t="str">
        <f>VLOOKUP(student_skills[[#This Row],[Student_ID]],student_data[],2,0)</f>
        <v>Information Technology</v>
      </c>
      <c r="C361" s="1">
        <v>10</v>
      </c>
      <c r="D361" s="1">
        <v>4</v>
      </c>
      <c r="E361" s="1">
        <v>6</v>
      </c>
      <c r="F361" s="1">
        <v>4</v>
      </c>
      <c r="G361" s="1">
        <v>3</v>
      </c>
    </row>
    <row r="362" spans="1:7" x14ac:dyDescent="0.2">
      <c r="A362" s="1" t="s">
        <v>371</v>
      </c>
      <c r="B362" s="1" t="str">
        <f>VLOOKUP(student_skills[[#This Row],[Student_ID]],student_data[],2,0)</f>
        <v>Computer Science</v>
      </c>
      <c r="C362" s="1">
        <v>6</v>
      </c>
      <c r="D362" s="1">
        <v>5</v>
      </c>
      <c r="E362" s="1">
        <v>2</v>
      </c>
      <c r="F362" s="1">
        <v>2</v>
      </c>
      <c r="G362" s="1">
        <v>1</v>
      </c>
    </row>
    <row r="363" spans="1:7" x14ac:dyDescent="0.2">
      <c r="A363" s="1" t="s">
        <v>372</v>
      </c>
      <c r="B363" s="1" t="str">
        <f>VLOOKUP(student_skills[[#This Row],[Student_ID]],student_data[],2,0)</f>
        <v>Information Technology</v>
      </c>
      <c r="C363" s="1">
        <v>1</v>
      </c>
      <c r="D363" s="1">
        <v>1</v>
      </c>
      <c r="E363" s="1">
        <v>2</v>
      </c>
      <c r="F363" s="1">
        <v>9</v>
      </c>
      <c r="G363" s="1">
        <v>7</v>
      </c>
    </row>
    <row r="364" spans="1:7" x14ac:dyDescent="0.2">
      <c r="A364" s="1" t="s">
        <v>373</v>
      </c>
      <c r="B364" s="1" t="str">
        <f>VLOOKUP(student_skills[[#This Row],[Student_ID]],student_data[],2,0)</f>
        <v>Civil</v>
      </c>
      <c r="C364" s="1">
        <v>4</v>
      </c>
      <c r="D364" s="1">
        <v>1</v>
      </c>
      <c r="E364" s="1">
        <v>5</v>
      </c>
      <c r="F364" s="1">
        <v>9</v>
      </c>
      <c r="G364" s="1">
        <v>4</v>
      </c>
    </row>
    <row r="365" spans="1:7" x14ac:dyDescent="0.2">
      <c r="A365" s="1" t="s">
        <v>374</v>
      </c>
      <c r="B365" s="1" t="str">
        <f>VLOOKUP(student_skills[[#This Row],[Student_ID]],student_data[],2,0)</f>
        <v>Civil</v>
      </c>
      <c r="C365" s="1">
        <v>10</v>
      </c>
      <c r="D365" s="1">
        <v>3</v>
      </c>
      <c r="E365" s="1">
        <v>4</v>
      </c>
      <c r="F365" s="1">
        <v>6</v>
      </c>
      <c r="G365" s="1">
        <v>1</v>
      </c>
    </row>
    <row r="366" spans="1:7" x14ac:dyDescent="0.2">
      <c r="A366" s="1" t="s">
        <v>375</v>
      </c>
      <c r="B366" s="1" t="str">
        <f>VLOOKUP(student_skills[[#This Row],[Student_ID]],student_data[],2,0)</f>
        <v>Civil</v>
      </c>
      <c r="C366" s="1">
        <v>6</v>
      </c>
      <c r="D366" s="1">
        <v>8</v>
      </c>
      <c r="E366" s="1">
        <v>2</v>
      </c>
      <c r="F366" s="1">
        <v>6</v>
      </c>
      <c r="G366" s="1">
        <v>8</v>
      </c>
    </row>
    <row r="367" spans="1:7" x14ac:dyDescent="0.2">
      <c r="A367" s="1" t="s">
        <v>376</v>
      </c>
      <c r="B367" s="1" t="str">
        <f>VLOOKUP(student_skills[[#This Row],[Student_ID]],student_data[],2,0)</f>
        <v>Information Technology</v>
      </c>
      <c r="C367" s="1">
        <v>6</v>
      </c>
      <c r="D367" s="1">
        <v>2</v>
      </c>
      <c r="E367" s="1">
        <v>3</v>
      </c>
      <c r="F367" s="1">
        <v>8</v>
      </c>
      <c r="G367" s="1">
        <v>6</v>
      </c>
    </row>
    <row r="368" spans="1:7" x14ac:dyDescent="0.2">
      <c r="A368" s="1" t="s">
        <v>377</v>
      </c>
      <c r="B368" s="1" t="str">
        <f>VLOOKUP(student_skills[[#This Row],[Student_ID]],student_data[],2,0)</f>
        <v>Civil</v>
      </c>
      <c r="C368" s="1">
        <v>5</v>
      </c>
      <c r="D368" s="1">
        <v>4</v>
      </c>
      <c r="E368" s="1">
        <v>7</v>
      </c>
      <c r="F368" s="1">
        <v>6</v>
      </c>
      <c r="G368" s="1">
        <v>6</v>
      </c>
    </row>
    <row r="369" spans="1:7" x14ac:dyDescent="0.2">
      <c r="A369" s="1" t="s">
        <v>378</v>
      </c>
      <c r="B369" s="1" t="str">
        <f>VLOOKUP(student_skills[[#This Row],[Student_ID]],student_data[],2,0)</f>
        <v>Information Technology</v>
      </c>
      <c r="C369" s="1">
        <v>1</v>
      </c>
      <c r="D369" s="1">
        <v>2</v>
      </c>
      <c r="E369" s="1">
        <v>8</v>
      </c>
      <c r="F369" s="1">
        <v>1</v>
      </c>
      <c r="G369" s="1">
        <v>2</v>
      </c>
    </row>
    <row r="370" spans="1:7" x14ac:dyDescent="0.2">
      <c r="A370" s="1" t="s">
        <v>379</v>
      </c>
      <c r="B370" s="1" t="str">
        <f>VLOOKUP(student_skills[[#This Row],[Student_ID]],student_data[],2,0)</f>
        <v>Civil</v>
      </c>
      <c r="C370" s="1">
        <v>8</v>
      </c>
      <c r="D370" s="1">
        <v>5</v>
      </c>
      <c r="E370" s="1">
        <v>6</v>
      </c>
      <c r="F370" s="1">
        <v>4</v>
      </c>
      <c r="G370" s="1">
        <v>1</v>
      </c>
    </row>
    <row r="371" spans="1:7" x14ac:dyDescent="0.2">
      <c r="A371" s="1" t="s">
        <v>380</v>
      </c>
      <c r="B371" s="1" t="str">
        <f>VLOOKUP(student_skills[[#This Row],[Student_ID]],student_data[],2,0)</f>
        <v>Mechanical</v>
      </c>
      <c r="C371" s="1">
        <v>5</v>
      </c>
      <c r="D371" s="1">
        <v>9</v>
      </c>
      <c r="E371" s="1">
        <v>5</v>
      </c>
      <c r="F371" s="1">
        <v>7</v>
      </c>
      <c r="G371" s="1">
        <v>2</v>
      </c>
    </row>
    <row r="372" spans="1:7" x14ac:dyDescent="0.2">
      <c r="A372" s="1" t="s">
        <v>381</v>
      </c>
      <c r="B372" s="1" t="str">
        <f>VLOOKUP(student_skills[[#This Row],[Student_ID]],student_data[],2,0)</f>
        <v>Civil</v>
      </c>
      <c r="C372" s="1">
        <v>5</v>
      </c>
      <c r="D372" s="1">
        <v>1</v>
      </c>
      <c r="E372" s="1">
        <v>1</v>
      </c>
      <c r="F372" s="1">
        <v>2</v>
      </c>
      <c r="G372" s="1">
        <v>4</v>
      </c>
    </row>
    <row r="373" spans="1:7" x14ac:dyDescent="0.2">
      <c r="A373" s="1" t="s">
        <v>382</v>
      </c>
      <c r="B373" s="1" t="str">
        <f>VLOOKUP(student_skills[[#This Row],[Student_ID]],student_data[],2,0)</f>
        <v>Information Technology</v>
      </c>
      <c r="C373" s="1">
        <v>7</v>
      </c>
      <c r="D373" s="1">
        <v>5</v>
      </c>
      <c r="E373" s="1">
        <v>8</v>
      </c>
      <c r="F373" s="1">
        <v>9</v>
      </c>
      <c r="G373" s="1">
        <v>2</v>
      </c>
    </row>
    <row r="374" spans="1:7" x14ac:dyDescent="0.2">
      <c r="A374" s="1" t="s">
        <v>383</v>
      </c>
      <c r="B374" s="1" t="str">
        <f>VLOOKUP(student_skills[[#This Row],[Student_ID]],student_data[],2,0)</f>
        <v>Electronics</v>
      </c>
      <c r="C374" s="1">
        <v>4</v>
      </c>
      <c r="D374" s="1">
        <v>9</v>
      </c>
      <c r="E374" s="1">
        <v>3</v>
      </c>
      <c r="F374" s="1">
        <v>8</v>
      </c>
      <c r="G374" s="1">
        <v>1</v>
      </c>
    </row>
    <row r="375" spans="1:7" x14ac:dyDescent="0.2">
      <c r="A375" s="1" t="s">
        <v>384</v>
      </c>
      <c r="B375" s="1" t="str">
        <f>VLOOKUP(student_skills[[#This Row],[Student_ID]],student_data[],2,0)</f>
        <v>Civil</v>
      </c>
      <c r="C375" s="1">
        <v>6</v>
      </c>
      <c r="D375" s="1">
        <v>1</v>
      </c>
      <c r="E375" s="1">
        <v>6</v>
      </c>
      <c r="F375" s="1">
        <v>8</v>
      </c>
      <c r="G375" s="1">
        <v>7</v>
      </c>
    </row>
    <row r="376" spans="1:7" x14ac:dyDescent="0.2">
      <c r="A376" s="1" t="s">
        <v>385</v>
      </c>
      <c r="B376" s="1" t="str">
        <f>VLOOKUP(student_skills[[#This Row],[Student_ID]],student_data[],2,0)</f>
        <v>Electronics</v>
      </c>
      <c r="C376" s="1">
        <v>4</v>
      </c>
      <c r="D376" s="1">
        <v>9</v>
      </c>
      <c r="E376" s="1">
        <v>3</v>
      </c>
      <c r="F376" s="1">
        <v>7</v>
      </c>
      <c r="G376" s="1">
        <v>8</v>
      </c>
    </row>
    <row r="377" spans="1:7" x14ac:dyDescent="0.2">
      <c r="A377" s="1" t="s">
        <v>386</v>
      </c>
      <c r="B377" s="1" t="str">
        <f>VLOOKUP(student_skills[[#This Row],[Student_ID]],student_data[],2,0)</f>
        <v>Mechanical</v>
      </c>
      <c r="C377" s="1">
        <v>3</v>
      </c>
      <c r="D377" s="1">
        <v>8</v>
      </c>
      <c r="E377" s="1">
        <v>7</v>
      </c>
      <c r="F377" s="1">
        <v>4</v>
      </c>
      <c r="G377" s="1">
        <v>6</v>
      </c>
    </row>
    <row r="378" spans="1:7" x14ac:dyDescent="0.2">
      <c r="A378" s="1" t="s">
        <v>387</v>
      </c>
      <c r="B378" s="1" t="str">
        <f>VLOOKUP(student_skills[[#This Row],[Student_ID]],student_data[],2,0)</f>
        <v>Computer Science</v>
      </c>
      <c r="C378" s="1">
        <v>7</v>
      </c>
      <c r="D378" s="1">
        <v>4</v>
      </c>
      <c r="E378" s="1">
        <v>7</v>
      </c>
      <c r="F378" s="1">
        <v>2</v>
      </c>
      <c r="G378" s="1">
        <v>4</v>
      </c>
    </row>
    <row r="379" spans="1:7" x14ac:dyDescent="0.2">
      <c r="A379" s="1" t="s">
        <v>388</v>
      </c>
      <c r="B379" s="1" t="str">
        <f>VLOOKUP(student_skills[[#This Row],[Student_ID]],student_data[],2,0)</f>
        <v>Mechanical</v>
      </c>
      <c r="C379" s="1">
        <v>8</v>
      </c>
      <c r="D379" s="1">
        <v>10</v>
      </c>
      <c r="E379" s="1">
        <v>9</v>
      </c>
      <c r="F379" s="1">
        <v>3</v>
      </c>
      <c r="G379" s="1">
        <v>6</v>
      </c>
    </row>
    <row r="380" spans="1:7" x14ac:dyDescent="0.2">
      <c r="A380" s="1" t="s">
        <v>389</v>
      </c>
      <c r="B380" s="1" t="str">
        <f>VLOOKUP(student_skills[[#This Row],[Student_ID]],student_data[],2,0)</f>
        <v>Civil</v>
      </c>
      <c r="C380" s="1">
        <v>4</v>
      </c>
      <c r="D380" s="1">
        <v>5</v>
      </c>
      <c r="E380" s="1">
        <v>5</v>
      </c>
      <c r="F380" s="1">
        <v>6</v>
      </c>
      <c r="G380" s="1">
        <v>3</v>
      </c>
    </row>
    <row r="381" spans="1:7" x14ac:dyDescent="0.2">
      <c r="A381" s="1" t="s">
        <v>390</v>
      </c>
      <c r="B381" s="1" t="str">
        <f>VLOOKUP(student_skills[[#This Row],[Student_ID]],student_data[],2,0)</f>
        <v>Electronics</v>
      </c>
      <c r="C381" s="1">
        <v>2</v>
      </c>
      <c r="D381" s="1">
        <v>5</v>
      </c>
      <c r="E381" s="1">
        <v>8</v>
      </c>
      <c r="F381" s="1">
        <v>5</v>
      </c>
      <c r="G381" s="1">
        <v>8</v>
      </c>
    </row>
    <row r="382" spans="1:7" x14ac:dyDescent="0.2">
      <c r="A382" s="1" t="s">
        <v>391</v>
      </c>
      <c r="B382" s="1" t="str">
        <f>VLOOKUP(student_skills[[#This Row],[Student_ID]],student_data[],2,0)</f>
        <v>Electronics</v>
      </c>
      <c r="C382" s="1">
        <v>10</v>
      </c>
      <c r="D382" s="1">
        <v>6</v>
      </c>
      <c r="E382" s="1">
        <v>10</v>
      </c>
      <c r="F382" s="1">
        <v>8</v>
      </c>
      <c r="G382" s="1">
        <v>10</v>
      </c>
    </row>
    <row r="383" spans="1:7" x14ac:dyDescent="0.2">
      <c r="A383" s="1" t="s">
        <v>392</v>
      </c>
      <c r="B383" s="1" t="str">
        <f>VLOOKUP(student_skills[[#This Row],[Student_ID]],student_data[],2,0)</f>
        <v>Information Technology</v>
      </c>
      <c r="C383" s="1">
        <v>3</v>
      </c>
      <c r="D383" s="1">
        <v>7</v>
      </c>
      <c r="E383" s="1">
        <v>10</v>
      </c>
      <c r="F383" s="1">
        <v>6</v>
      </c>
      <c r="G383" s="1">
        <v>2</v>
      </c>
    </row>
    <row r="384" spans="1:7" x14ac:dyDescent="0.2">
      <c r="A384" s="1" t="s">
        <v>393</v>
      </c>
      <c r="B384" s="1" t="str">
        <f>VLOOKUP(student_skills[[#This Row],[Student_ID]],student_data[],2,0)</f>
        <v>Electronics</v>
      </c>
      <c r="C384" s="1">
        <v>1</v>
      </c>
      <c r="D384" s="1">
        <v>8</v>
      </c>
      <c r="E384" s="1">
        <v>8</v>
      </c>
      <c r="F384" s="1">
        <v>6</v>
      </c>
      <c r="G384" s="1">
        <v>5</v>
      </c>
    </row>
    <row r="385" spans="1:7" x14ac:dyDescent="0.2">
      <c r="A385" s="1" t="s">
        <v>394</v>
      </c>
      <c r="B385" s="1" t="str">
        <f>VLOOKUP(student_skills[[#This Row],[Student_ID]],student_data[],2,0)</f>
        <v>Information Technology</v>
      </c>
      <c r="C385" s="1">
        <v>8</v>
      </c>
      <c r="D385" s="1">
        <v>8</v>
      </c>
      <c r="E385" s="1">
        <v>1</v>
      </c>
      <c r="F385" s="1">
        <v>1</v>
      </c>
      <c r="G385" s="1">
        <v>1</v>
      </c>
    </row>
    <row r="386" spans="1:7" x14ac:dyDescent="0.2">
      <c r="A386" s="1" t="s">
        <v>395</v>
      </c>
      <c r="B386" s="1" t="str">
        <f>VLOOKUP(student_skills[[#This Row],[Student_ID]],student_data[],2,0)</f>
        <v>Computer Science</v>
      </c>
      <c r="C386" s="1">
        <v>3</v>
      </c>
      <c r="D386" s="1">
        <v>2</v>
      </c>
      <c r="E386" s="1">
        <v>5</v>
      </c>
      <c r="F386" s="1">
        <v>4</v>
      </c>
      <c r="G386" s="1">
        <v>6</v>
      </c>
    </row>
    <row r="387" spans="1:7" x14ac:dyDescent="0.2">
      <c r="A387" s="1" t="s">
        <v>396</v>
      </c>
      <c r="B387" s="1" t="str">
        <f>VLOOKUP(student_skills[[#This Row],[Student_ID]],student_data[],2,0)</f>
        <v>Civil</v>
      </c>
      <c r="C387" s="1">
        <v>10</v>
      </c>
      <c r="D387" s="1">
        <v>9</v>
      </c>
      <c r="E387" s="1">
        <v>3</v>
      </c>
      <c r="F387" s="1">
        <v>5</v>
      </c>
      <c r="G387" s="1">
        <v>2</v>
      </c>
    </row>
    <row r="388" spans="1:7" x14ac:dyDescent="0.2">
      <c r="A388" s="1" t="s">
        <v>397</v>
      </c>
      <c r="B388" s="1" t="str">
        <f>VLOOKUP(student_skills[[#This Row],[Student_ID]],student_data[],2,0)</f>
        <v>Information Technology</v>
      </c>
      <c r="C388" s="1">
        <v>7</v>
      </c>
      <c r="D388" s="1">
        <v>7</v>
      </c>
      <c r="E388" s="1">
        <v>1</v>
      </c>
      <c r="F388" s="1">
        <v>3</v>
      </c>
      <c r="G388" s="1">
        <v>4</v>
      </c>
    </row>
    <row r="389" spans="1:7" x14ac:dyDescent="0.2">
      <c r="A389" s="1" t="s">
        <v>398</v>
      </c>
      <c r="B389" s="1" t="str">
        <f>VLOOKUP(student_skills[[#This Row],[Student_ID]],student_data[],2,0)</f>
        <v>Computer Science</v>
      </c>
      <c r="C389" s="1">
        <v>10</v>
      </c>
      <c r="D389" s="1">
        <v>4</v>
      </c>
      <c r="E389" s="1">
        <v>4</v>
      </c>
      <c r="F389" s="1">
        <v>9</v>
      </c>
      <c r="G389" s="1">
        <v>6</v>
      </c>
    </row>
    <row r="390" spans="1:7" x14ac:dyDescent="0.2">
      <c r="A390" s="1" t="s">
        <v>399</v>
      </c>
      <c r="B390" s="1" t="str">
        <f>VLOOKUP(student_skills[[#This Row],[Student_ID]],student_data[],2,0)</f>
        <v>Electronics</v>
      </c>
      <c r="C390" s="1">
        <v>5</v>
      </c>
      <c r="D390" s="1">
        <v>4</v>
      </c>
      <c r="E390" s="1">
        <v>8</v>
      </c>
      <c r="F390" s="1">
        <v>1</v>
      </c>
      <c r="G390" s="1">
        <v>10</v>
      </c>
    </row>
    <row r="391" spans="1:7" x14ac:dyDescent="0.2">
      <c r="A391" s="1" t="s">
        <v>400</v>
      </c>
      <c r="B391" s="1" t="str">
        <f>VLOOKUP(student_skills[[#This Row],[Student_ID]],student_data[],2,0)</f>
        <v>Electronics</v>
      </c>
      <c r="C391" s="1">
        <v>10</v>
      </c>
      <c r="D391" s="1">
        <v>8</v>
      </c>
      <c r="E391" s="1">
        <v>3</v>
      </c>
      <c r="F391" s="1">
        <v>6</v>
      </c>
      <c r="G391" s="1">
        <v>8</v>
      </c>
    </row>
    <row r="392" spans="1:7" x14ac:dyDescent="0.2">
      <c r="A392" s="1" t="s">
        <v>401</v>
      </c>
      <c r="B392" s="1" t="str">
        <f>VLOOKUP(student_skills[[#This Row],[Student_ID]],student_data[],2,0)</f>
        <v>Computer Science</v>
      </c>
      <c r="C392" s="1">
        <v>5</v>
      </c>
      <c r="D392" s="1">
        <v>4</v>
      </c>
      <c r="E392" s="1">
        <v>10</v>
      </c>
      <c r="F392" s="1">
        <v>6</v>
      </c>
      <c r="G392" s="1">
        <v>8</v>
      </c>
    </row>
    <row r="393" spans="1:7" x14ac:dyDescent="0.2">
      <c r="A393" s="1" t="s">
        <v>402</v>
      </c>
      <c r="B393" s="1" t="str">
        <f>VLOOKUP(student_skills[[#This Row],[Student_ID]],student_data[],2,0)</f>
        <v>Electronics</v>
      </c>
      <c r="C393" s="1">
        <v>7</v>
      </c>
      <c r="D393" s="1">
        <v>6</v>
      </c>
      <c r="E393" s="1">
        <v>2</v>
      </c>
      <c r="F393" s="1">
        <v>10</v>
      </c>
      <c r="G393" s="1">
        <v>6</v>
      </c>
    </row>
    <row r="394" spans="1:7" x14ac:dyDescent="0.2">
      <c r="A394" s="1" t="s">
        <v>403</v>
      </c>
      <c r="B394" s="1" t="str">
        <f>VLOOKUP(student_skills[[#This Row],[Student_ID]],student_data[],2,0)</f>
        <v>Computer Science</v>
      </c>
      <c r="C394" s="1">
        <v>9</v>
      </c>
      <c r="D394" s="1">
        <v>5</v>
      </c>
      <c r="E394" s="1">
        <v>9</v>
      </c>
      <c r="F394" s="1">
        <v>5</v>
      </c>
      <c r="G394" s="1">
        <v>4</v>
      </c>
    </row>
    <row r="395" spans="1:7" x14ac:dyDescent="0.2">
      <c r="A395" s="1" t="s">
        <v>404</v>
      </c>
      <c r="B395" s="1" t="str">
        <f>VLOOKUP(student_skills[[#This Row],[Student_ID]],student_data[],2,0)</f>
        <v>Information Technology</v>
      </c>
      <c r="C395" s="1">
        <v>5</v>
      </c>
      <c r="D395" s="1">
        <v>3</v>
      </c>
      <c r="E395" s="1">
        <v>10</v>
      </c>
      <c r="F395" s="1">
        <v>5</v>
      </c>
      <c r="G395" s="1">
        <v>8</v>
      </c>
    </row>
    <row r="396" spans="1:7" x14ac:dyDescent="0.2">
      <c r="A396" s="1" t="s">
        <v>405</v>
      </c>
      <c r="B396" s="1" t="str">
        <f>VLOOKUP(student_skills[[#This Row],[Student_ID]],student_data[],2,0)</f>
        <v>Information Technology</v>
      </c>
      <c r="C396" s="1">
        <v>1</v>
      </c>
      <c r="D396" s="1">
        <v>10</v>
      </c>
      <c r="E396" s="1">
        <v>5</v>
      </c>
      <c r="F396" s="1">
        <v>10</v>
      </c>
      <c r="G396" s="1">
        <v>8</v>
      </c>
    </row>
    <row r="397" spans="1:7" x14ac:dyDescent="0.2">
      <c r="A397" s="1" t="s">
        <v>406</v>
      </c>
      <c r="B397" s="1" t="str">
        <f>VLOOKUP(student_skills[[#This Row],[Student_ID]],student_data[],2,0)</f>
        <v>Computer Science</v>
      </c>
      <c r="C397" s="1">
        <v>10</v>
      </c>
      <c r="D397" s="1">
        <v>2</v>
      </c>
      <c r="E397" s="1">
        <v>7</v>
      </c>
      <c r="F397" s="1">
        <v>5</v>
      </c>
      <c r="G397" s="1">
        <v>10</v>
      </c>
    </row>
    <row r="398" spans="1:7" x14ac:dyDescent="0.2">
      <c r="A398" s="1" t="s">
        <v>407</v>
      </c>
      <c r="B398" s="1" t="str">
        <f>VLOOKUP(student_skills[[#This Row],[Student_ID]],student_data[],2,0)</f>
        <v>Information Technology</v>
      </c>
      <c r="C398" s="1">
        <v>10</v>
      </c>
      <c r="D398" s="1">
        <v>9</v>
      </c>
      <c r="E398" s="1">
        <v>2</v>
      </c>
      <c r="F398" s="1">
        <v>6</v>
      </c>
      <c r="G398" s="1">
        <v>1</v>
      </c>
    </row>
    <row r="399" spans="1:7" x14ac:dyDescent="0.2">
      <c r="A399" s="1" t="s">
        <v>408</v>
      </c>
      <c r="B399" s="1" t="str">
        <f>VLOOKUP(student_skills[[#This Row],[Student_ID]],student_data[],2,0)</f>
        <v>Information Technology</v>
      </c>
      <c r="C399" s="1">
        <v>1</v>
      </c>
      <c r="D399" s="1">
        <v>10</v>
      </c>
      <c r="E399" s="1">
        <v>9</v>
      </c>
      <c r="F399" s="1">
        <v>8</v>
      </c>
      <c r="G399" s="1">
        <v>4</v>
      </c>
    </row>
    <row r="400" spans="1:7" x14ac:dyDescent="0.2">
      <c r="A400" s="1" t="s">
        <v>409</v>
      </c>
      <c r="B400" s="1" t="str">
        <f>VLOOKUP(student_skills[[#This Row],[Student_ID]],student_data[],2,0)</f>
        <v>Information Technology</v>
      </c>
      <c r="C400" s="1">
        <v>2</v>
      </c>
      <c r="D400" s="1">
        <v>9</v>
      </c>
      <c r="E400" s="1">
        <v>9</v>
      </c>
      <c r="F400" s="1">
        <v>2</v>
      </c>
      <c r="G400" s="1">
        <v>4</v>
      </c>
    </row>
    <row r="401" spans="1:7" x14ac:dyDescent="0.2">
      <c r="A401" s="1" t="s">
        <v>410</v>
      </c>
      <c r="B401" s="1" t="str">
        <f>VLOOKUP(student_skills[[#This Row],[Student_ID]],student_data[],2,0)</f>
        <v>Mechanical</v>
      </c>
      <c r="C401" s="1">
        <v>6</v>
      </c>
      <c r="D401" s="1">
        <v>1</v>
      </c>
      <c r="E401" s="1">
        <v>4</v>
      </c>
      <c r="F401" s="1">
        <v>6</v>
      </c>
      <c r="G401" s="1">
        <v>7</v>
      </c>
    </row>
    <row r="402" spans="1:7" x14ac:dyDescent="0.2">
      <c r="A402" s="1" t="s">
        <v>411</v>
      </c>
      <c r="B402" s="1" t="str">
        <f>VLOOKUP(student_skills[[#This Row],[Student_ID]],student_data[],2,0)</f>
        <v>Civil</v>
      </c>
      <c r="C402" s="1">
        <v>9</v>
      </c>
      <c r="D402" s="1">
        <v>10</v>
      </c>
      <c r="E402" s="1">
        <v>4</v>
      </c>
      <c r="F402" s="1">
        <v>1</v>
      </c>
      <c r="G402" s="1">
        <v>7</v>
      </c>
    </row>
    <row r="403" spans="1:7" x14ac:dyDescent="0.2">
      <c r="A403" s="1" t="s">
        <v>412</v>
      </c>
      <c r="B403" s="1" t="str">
        <f>VLOOKUP(student_skills[[#This Row],[Student_ID]],student_data[],2,0)</f>
        <v>Electronics</v>
      </c>
      <c r="C403" s="1">
        <v>8</v>
      </c>
      <c r="D403" s="1">
        <v>3</v>
      </c>
      <c r="E403" s="1">
        <v>6</v>
      </c>
      <c r="F403" s="1">
        <v>4</v>
      </c>
      <c r="G403" s="1">
        <v>8</v>
      </c>
    </row>
    <row r="404" spans="1:7" x14ac:dyDescent="0.2">
      <c r="A404" s="1" t="s">
        <v>413</v>
      </c>
      <c r="B404" s="1" t="str">
        <f>VLOOKUP(student_skills[[#This Row],[Student_ID]],student_data[],2,0)</f>
        <v>Mechanical</v>
      </c>
      <c r="C404" s="1">
        <v>5</v>
      </c>
      <c r="D404" s="1">
        <v>8</v>
      </c>
      <c r="E404" s="1">
        <v>10</v>
      </c>
      <c r="F404" s="1">
        <v>10</v>
      </c>
      <c r="G404" s="1">
        <v>5</v>
      </c>
    </row>
    <row r="405" spans="1:7" x14ac:dyDescent="0.2">
      <c r="A405" s="1" t="s">
        <v>414</v>
      </c>
      <c r="B405" s="1" t="str">
        <f>VLOOKUP(student_skills[[#This Row],[Student_ID]],student_data[],2,0)</f>
        <v>Information Technology</v>
      </c>
      <c r="C405" s="1">
        <v>1</v>
      </c>
      <c r="D405" s="1">
        <v>6</v>
      </c>
      <c r="E405" s="1">
        <v>10</v>
      </c>
      <c r="F405" s="1">
        <v>3</v>
      </c>
      <c r="G405" s="1">
        <v>7</v>
      </c>
    </row>
    <row r="406" spans="1:7" x14ac:dyDescent="0.2">
      <c r="A406" s="1" t="s">
        <v>415</v>
      </c>
      <c r="B406" s="1" t="str">
        <f>VLOOKUP(student_skills[[#This Row],[Student_ID]],student_data[],2,0)</f>
        <v>Computer Science</v>
      </c>
      <c r="C406" s="1">
        <v>7</v>
      </c>
      <c r="D406" s="1">
        <v>5</v>
      </c>
      <c r="E406" s="1">
        <v>10</v>
      </c>
      <c r="F406" s="1">
        <v>9</v>
      </c>
      <c r="G406" s="1">
        <v>8</v>
      </c>
    </row>
    <row r="407" spans="1:7" x14ac:dyDescent="0.2">
      <c r="A407" s="1" t="s">
        <v>416</v>
      </c>
      <c r="B407" s="1" t="str">
        <f>VLOOKUP(student_skills[[#This Row],[Student_ID]],student_data[],2,0)</f>
        <v>Information Technology</v>
      </c>
      <c r="C407" s="1">
        <v>5</v>
      </c>
      <c r="D407" s="1">
        <v>5</v>
      </c>
      <c r="E407" s="1">
        <v>6</v>
      </c>
      <c r="F407" s="1">
        <v>3</v>
      </c>
      <c r="G407" s="1">
        <v>9</v>
      </c>
    </row>
    <row r="408" spans="1:7" x14ac:dyDescent="0.2">
      <c r="A408" s="1" t="s">
        <v>417</v>
      </c>
      <c r="B408" s="1" t="str">
        <f>VLOOKUP(student_skills[[#This Row],[Student_ID]],student_data[],2,0)</f>
        <v>Civil</v>
      </c>
      <c r="C408" s="1">
        <v>6</v>
      </c>
      <c r="D408" s="1">
        <v>6</v>
      </c>
      <c r="E408" s="1">
        <v>1</v>
      </c>
      <c r="F408" s="1">
        <v>6</v>
      </c>
      <c r="G408" s="1">
        <v>3</v>
      </c>
    </row>
    <row r="409" spans="1:7" x14ac:dyDescent="0.2">
      <c r="A409" s="1" t="s">
        <v>418</v>
      </c>
      <c r="B409" s="1" t="str">
        <f>VLOOKUP(student_skills[[#This Row],[Student_ID]],student_data[],2,0)</f>
        <v>Information Technology</v>
      </c>
      <c r="C409" s="1">
        <v>7</v>
      </c>
      <c r="D409" s="1">
        <v>7</v>
      </c>
      <c r="E409" s="1">
        <v>9</v>
      </c>
      <c r="F409" s="1">
        <v>1</v>
      </c>
      <c r="G409" s="1">
        <v>3</v>
      </c>
    </row>
    <row r="410" spans="1:7" x14ac:dyDescent="0.2">
      <c r="A410" s="1" t="s">
        <v>419</v>
      </c>
      <c r="B410" s="1" t="str">
        <f>VLOOKUP(student_skills[[#This Row],[Student_ID]],student_data[],2,0)</f>
        <v>Computer Science</v>
      </c>
      <c r="C410" s="1">
        <v>3</v>
      </c>
      <c r="D410" s="1">
        <v>1</v>
      </c>
      <c r="E410" s="1">
        <v>2</v>
      </c>
      <c r="F410" s="1">
        <v>6</v>
      </c>
      <c r="G410" s="1">
        <v>4</v>
      </c>
    </row>
    <row r="411" spans="1:7" x14ac:dyDescent="0.2">
      <c r="A411" s="1" t="s">
        <v>420</v>
      </c>
      <c r="B411" s="1" t="str">
        <f>VLOOKUP(student_skills[[#This Row],[Student_ID]],student_data[],2,0)</f>
        <v>Civil</v>
      </c>
      <c r="C411" s="1">
        <v>10</v>
      </c>
      <c r="D411" s="1">
        <v>9</v>
      </c>
      <c r="E411" s="1">
        <v>5</v>
      </c>
      <c r="F411" s="1">
        <v>4</v>
      </c>
      <c r="G411" s="1">
        <v>5</v>
      </c>
    </row>
    <row r="412" spans="1:7" x14ac:dyDescent="0.2">
      <c r="A412" s="1" t="s">
        <v>421</v>
      </c>
      <c r="B412" s="1" t="str">
        <f>VLOOKUP(student_skills[[#This Row],[Student_ID]],student_data[],2,0)</f>
        <v>Information Technology</v>
      </c>
      <c r="C412" s="1">
        <v>3</v>
      </c>
      <c r="D412" s="1">
        <v>3</v>
      </c>
      <c r="E412" s="1">
        <v>9</v>
      </c>
      <c r="F412" s="1">
        <v>8</v>
      </c>
      <c r="G412" s="1">
        <v>10</v>
      </c>
    </row>
    <row r="413" spans="1:7" x14ac:dyDescent="0.2">
      <c r="A413" s="1" t="s">
        <v>422</v>
      </c>
      <c r="B413" s="1" t="str">
        <f>VLOOKUP(student_skills[[#This Row],[Student_ID]],student_data[],2,0)</f>
        <v>Civil</v>
      </c>
      <c r="C413" s="1">
        <v>5</v>
      </c>
      <c r="D413" s="1">
        <v>4</v>
      </c>
      <c r="E413" s="1">
        <v>4</v>
      </c>
      <c r="F413" s="1">
        <v>9</v>
      </c>
      <c r="G413" s="1">
        <v>1</v>
      </c>
    </row>
    <row r="414" spans="1:7" x14ac:dyDescent="0.2">
      <c r="A414" s="1" t="s">
        <v>423</v>
      </c>
      <c r="B414" s="1" t="str">
        <f>VLOOKUP(student_skills[[#This Row],[Student_ID]],student_data[],2,0)</f>
        <v>Electronics</v>
      </c>
      <c r="C414" s="1">
        <v>6</v>
      </c>
      <c r="D414" s="1">
        <v>10</v>
      </c>
      <c r="E414" s="1">
        <v>3</v>
      </c>
      <c r="F414" s="1">
        <v>4</v>
      </c>
      <c r="G414" s="1">
        <v>7</v>
      </c>
    </row>
    <row r="415" spans="1:7" x14ac:dyDescent="0.2">
      <c r="A415" s="1" t="s">
        <v>424</v>
      </c>
      <c r="B415" s="1" t="str">
        <f>VLOOKUP(student_skills[[#This Row],[Student_ID]],student_data[],2,0)</f>
        <v>Electronics</v>
      </c>
      <c r="C415" s="1">
        <v>9</v>
      </c>
      <c r="D415" s="1">
        <v>1</v>
      </c>
      <c r="E415" s="1">
        <v>7</v>
      </c>
      <c r="F415" s="1">
        <v>10</v>
      </c>
      <c r="G415" s="1">
        <v>9</v>
      </c>
    </row>
    <row r="416" spans="1:7" x14ac:dyDescent="0.2">
      <c r="A416" s="1" t="s">
        <v>425</v>
      </c>
      <c r="B416" s="1" t="str">
        <f>VLOOKUP(student_skills[[#This Row],[Student_ID]],student_data[],2,0)</f>
        <v>Information Technology</v>
      </c>
      <c r="C416" s="1">
        <v>5</v>
      </c>
      <c r="D416" s="1">
        <v>10</v>
      </c>
      <c r="E416" s="1">
        <v>6</v>
      </c>
      <c r="F416" s="1">
        <v>10</v>
      </c>
      <c r="G416" s="1">
        <v>8</v>
      </c>
    </row>
    <row r="417" spans="1:7" x14ac:dyDescent="0.2">
      <c r="A417" s="1" t="s">
        <v>426</v>
      </c>
      <c r="B417" s="1" t="str">
        <f>VLOOKUP(student_skills[[#This Row],[Student_ID]],student_data[],2,0)</f>
        <v>Civil</v>
      </c>
      <c r="C417" s="1">
        <v>1</v>
      </c>
      <c r="D417" s="1">
        <v>3</v>
      </c>
      <c r="E417" s="1">
        <v>8</v>
      </c>
      <c r="F417" s="1">
        <v>6</v>
      </c>
      <c r="G417" s="1">
        <v>5</v>
      </c>
    </row>
    <row r="418" spans="1:7" x14ac:dyDescent="0.2">
      <c r="A418" s="1" t="s">
        <v>427</v>
      </c>
      <c r="B418" s="1" t="str">
        <f>VLOOKUP(student_skills[[#This Row],[Student_ID]],student_data[],2,0)</f>
        <v>Computer Science</v>
      </c>
      <c r="C418" s="1">
        <v>4</v>
      </c>
      <c r="D418" s="1">
        <v>2</v>
      </c>
      <c r="E418" s="1">
        <v>3</v>
      </c>
      <c r="F418" s="1">
        <v>1</v>
      </c>
      <c r="G418" s="1">
        <v>4</v>
      </c>
    </row>
    <row r="419" spans="1:7" x14ac:dyDescent="0.2">
      <c r="A419" s="1" t="s">
        <v>428</v>
      </c>
      <c r="B419" s="1" t="str">
        <f>VLOOKUP(student_skills[[#This Row],[Student_ID]],student_data[],2,0)</f>
        <v>Information Technology</v>
      </c>
      <c r="C419" s="1">
        <v>5</v>
      </c>
      <c r="D419" s="1">
        <v>2</v>
      </c>
      <c r="E419" s="1">
        <v>5</v>
      </c>
      <c r="F419" s="1">
        <v>4</v>
      </c>
      <c r="G419" s="1">
        <v>7</v>
      </c>
    </row>
    <row r="420" spans="1:7" x14ac:dyDescent="0.2">
      <c r="A420" s="1" t="s">
        <v>429</v>
      </c>
      <c r="B420" s="1" t="str">
        <f>VLOOKUP(student_skills[[#This Row],[Student_ID]],student_data[],2,0)</f>
        <v>Electronics</v>
      </c>
      <c r="C420" s="1">
        <v>10</v>
      </c>
      <c r="D420" s="1">
        <v>1</v>
      </c>
      <c r="E420" s="1">
        <v>10</v>
      </c>
      <c r="F420" s="1">
        <v>7</v>
      </c>
      <c r="G420" s="1">
        <v>5</v>
      </c>
    </row>
    <row r="421" spans="1:7" x14ac:dyDescent="0.2">
      <c r="A421" s="1" t="s">
        <v>430</v>
      </c>
      <c r="B421" s="1" t="str">
        <f>VLOOKUP(student_skills[[#This Row],[Student_ID]],student_data[],2,0)</f>
        <v>Electronics</v>
      </c>
      <c r="C421" s="1">
        <v>10</v>
      </c>
      <c r="D421" s="1">
        <v>8</v>
      </c>
      <c r="E421" s="1">
        <v>4</v>
      </c>
      <c r="F421" s="1">
        <v>1</v>
      </c>
      <c r="G421" s="1">
        <v>7</v>
      </c>
    </row>
    <row r="422" spans="1:7" x14ac:dyDescent="0.2">
      <c r="A422" s="1" t="s">
        <v>431</v>
      </c>
      <c r="B422" s="1" t="str">
        <f>VLOOKUP(student_skills[[#This Row],[Student_ID]],student_data[],2,0)</f>
        <v>Information Technology</v>
      </c>
      <c r="C422" s="1">
        <v>5</v>
      </c>
      <c r="D422" s="1">
        <v>3</v>
      </c>
      <c r="E422" s="1">
        <v>4</v>
      </c>
      <c r="F422" s="1">
        <v>8</v>
      </c>
      <c r="G422" s="1">
        <v>1</v>
      </c>
    </row>
    <row r="423" spans="1:7" x14ac:dyDescent="0.2">
      <c r="A423" s="1" t="s">
        <v>432</v>
      </c>
      <c r="B423" s="1" t="str">
        <f>VLOOKUP(student_skills[[#This Row],[Student_ID]],student_data[],2,0)</f>
        <v>Civil</v>
      </c>
      <c r="C423" s="1">
        <v>7</v>
      </c>
      <c r="D423" s="1">
        <v>3</v>
      </c>
      <c r="E423" s="1">
        <v>4</v>
      </c>
      <c r="F423" s="1">
        <v>10</v>
      </c>
      <c r="G423" s="1">
        <v>1</v>
      </c>
    </row>
    <row r="424" spans="1:7" x14ac:dyDescent="0.2">
      <c r="A424" s="1" t="s">
        <v>433</v>
      </c>
      <c r="B424" s="1" t="str">
        <f>VLOOKUP(student_skills[[#This Row],[Student_ID]],student_data[],2,0)</f>
        <v>Electronics</v>
      </c>
      <c r="C424" s="1">
        <v>4</v>
      </c>
      <c r="D424" s="1">
        <v>6</v>
      </c>
      <c r="E424" s="1">
        <v>10</v>
      </c>
      <c r="F424" s="1">
        <v>6</v>
      </c>
      <c r="G424" s="1">
        <v>10</v>
      </c>
    </row>
    <row r="425" spans="1:7" x14ac:dyDescent="0.2">
      <c r="A425" s="1" t="s">
        <v>434</v>
      </c>
      <c r="B425" s="1" t="str">
        <f>VLOOKUP(student_skills[[#This Row],[Student_ID]],student_data[],2,0)</f>
        <v>Civil</v>
      </c>
      <c r="C425" s="1">
        <v>1</v>
      </c>
      <c r="D425" s="1">
        <v>8</v>
      </c>
      <c r="E425" s="1">
        <v>8</v>
      </c>
      <c r="F425" s="1">
        <v>5</v>
      </c>
      <c r="G425" s="1">
        <v>3</v>
      </c>
    </row>
    <row r="426" spans="1:7" x14ac:dyDescent="0.2">
      <c r="A426" s="1" t="s">
        <v>435</v>
      </c>
      <c r="B426" s="1" t="str">
        <f>VLOOKUP(student_skills[[#This Row],[Student_ID]],student_data[],2,0)</f>
        <v>Electronics</v>
      </c>
      <c r="C426" s="1">
        <v>5</v>
      </c>
      <c r="D426" s="1">
        <v>9</v>
      </c>
      <c r="E426" s="1">
        <v>6</v>
      </c>
      <c r="F426" s="1">
        <v>10</v>
      </c>
      <c r="G426" s="1">
        <v>2</v>
      </c>
    </row>
    <row r="427" spans="1:7" x14ac:dyDescent="0.2">
      <c r="A427" s="1" t="s">
        <v>436</v>
      </c>
      <c r="B427" s="1" t="str">
        <f>VLOOKUP(student_skills[[#This Row],[Student_ID]],student_data[],2,0)</f>
        <v>Electronics</v>
      </c>
      <c r="C427" s="1">
        <v>7</v>
      </c>
      <c r="D427" s="1">
        <v>9</v>
      </c>
      <c r="E427" s="1">
        <v>3</v>
      </c>
      <c r="F427" s="1">
        <v>9</v>
      </c>
      <c r="G427" s="1">
        <v>2</v>
      </c>
    </row>
    <row r="428" spans="1:7" x14ac:dyDescent="0.2">
      <c r="A428" s="1" t="s">
        <v>437</v>
      </c>
      <c r="B428" s="1" t="str">
        <f>VLOOKUP(student_skills[[#This Row],[Student_ID]],student_data[],2,0)</f>
        <v>Mechanical</v>
      </c>
      <c r="C428" s="1">
        <v>10</v>
      </c>
      <c r="D428" s="1">
        <v>4</v>
      </c>
      <c r="E428" s="1">
        <v>10</v>
      </c>
      <c r="F428" s="1">
        <v>2</v>
      </c>
      <c r="G428" s="1">
        <v>7</v>
      </c>
    </row>
    <row r="429" spans="1:7" x14ac:dyDescent="0.2">
      <c r="A429" s="1" t="s">
        <v>438</v>
      </c>
      <c r="B429" s="1" t="str">
        <f>VLOOKUP(student_skills[[#This Row],[Student_ID]],student_data[],2,0)</f>
        <v>Electronics</v>
      </c>
      <c r="C429" s="1">
        <v>10</v>
      </c>
      <c r="D429" s="1">
        <v>5</v>
      </c>
      <c r="E429" s="1">
        <v>5</v>
      </c>
      <c r="F429" s="1">
        <v>5</v>
      </c>
      <c r="G429" s="1">
        <v>10</v>
      </c>
    </row>
    <row r="430" spans="1:7" x14ac:dyDescent="0.2">
      <c r="A430" s="1" t="s">
        <v>439</v>
      </c>
      <c r="B430" s="1" t="str">
        <f>VLOOKUP(student_skills[[#This Row],[Student_ID]],student_data[],2,0)</f>
        <v>Computer Science</v>
      </c>
      <c r="C430" s="1">
        <v>6</v>
      </c>
      <c r="D430" s="1">
        <v>2</v>
      </c>
      <c r="E430" s="1">
        <v>6</v>
      </c>
      <c r="F430" s="1">
        <v>6</v>
      </c>
      <c r="G430" s="1">
        <v>2</v>
      </c>
    </row>
    <row r="431" spans="1:7" x14ac:dyDescent="0.2">
      <c r="A431" s="1" t="s">
        <v>440</v>
      </c>
      <c r="B431" s="1" t="str">
        <f>VLOOKUP(student_skills[[#This Row],[Student_ID]],student_data[],2,0)</f>
        <v>Information Technology</v>
      </c>
      <c r="C431" s="1">
        <v>5</v>
      </c>
      <c r="D431" s="1">
        <v>9</v>
      </c>
      <c r="E431" s="1">
        <v>5</v>
      </c>
      <c r="F431" s="1">
        <v>7</v>
      </c>
      <c r="G431" s="1">
        <v>4</v>
      </c>
    </row>
    <row r="432" spans="1:7" x14ac:dyDescent="0.2">
      <c r="A432" s="1" t="s">
        <v>441</v>
      </c>
      <c r="B432" s="1" t="str">
        <f>VLOOKUP(student_skills[[#This Row],[Student_ID]],student_data[],2,0)</f>
        <v>Information Technology</v>
      </c>
      <c r="C432" s="1">
        <v>4</v>
      </c>
      <c r="D432" s="1">
        <v>8</v>
      </c>
      <c r="E432" s="1">
        <v>6</v>
      </c>
      <c r="F432" s="1">
        <v>5</v>
      </c>
      <c r="G432" s="1">
        <v>2</v>
      </c>
    </row>
    <row r="433" spans="1:7" x14ac:dyDescent="0.2">
      <c r="A433" s="1" t="s">
        <v>442</v>
      </c>
      <c r="B433" s="1" t="str">
        <f>VLOOKUP(student_skills[[#This Row],[Student_ID]],student_data[],2,0)</f>
        <v>Civil</v>
      </c>
      <c r="C433" s="1">
        <v>2</v>
      </c>
      <c r="D433" s="1">
        <v>3</v>
      </c>
      <c r="E433" s="1">
        <v>8</v>
      </c>
      <c r="F433" s="1">
        <v>9</v>
      </c>
      <c r="G433" s="1">
        <v>6</v>
      </c>
    </row>
    <row r="434" spans="1:7" x14ac:dyDescent="0.2">
      <c r="A434" s="1" t="s">
        <v>443</v>
      </c>
      <c r="B434" s="1" t="str">
        <f>VLOOKUP(student_skills[[#This Row],[Student_ID]],student_data[],2,0)</f>
        <v>Electronics</v>
      </c>
      <c r="C434" s="1">
        <v>4</v>
      </c>
      <c r="D434" s="1">
        <v>9</v>
      </c>
      <c r="E434" s="1">
        <v>7</v>
      </c>
      <c r="F434" s="1">
        <v>1</v>
      </c>
      <c r="G434" s="1">
        <v>8</v>
      </c>
    </row>
    <row r="435" spans="1:7" x14ac:dyDescent="0.2">
      <c r="A435" s="1" t="s">
        <v>444</v>
      </c>
      <c r="B435" s="1" t="str">
        <f>VLOOKUP(student_skills[[#This Row],[Student_ID]],student_data[],2,0)</f>
        <v>Computer Science</v>
      </c>
      <c r="C435" s="1">
        <v>10</v>
      </c>
      <c r="D435" s="1">
        <v>3</v>
      </c>
      <c r="E435" s="1">
        <v>5</v>
      </c>
      <c r="F435" s="1">
        <v>7</v>
      </c>
      <c r="G435" s="1">
        <v>10</v>
      </c>
    </row>
    <row r="436" spans="1:7" x14ac:dyDescent="0.2">
      <c r="A436" s="1" t="s">
        <v>445</v>
      </c>
      <c r="B436" s="1" t="str">
        <f>VLOOKUP(student_skills[[#This Row],[Student_ID]],student_data[],2,0)</f>
        <v>Civil</v>
      </c>
      <c r="C436" s="1">
        <v>10</v>
      </c>
      <c r="D436" s="1">
        <v>9</v>
      </c>
      <c r="E436" s="1">
        <v>10</v>
      </c>
      <c r="F436" s="1">
        <v>10</v>
      </c>
      <c r="G436" s="1">
        <v>4</v>
      </c>
    </row>
    <row r="437" spans="1:7" x14ac:dyDescent="0.2">
      <c r="A437" s="1" t="s">
        <v>446</v>
      </c>
      <c r="B437" s="1" t="str">
        <f>VLOOKUP(student_skills[[#This Row],[Student_ID]],student_data[],2,0)</f>
        <v>Mechanical</v>
      </c>
      <c r="C437" s="1">
        <v>3</v>
      </c>
      <c r="D437" s="1">
        <v>2</v>
      </c>
      <c r="E437" s="1">
        <v>6</v>
      </c>
      <c r="F437" s="1">
        <v>7</v>
      </c>
      <c r="G437" s="1">
        <v>5</v>
      </c>
    </row>
    <row r="438" spans="1:7" x14ac:dyDescent="0.2">
      <c r="A438" s="1" t="s">
        <v>447</v>
      </c>
      <c r="B438" s="1" t="str">
        <f>VLOOKUP(student_skills[[#This Row],[Student_ID]],student_data[],2,0)</f>
        <v>Civil</v>
      </c>
      <c r="C438" s="1">
        <v>10</v>
      </c>
      <c r="D438" s="1">
        <v>10</v>
      </c>
      <c r="E438" s="1">
        <v>4</v>
      </c>
      <c r="F438" s="1">
        <v>4</v>
      </c>
      <c r="G438" s="1">
        <v>4</v>
      </c>
    </row>
    <row r="439" spans="1:7" x14ac:dyDescent="0.2">
      <c r="A439" s="1" t="s">
        <v>448</v>
      </c>
      <c r="B439" s="1" t="str">
        <f>VLOOKUP(student_skills[[#This Row],[Student_ID]],student_data[],2,0)</f>
        <v>Civil</v>
      </c>
      <c r="C439" s="1">
        <v>1</v>
      </c>
      <c r="D439" s="1">
        <v>9</v>
      </c>
      <c r="E439" s="1">
        <v>9</v>
      </c>
      <c r="F439" s="1">
        <v>9</v>
      </c>
      <c r="G439" s="1">
        <v>3</v>
      </c>
    </row>
    <row r="440" spans="1:7" x14ac:dyDescent="0.2">
      <c r="A440" s="1" t="s">
        <v>449</v>
      </c>
      <c r="B440" s="1" t="str">
        <f>VLOOKUP(student_skills[[#This Row],[Student_ID]],student_data[],2,0)</f>
        <v>Electronics</v>
      </c>
      <c r="C440" s="1">
        <v>8</v>
      </c>
      <c r="D440" s="1">
        <v>8</v>
      </c>
      <c r="E440" s="1">
        <v>4</v>
      </c>
      <c r="F440" s="1">
        <v>5</v>
      </c>
      <c r="G440" s="1">
        <v>5</v>
      </c>
    </row>
    <row r="441" spans="1:7" x14ac:dyDescent="0.2">
      <c r="A441" s="1" t="s">
        <v>450</v>
      </c>
      <c r="B441" s="1" t="str">
        <f>VLOOKUP(student_skills[[#This Row],[Student_ID]],student_data[],2,0)</f>
        <v>Mechanical</v>
      </c>
      <c r="C441" s="1">
        <v>5</v>
      </c>
      <c r="D441" s="1">
        <v>9</v>
      </c>
      <c r="E441" s="1">
        <v>1</v>
      </c>
      <c r="F441" s="1">
        <v>4</v>
      </c>
      <c r="G441" s="1">
        <v>9</v>
      </c>
    </row>
    <row r="442" spans="1:7" x14ac:dyDescent="0.2">
      <c r="A442" s="1" t="s">
        <v>451</v>
      </c>
      <c r="B442" s="1" t="str">
        <f>VLOOKUP(student_skills[[#This Row],[Student_ID]],student_data[],2,0)</f>
        <v>Civil</v>
      </c>
      <c r="C442" s="1">
        <v>4</v>
      </c>
      <c r="D442" s="1">
        <v>5</v>
      </c>
      <c r="E442" s="1">
        <v>7</v>
      </c>
      <c r="F442" s="1">
        <v>7</v>
      </c>
      <c r="G442" s="1">
        <v>8</v>
      </c>
    </row>
    <row r="443" spans="1:7" x14ac:dyDescent="0.2">
      <c r="A443" s="1" t="s">
        <v>452</v>
      </c>
      <c r="B443" s="1" t="str">
        <f>VLOOKUP(student_skills[[#This Row],[Student_ID]],student_data[],2,0)</f>
        <v>Computer Science</v>
      </c>
      <c r="C443" s="1">
        <v>8</v>
      </c>
      <c r="D443" s="1">
        <v>2</v>
      </c>
      <c r="E443" s="1">
        <v>7</v>
      </c>
      <c r="F443" s="1">
        <v>4</v>
      </c>
      <c r="G443" s="1">
        <v>8</v>
      </c>
    </row>
    <row r="444" spans="1:7" x14ac:dyDescent="0.2">
      <c r="A444" s="1" t="s">
        <v>453</v>
      </c>
      <c r="B444" s="1" t="str">
        <f>VLOOKUP(student_skills[[#This Row],[Student_ID]],student_data[],2,0)</f>
        <v>Computer Science</v>
      </c>
      <c r="C444" s="1">
        <v>7</v>
      </c>
      <c r="D444" s="1">
        <v>8</v>
      </c>
      <c r="E444" s="1">
        <v>4</v>
      </c>
      <c r="F444" s="1">
        <v>3</v>
      </c>
      <c r="G444" s="1">
        <v>8</v>
      </c>
    </row>
    <row r="445" spans="1:7" x14ac:dyDescent="0.2">
      <c r="A445" s="1" t="s">
        <v>454</v>
      </c>
      <c r="B445" s="1" t="str">
        <f>VLOOKUP(student_skills[[#This Row],[Student_ID]],student_data[],2,0)</f>
        <v>Information Technology</v>
      </c>
      <c r="C445" s="1">
        <v>2</v>
      </c>
      <c r="D445" s="1">
        <v>6</v>
      </c>
      <c r="E445" s="1">
        <v>3</v>
      </c>
      <c r="F445" s="1">
        <v>9</v>
      </c>
      <c r="G445" s="1">
        <v>8</v>
      </c>
    </row>
    <row r="446" spans="1:7" x14ac:dyDescent="0.2">
      <c r="A446" s="1" t="s">
        <v>455</v>
      </c>
      <c r="B446" s="1" t="str">
        <f>VLOOKUP(student_skills[[#This Row],[Student_ID]],student_data[],2,0)</f>
        <v>Mechanical</v>
      </c>
      <c r="C446" s="1">
        <v>1</v>
      </c>
      <c r="D446" s="1">
        <v>8</v>
      </c>
      <c r="E446" s="1">
        <v>8</v>
      </c>
      <c r="F446" s="1">
        <v>8</v>
      </c>
      <c r="G446" s="1">
        <v>7</v>
      </c>
    </row>
    <row r="447" spans="1:7" x14ac:dyDescent="0.2">
      <c r="A447" s="1" t="s">
        <v>456</v>
      </c>
      <c r="B447" s="1" t="str">
        <f>VLOOKUP(student_skills[[#This Row],[Student_ID]],student_data[],2,0)</f>
        <v>Mechanical</v>
      </c>
      <c r="C447" s="1">
        <v>4</v>
      </c>
      <c r="D447" s="1">
        <v>5</v>
      </c>
      <c r="E447" s="1">
        <v>5</v>
      </c>
      <c r="F447" s="1">
        <v>1</v>
      </c>
      <c r="G447" s="1">
        <v>8</v>
      </c>
    </row>
    <row r="448" spans="1:7" x14ac:dyDescent="0.2">
      <c r="A448" s="1" t="s">
        <v>457</v>
      </c>
      <c r="B448" s="1" t="str">
        <f>VLOOKUP(student_skills[[#This Row],[Student_ID]],student_data[],2,0)</f>
        <v>Information Technology</v>
      </c>
      <c r="C448" s="1">
        <v>8</v>
      </c>
      <c r="D448" s="1">
        <v>10</v>
      </c>
      <c r="E448" s="1">
        <v>10</v>
      </c>
      <c r="F448" s="1">
        <v>7</v>
      </c>
      <c r="G448" s="1">
        <v>8</v>
      </c>
    </row>
    <row r="449" spans="1:7" x14ac:dyDescent="0.2">
      <c r="A449" s="1" t="s">
        <v>458</v>
      </c>
      <c r="B449" s="1" t="str">
        <f>VLOOKUP(student_skills[[#This Row],[Student_ID]],student_data[],2,0)</f>
        <v>Civil</v>
      </c>
      <c r="C449" s="1">
        <v>2</v>
      </c>
      <c r="D449" s="1">
        <v>2</v>
      </c>
      <c r="E449" s="1">
        <v>7</v>
      </c>
      <c r="F449" s="1">
        <v>9</v>
      </c>
      <c r="G449" s="1">
        <v>8</v>
      </c>
    </row>
    <row r="450" spans="1:7" x14ac:dyDescent="0.2">
      <c r="A450" s="1" t="s">
        <v>459</v>
      </c>
      <c r="B450" s="1" t="str">
        <f>VLOOKUP(student_skills[[#This Row],[Student_ID]],student_data[],2,0)</f>
        <v>Mechanical</v>
      </c>
      <c r="C450" s="1">
        <v>3</v>
      </c>
      <c r="D450" s="1">
        <v>6</v>
      </c>
      <c r="E450" s="1">
        <v>4</v>
      </c>
      <c r="F450" s="1">
        <v>8</v>
      </c>
      <c r="G450" s="1">
        <v>10</v>
      </c>
    </row>
    <row r="451" spans="1:7" x14ac:dyDescent="0.2">
      <c r="A451" s="1" t="s">
        <v>460</v>
      </c>
      <c r="B451" s="1" t="str">
        <f>VLOOKUP(student_skills[[#This Row],[Student_ID]],student_data[],2,0)</f>
        <v>Computer Science</v>
      </c>
      <c r="C451" s="1">
        <v>1</v>
      </c>
      <c r="D451" s="1">
        <v>5</v>
      </c>
      <c r="E451" s="1">
        <v>4</v>
      </c>
      <c r="F451" s="1">
        <v>8</v>
      </c>
      <c r="G451" s="1">
        <v>7</v>
      </c>
    </row>
    <row r="452" spans="1:7" x14ac:dyDescent="0.2">
      <c r="A452" s="1" t="s">
        <v>461</v>
      </c>
      <c r="B452" s="1" t="str">
        <f>VLOOKUP(student_skills[[#This Row],[Student_ID]],student_data[],2,0)</f>
        <v>Computer Science</v>
      </c>
      <c r="C452" s="1">
        <v>1</v>
      </c>
      <c r="D452" s="1">
        <v>5</v>
      </c>
      <c r="E452" s="1">
        <v>8</v>
      </c>
      <c r="F452" s="1">
        <v>6</v>
      </c>
      <c r="G452" s="1">
        <v>1</v>
      </c>
    </row>
    <row r="453" spans="1:7" x14ac:dyDescent="0.2">
      <c r="A453" s="1" t="s">
        <v>462</v>
      </c>
      <c r="B453" s="1" t="str">
        <f>VLOOKUP(student_skills[[#This Row],[Student_ID]],student_data[],2,0)</f>
        <v>Electronics</v>
      </c>
      <c r="C453" s="1">
        <v>3</v>
      </c>
      <c r="D453" s="1">
        <v>1</v>
      </c>
      <c r="E453" s="1">
        <v>8</v>
      </c>
      <c r="F453" s="1">
        <v>4</v>
      </c>
      <c r="G453" s="1">
        <v>4</v>
      </c>
    </row>
    <row r="454" spans="1:7" x14ac:dyDescent="0.2">
      <c r="A454" s="1" t="s">
        <v>463</v>
      </c>
      <c r="B454" s="1" t="str">
        <f>VLOOKUP(student_skills[[#This Row],[Student_ID]],student_data[],2,0)</f>
        <v>Mechanical</v>
      </c>
      <c r="C454" s="1">
        <v>5</v>
      </c>
      <c r="D454" s="1">
        <v>2</v>
      </c>
      <c r="E454" s="1">
        <v>2</v>
      </c>
      <c r="F454" s="1">
        <v>8</v>
      </c>
      <c r="G454" s="1">
        <v>4</v>
      </c>
    </row>
    <row r="455" spans="1:7" x14ac:dyDescent="0.2">
      <c r="A455" s="1" t="s">
        <v>464</v>
      </c>
      <c r="B455" s="1" t="str">
        <f>VLOOKUP(student_skills[[#This Row],[Student_ID]],student_data[],2,0)</f>
        <v>Civil</v>
      </c>
      <c r="C455" s="1">
        <v>3</v>
      </c>
      <c r="D455" s="1">
        <v>8</v>
      </c>
      <c r="E455" s="1">
        <v>2</v>
      </c>
      <c r="F455" s="1">
        <v>3</v>
      </c>
      <c r="G455" s="1">
        <v>5</v>
      </c>
    </row>
    <row r="456" spans="1:7" x14ac:dyDescent="0.2">
      <c r="A456" s="1" t="s">
        <v>465</v>
      </c>
      <c r="B456" s="1" t="str">
        <f>VLOOKUP(student_skills[[#This Row],[Student_ID]],student_data[],2,0)</f>
        <v>Information Technology</v>
      </c>
      <c r="C456" s="1">
        <v>1</v>
      </c>
      <c r="D456" s="1">
        <v>3</v>
      </c>
      <c r="E456" s="1">
        <v>3</v>
      </c>
      <c r="F456" s="1">
        <v>9</v>
      </c>
      <c r="G456" s="1">
        <v>10</v>
      </c>
    </row>
    <row r="457" spans="1:7" x14ac:dyDescent="0.2">
      <c r="A457" s="1" t="s">
        <v>466</v>
      </c>
      <c r="B457" s="1" t="str">
        <f>VLOOKUP(student_skills[[#This Row],[Student_ID]],student_data[],2,0)</f>
        <v>Information Technology</v>
      </c>
      <c r="C457" s="1">
        <v>1</v>
      </c>
      <c r="D457" s="1">
        <v>10</v>
      </c>
      <c r="E457" s="1">
        <v>3</v>
      </c>
      <c r="F457" s="1">
        <v>2</v>
      </c>
      <c r="G457" s="1">
        <v>6</v>
      </c>
    </row>
    <row r="458" spans="1:7" x14ac:dyDescent="0.2">
      <c r="A458" s="1" t="s">
        <v>467</v>
      </c>
      <c r="B458" s="1" t="str">
        <f>VLOOKUP(student_skills[[#This Row],[Student_ID]],student_data[],2,0)</f>
        <v>Civil</v>
      </c>
      <c r="C458" s="1">
        <v>8</v>
      </c>
      <c r="D458" s="1">
        <v>3</v>
      </c>
      <c r="E458" s="1">
        <v>1</v>
      </c>
      <c r="F458" s="1">
        <v>2</v>
      </c>
      <c r="G458" s="1">
        <v>4</v>
      </c>
    </row>
    <row r="459" spans="1:7" x14ac:dyDescent="0.2">
      <c r="A459" s="1" t="s">
        <v>468</v>
      </c>
      <c r="B459" s="1" t="str">
        <f>VLOOKUP(student_skills[[#This Row],[Student_ID]],student_data[],2,0)</f>
        <v>Electronics</v>
      </c>
      <c r="C459" s="1">
        <v>10</v>
      </c>
      <c r="D459" s="1">
        <v>8</v>
      </c>
      <c r="E459" s="1">
        <v>3</v>
      </c>
      <c r="F459" s="1">
        <v>7</v>
      </c>
      <c r="G459" s="1">
        <v>2</v>
      </c>
    </row>
    <row r="460" spans="1:7" x14ac:dyDescent="0.2">
      <c r="A460" s="1" t="s">
        <v>469</v>
      </c>
      <c r="B460" s="1" t="str">
        <f>VLOOKUP(student_skills[[#This Row],[Student_ID]],student_data[],2,0)</f>
        <v>Information Technology</v>
      </c>
      <c r="C460" s="1">
        <v>2</v>
      </c>
      <c r="D460" s="1">
        <v>8</v>
      </c>
      <c r="E460" s="1">
        <v>6</v>
      </c>
      <c r="F460" s="1">
        <v>10</v>
      </c>
      <c r="G460" s="1">
        <v>6</v>
      </c>
    </row>
    <row r="461" spans="1:7" x14ac:dyDescent="0.2">
      <c r="A461" s="1" t="s">
        <v>470</v>
      </c>
      <c r="B461" s="1" t="str">
        <f>VLOOKUP(student_skills[[#This Row],[Student_ID]],student_data[],2,0)</f>
        <v>Mechanical</v>
      </c>
      <c r="C461" s="1">
        <v>3</v>
      </c>
      <c r="D461" s="1">
        <v>2</v>
      </c>
      <c r="E461" s="1">
        <v>8</v>
      </c>
      <c r="F461" s="1">
        <v>4</v>
      </c>
      <c r="G461" s="1">
        <v>8</v>
      </c>
    </row>
    <row r="462" spans="1:7" x14ac:dyDescent="0.2">
      <c r="A462" s="1" t="s">
        <v>471</v>
      </c>
      <c r="B462" s="1" t="str">
        <f>VLOOKUP(student_skills[[#This Row],[Student_ID]],student_data[],2,0)</f>
        <v>Electronics</v>
      </c>
      <c r="C462" s="1">
        <v>2</v>
      </c>
      <c r="D462" s="1">
        <v>8</v>
      </c>
      <c r="E462" s="1">
        <v>10</v>
      </c>
      <c r="F462" s="1">
        <v>10</v>
      </c>
      <c r="G462" s="1">
        <v>8</v>
      </c>
    </row>
    <row r="463" spans="1:7" x14ac:dyDescent="0.2">
      <c r="A463" s="1" t="s">
        <v>472</v>
      </c>
      <c r="B463" s="1" t="str">
        <f>VLOOKUP(student_skills[[#This Row],[Student_ID]],student_data[],2,0)</f>
        <v>Mechanical</v>
      </c>
      <c r="C463" s="1">
        <v>3</v>
      </c>
      <c r="D463" s="1">
        <v>1</v>
      </c>
      <c r="E463" s="1">
        <v>6</v>
      </c>
      <c r="F463" s="1">
        <v>8</v>
      </c>
      <c r="G463" s="1">
        <v>7</v>
      </c>
    </row>
    <row r="464" spans="1:7" x14ac:dyDescent="0.2">
      <c r="A464" s="1" t="s">
        <v>473</v>
      </c>
      <c r="B464" s="1" t="str">
        <f>VLOOKUP(student_skills[[#This Row],[Student_ID]],student_data[],2,0)</f>
        <v>Computer Science</v>
      </c>
      <c r="C464" s="1">
        <v>7</v>
      </c>
      <c r="D464" s="1">
        <v>6</v>
      </c>
      <c r="E464" s="1">
        <v>5</v>
      </c>
      <c r="F464" s="1">
        <v>9</v>
      </c>
      <c r="G464" s="1">
        <v>6</v>
      </c>
    </row>
    <row r="465" spans="1:7" x14ac:dyDescent="0.2">
      <c r="A465" s="1" t="s">
        <v>474</v>
      </c>
      <c r="B465" s="1" t="str">
        <f>VLOOKUP(student_skills[[#This Row],[Student_ID]],student_data[],2,0)</f>
        <v>Electronics</v>
      </c>
      <c r="C465" s="1">
        <v>1</v>
      </c>
      <c r="D465" s="1">
        <v>8</v>
      </c>
      <c r="E465" s="1">
        <v>4</v>
      </c>
      <c r="F465" s="1">
        <v>7</v>
      </c>
      <c r="G465" s="1">
        <v>2</v>
      </c>
    </row>
    <row r="466" spans="1:7" x14ac:dyDescent="0.2">
      <c r="A466" s="1" t="s">
        <v>475</v>
      </c>
      <c r="B466" s="1" t="str">
        <f>VLOOKUP(student_skills[[#This Row],[Student_ID]],student_data[],2,0)</f>
        <v>Information Technology</v>
      </c>
      <c r="C466" s="1">
        <v>10</v>
      </c>
      <c r="D466" s="1">
        <v>3</v>
      </c>
      <c r="E466" s="1">
        <v>3</v>
      </c>
      <c r="F466" s="1">
        <v>5</v>
      </c>
      <c r="G466" s="1">
        <v>7</v>
      </c>
    </row>
    <row r="467" spans="1:7" x14ac:dyDescent="0.2">
      <c r="A467" s="1" t="s">
        <v>476</v>
      </c>
      <c r="B467" s="1" t="str">
        <f>VLOOKUP(student_skills[[#This Row],[Student_ID]],student_data[],2,0)</f>
        <v>Electronics</v>
      </c>
      <c r="C467" s="1">
        <v>8</v>
      </c>
      <c r="D467" s="1">
        <v>8</v>
      </c>
      <c r="E467" s="1">
        <v>4</v>
      </c>
      <c r="F467" s="1">
        <v>8</v>
      </c>
      <c r="G467" s="1">
        <v>5</v>
      </c>
    </row>
    <row r="468" spans="1:7" x14ac:dyDescent="0.2">
      <c r="A468" s="1" t="s">
        <v>477</v>
      </c>
      <c r="B468" s="1" t="str">
        <f>VLOOKUP(student_skills[[#This Row],[Student_ID]],student_data[],2,0)</f>
        <v>Electronics</v>
      </c>
      <c r="C468" s="1">
        <v>10</v>
      </c>
      <c r="D468" s="1">
        <v>1</v>
      </c>
      <c r="E468" s="1">
        <v>7</v>
      </c>
      <c r="F468" s="1">
        <v>4</v>
      </c>
      <c r="G468" s="1">
        <v>6</v>
      </c>
    </row>
    <row r="469" spans="1:7" x14ac:dyDescent="0.2">
      <c r="A469" s="1" t="s">
        <v>478</v>
      </c>
      <c r="B469" s="1" t="str">
        <f>VLOOKUP(student_skills[[#This Row],[Student_ID]],student_data[],2,0)</f>
        <v>Electronics</v>
      </c>
      <c r="C469" s="1">
        <v>10</v>
      </c>
      <c r="D469" s="1">
        <v>9</v>
      </c>
      <c r="E469" s="1">
        <v>1</v>
      </c>
      <c r="F469" s="1">
        <v>2</v>
      </c>
      <c r="G469" s="1">
        <v>10</v>
      </c>
    </row>
    <row r="470" spans="1:7" x14ac:dyDescent="0.2">
      <c r="A470" s="1" t="s">
        <v>479</v>
      </c>
      <c r="B470" s="1" t="str">
        <f>VLOOKUP(student_skills[[#This Row],[Student_ID]],student_data[],2,0)</f>
        <v>Electronics</v>
      </c>
      <c r="C470" s="1">
        <v>10</v>
      </c>
      <c r="D470" s="1">
        <v>9</v>
      </c>
      <c r="E470" s="1">
        <v>7</v>
      </c>
      <c r="F470" s="1">
        <v>6</v>
      </c>
      <c r="G470" s="1">
        <v>8</v>
      </c>
    </row>
    <row r="471" spans="1:7" x14ac:dyDescent="0.2">
      <c r="A471" s="1" t="s">
        <v>480</v>
      </c>
      <c r="B471" s="1" t="str">
        <f>VLOOKUP(student_skills[[#This Row],[Student_ID]],student_data[],2,0)</f>
        <v>Mechanical</v>
      </c>
      <c r="C471" s="1">
        <v>2</v>
      </c>
      <c r="D471" s="1">
        <v>5</v>
      </c>
      <c r="E471" s="1">
        <v>1</v>
      </c>
      <c r="F471" s="1">
        <v>9</v>
      </c>
      <c r="G471" s="1">
        <v>8</v>
      </c>
    </row>
    <row r="472" spans="1:7" x14ac:dyDescent="0.2">
      <c r="A472" s="1" t="s">
        <v>481</v>
      </c>
      <c r="B472" s="1" t="str">
        <f>VLOOKUP(student_skills[[#This Row],[Student_ID]],student_data[],2,0)</f>
        <v>Computer Science</v>
      </c>
      <c r="C472" s="1">
        <v>3</v>
      </c>
      <c r="D472" s="1">
        <v>10</v>
      </c>
      <c r="E472" s="1">
        <v>2</v>
      </c>
      <c r="F472" s="1">
        <v>1</v>
      </c>
      <c r="G472" s="1">
        <v>3</v>
      </c>
    </row>
    <row r="473" spans="1:7" x14ac:dyDescent="0.2">
      <c r="A473" s="1" t="s">
        <v>482</v>
      </c>
      <c r="B473" s="1" t="str">
        <f>VLOOKUP(student_skills[[#This Row],[Student_ID]],student_data[],2,0)</f>
        <v>Civil</v>
      </c>
      <c r="C473" s="1">
        <v>9</v>
      </c>
      <c r="D473" s="1">
        <v>4</v>
      </c>
      <c r="E473" s="1">
        <v>4</v>
      </c>
      <c r="F473" s="1">
        <v>10</v>
      </c>
      <c r="G473" s="1">
        <v>7</v>
      </c>
    </row>
    <row r="474" spans="1:7" x14ac:dyDescent="0.2">
      <c r="A474" s="1" t="s">
        <v>483</v>
      </c>
      <c r="B474" s="1" t="str">
        <f>VLOOKUP(student_skills[[#This Row],[Student_ID]],student_data[],2,0)</f>
        <v>Electronics</v>
      </c>
      <c r="C474" s="1">
        <v>7</v>
      </c>
      <c r="D474" s="1">
        <v>6</v>
      </c>
      <c r="E474" s="1">
        <v>1</v>
      </c>
      <c r="F474" s="1">
        <v>7</v>
      </c>
      <c r="G474" s="1">
        <v>1</v>
      </c>
    </row>
    <row r="475" spans="1:7" x14ac:dyDescent="0.2">
      <c r="A475" s="1" t="s">
        <v>484</v>
      </c>
      <c r="B475" s="1" t="str">
        <f>VLOOKUP(student_skills[[#This Row],[Student_ID]],student_data[],2,0)</f>
        <v>Information Technology</v>
      </c>
      <c r="C475" s="1">
        <v>4</v>
      </c>
      <c r="D475" s="1">
        <v>7</v>
      </c>
      <c r="E475" s="1">
        <v>9</v>
      </c>
      <c r="F475" s="1">
        <v>10</v>
      </c>
      <c r="G475" s="1">
        <v>1</v>
      </c>
    </row>
    <row r="476" spans="1:7" x14ac:dyDescent="0.2">
      <c r="A476" s="1" t="s">
        <v>485</v>
      </c>
      <c r="B476" s="1" t="str">
        <f>VLOOKUP(student_skills[[#This Row],[Student_ID]],student_data[],2,0)</f>
        <v>Electronics</v>
      </c>
      <c r="C476" s="1">
        <v>10</v>
      </c>
      <c r="D476" s="1">
        <v>5</v>
      </c>
      <c r="E476" s="1">
        <v>6</v>
      </c>
      <c r="F476" s="1">
        <v>9</v>
      </c>
      <c r="G476" s="1">
        <v>7</v>
      </c>
    </row>
    <row r="477" spans="1:7" x14ac:dyDescent="0.2">
      <c r="A477" s="1" t="s">
        <v>486</v>
      </c>
      <c r="B477" s="1" t="str">
        <f>VLOOKUP(student_skills[[#This Row],[Student_ID]],student_data[],2,0)</f>
        <v>Information Technology</v>
      </c>
      <c r="C477" s="1">
        <v>5</v>
      </c>
      <c r="D477" s="1">
        <v>10</v>
      </c>
      <c r="E477" s="1">
        <v>1</v>
      </c>
      <c r="F477" s="1">
        <v>10</v>
      </c>
      <c r="G477" s="1">
        <v>10</v>
      </c>
    </row>
    <row r="478" spans="1:7" x14ac:dyDescent="0.2">
      <c r="A478" s="1" t="s">
        <v>487</v>
      </c>
      <c r="B478" s="1" t="str">
        <f>VLOOKUP(student_skills[[#This Row],[Student_ID]],student_data[],2,0)</f>
        <v>Mechanical</v>
      </c>
      <c r="C478" s="1">
        <v>2</v>
      </c>
      <c r="D478" s="1">
        <v>9</v>
      </c>
      <c r="E478" s="1">
        <v>1</v>
      </c>
      <c r="F478" s="1">
        <v>9</v>
      </c>
      <c r="G478" s="1">
        <v>9</v>
      </c>
    </row>
    <row r="479" spans="1:7" x14ac:dyDescent="0.2">
      <c r="A479" s="1" t="s">
        <v>488</v>
      </c>
      <c r="B479" s="1" t="str">
        <f>VLOOKUP(student_skills[[#This Row],[Student_ID]],student_data[],2,0)</f>
        <v>Information Technology</v>
      </c>
      <c r="C479" s="1">
        <v>8</v>
      </c>
      <c r="D479" s="1">
        <v>3</v>
      </c>
      <c r="E479" s="1">
        <v>6</v>
      </c>
      <c r="F479" s="1">
        <v>10</v>
      </c>
      <c r="G479" s="1">
        <v>7</v>
      </c>
    </row>
    <row r="480" spans="1:7" x14ac:dyDescent="0.2">
      <c r="A480" s="1" t="s">
        <v>489</v>
      </c>
      <c r="B480" s="1" t="str">
        <f>VLOOKUP(student_skills[[#This Row],[Student_ID]],student_data[],2,0)</f>
        <v>Civil</v>
      </c>
      <c r="C480" s="1">
        <v>4</v>
      </c>
      <c r="D480" s="1">
        <v>7</v>
      </c>
      <c r="E480" s="1">
        <v>4</v>
      </c>
      <c r="F480" s="1">
        <v>3</v>
      </c>
      <c r="G480" s="1">
        <v>10</v>
      </c>
    </row>
    <row r="481" spans="1:7" x14ac:dyDescent="0.2">
      <c r="A481" s="1" t="s">
        <v>490</v>
      </c>
      <c r="B481" s="1" t="str">
        <f>VLOOKUP(student_skills[[#This Row],[Student_ID]],student_data[],2,0)</f>
        <v>Computer Science</v>
      </c>
      <c r="C481" s="1">
        <v>9</v>
      </c>
      <c r="D481" s="1">
        <v>10</v>
      </c>
      <c r="E481" s="1">
        <v>4</v>
      </c>
      <c r="F481" s="1">
        <v>5</v>
      </c>
      <c r="G481" s="1">
        <v>5</v>
      </c>
    </row>
    <row r="482" spans="1:7" x14ac:dyDescent="0.2">
      <c r="A482" s="1" t="s">
        <v>491</v>
      </c>
      <c r="B482" s="1" t="str">
        <f>VLOOKUP(student_skills[[#This Row],[Student_ID]],student_data[],2,0)</f>
        <v>Information Technology</v>
      </c>
      <c r="C482" s="1">
        <v>5</v>
      </c>
      <c r="D482" s="1">
        <v>10</v>
      </c>
      <c r="E482" s="1">
        <v>6</v>
      </c>
      <c r="F482" s="1">
        <v>8</v>
      </c>
      <c r="G482" s="1">
        <v>8</v>
      </c>
    </row>
    <row r="483" spans="1:7" x14ac:dyDescent="0.2">
      <c r="A483" s="1" t="s">
        <v>492</v>
      </c>
      <c r="B483" s="1" t="str">
        <f>VLOOKUP(student_skills[[#This Row],[Student_ID]],student_data[],2,0)</f>
        <v>Information Technology</v>
      </c>
      <c r="C483" s="1">
        <v>9</v>
      </c>
      <c r="D483" s="1">
        <v>5</v>
      </c>
      <c r="E483" s="1">
        <v>7</v>
      </c>
      <c r="F483" s="1">
        <v>8</v>
      </c>
      <c r="G483" s="1">
        <v>2</v>
      </c>
    </row>
    <row r="484" spans="1:7" x14ac:dyDescent="0.2">
      <c r="A484" s="1" t="s">
        <v>493</v>
      </c>
      <c r="B484" s="1" t="str">
        <f>VLOOKUP(student_skills[[#This Row],[Student_ID]],student_data[],2,0)</f>
        <v>Computer Science</v>
      </c>
      <c r="C484" s="1">
        <v>4</v>
      </c>
      <c r="D484" s="1">
        <v>7</v>
      </c>
      <c r="E484" s="1">
        <v>9</v>
      </c>
      <c r="F484" s="1">
        <v>4</v>
      </c>
      <c r="G484" s="1">
        <v>9</v>
      </c>
    </row>
    <row r="485" spans="1:7" x14ac:dyDescent="0.2">
      <c r="A485" s="1" t="s">
        <v>494</v>
      </c>
      <c r="B485" s="1" t="str">
        <f>VLOOKUP(student_skills[[#This Row],[Student_ID]],student_data[],2,0)</f>
        <v>Civil</v>
      </c>
      <c r="C485" s="1">
        <v>10</v>
      </c>
      <c r="D485" s="1">
        <v>2</v>
      </c>
      <c r="E485" s="1">
        <v>10</v>
      </c>
      <c r="F485" s="1">
        <v>1</v>
      </c>
      <c r="G485" s="1">
        <v>6</v>
      </c>
    </row>
    <row r="486" spans="1:7" x14ac:dyDescent="0.2">
      <c r="A486" s="1" t="s">
        <v>495</v>
      </c>
      <c r="B486" s="1" t="str">
        <f>VLOOKUP(student_skills[[#This Row],[Student_ID]],student_data[],2,0)</f>
        <v>Electronics</v>
      </c>
      <c r="C486" s="1">
        <v>5</v>
      </c>
      <c r="D486" s="1">
        <v>4</v>
      </c>
      <c r="E486" s="1">
        <v>5</v>
      </c>
      <c r="F486" s="1">
        <v>1</v>
      </c>
      <c r="G486" s="1">
        <v>9</v>
      </c>
    </row>
    <row r="487" spans="1:7" x14ac:dyDescent="0.2">
      <c r="A487" s="1" t="s">
        <v>496</v>
      </c>
      <c r="B487" s="1" t="str">
        <f>VLOOKUP(student_skills[[#This Row],[Student_ID]],student_data[],2,0)</f>
        <v>Information Technology</v>
      </c>
      <c r="C487" s="1">
        <v>9</v>
      </c>
      <c r="D487" s="1">
        <v>2</v>
      </c>
      <c r="E487" s="1">
        <v>9</v>
      </c>
      <c r="F487" s="1">
        <v>4</v>
      </c>
      <c r="G487" s="1">
        <v>2</v>
      </c>
    </row>
    <row r="488" spans="1:7" x14ac:dyDescent="0.2">
      <c r="A488" s="1" t="s">
        <v>497</v>
      </c>
      <c r="B488" s="1" t="str">
        <f>VLOOKUP(student_skills[[#This Row],[Student_ID]],student_data[],2,0)</f>
        <v>Computer Science</v>
      </c>
      <c r="C488" s="1">
        <v>8</v>
      </c>
      <c r="D488" s="1">
        <v>7</v>
      </c>
      <c r="E488" s="1">
        <v>4</v>
      </c>
      <c r="F488" s="1">
        <v>6</v>
      </c>
      <c r="G488" s="1">
        <v>3</v>
      </c>
    </row>
    <row r="489" spans="1:7" x14ac:dyDescent="0.2">
      <c r="A489" s="1" t="s">
        <v>498</v>
      </c>
      <c r="B489" s="1" t="str">
        <f>VLOOKUP(student_skills[[#This Row],[Student_ID]],student_data[],2,0)</f>
        <v>Mechanical</v>
      </c>
      <c r="C489" s="1">
        <v>3</v>
      </c>
      <c r="D489" s="1">
        <v>2</v>
      </c>
      <c r="E489" s="1">
        <v>10</v>
      </c>
      <c r="F489" s="1">
        <v>8</v>
      </c>
      <c r="G489" s="1">
        <v>8</v>
      </c>
    </row>
    <row r="490" spans="1:7" x14ac:dyDescent="0.2">
      <c r="A490" s="1" t="s">
        <v>499</v>
      </c>
      <c r="B490" s="1" t="str">
        <f>VLOOKUP(student_skills[[#This Row],[Student_ID]],student_data[],2,0)</f>
        <v>Computer Science</v>
      </c>
      <c r="C490" s="1">
        <v>1</v>
      </c>
      <c r="D490" s="1">
        <v>1</v>
      </c>
      <c r="E490" s="1">
        <v>2</v>
      </c>
      <c r="F490" s="1">
        <v>6</v>
      </c>
      <c r="G490" s="1">
        <v>1</v>
      </c>
    </row>
    <row r="491" spans="1:7" x14ac:dyDescent="0.2">
      <c r="A491" s="1" t="s">
        <v>500</v>
      </c>
      <c r="B491" s="1" t="str">
        <f>VLOOKUP(student_skills[[#This Row],[Student_ID]],student_data[],2,0)</f>
        <v>Mechanical</v>
      </c>
      <c r="C491" s="1">
        <v>3</v>
      </c>
      <c r="D491" s="1">
        <v>9</v>
      </c>
      <c r="E491" s="1">
        <v>3</v>
      </c>
      <c r="F491" s="1">
        <v>9</v>
      </c>
      <c r="G491" s="1">
        <v>10</v>
      </c>
    </row>
    <row r="492" spans="1:7" x14ac:dyDescent="0.2">
      <c r="A492" s="1" t="s">
        <v>501</v>
      </c>
      <c r="B492" s="1" t="str">
        <f>VLOOKUP(student_skills[[#This Row],[Student_ID]],student_data[],2,0)</f>
        <v>Civil</v>
      </c>
      <c r="C492" s="1">
        <v>4</v>
      </c>
      <c r="D492" s="1">
        <v>1</v>
      </c>
      <c r="E492" s="1">
        <v>1</v>
      </c>
      <c r="F492" s="1">
        <v>9</v>
      </c>
      <c r="G492" s="1">
        <v>7</v>
      </c>
    </row>
    <row r="493" spans="1:7" x14ac:dyDescent="0.2">
      <c r="A493" s="1" t="s">
        <v>502</v>
      </c>
      <c r="B493" s="1" t="str">
        <f>VLOOKUP(student_skills[[#This Row],[Student_ID]],student_data[],2,0)</f>
        <v>Electronics</v>
      </c>
      <c r="C493" s="1">
        <v>2</v>
      </c>
      <c r="D493" s="1">
        <v>8</v>
      </c>
      <c r="E493" s="1">
        <v>6</v>
      </c>
      <c r="F493" s="1">
        <v>2</v>
      </c>
      <c r="G493" s="1">
        <v>7</v>
      </c>
    </row>
    <row r="494" spans="1:7" x14ac:dyDescent="0.2">
      <c r="A494" s="1" t="s">
        <v>503</v>
      </c>
      <c r="B494" s="1" t="str">
        <f>VLOOKUP(student_skills[[#This Row],[Student_ID]],student_data[],2,0)</f>
        <v>Computer Science</v>
      </c>
      <c r="C494" s="1">
        <v>1</v>
      </c>
      <c r="D494" s="1">
        <v>2</v>
      </c>
      <c r="E494" s="1">
        <v>6</v>
      </c>
      <c r="F494" s="1">
        <v>10</v>
      </c>
      <c r="G494" s="1">
        <v>1</v>
      </c>
    </row>
    <row r="495" spans="1:7" x14ac:dyDescent="0.2">
      <c r="A495" s="1" t="s">
        <v>504</v>
      </c>
      <c r="B495" s="1" t="str">
        <f>VLOOKUP(student_skills[[#This Row],[Student_ID]],student_data[],2,0)</f>
        <v>Information Technology</v>
      </c>
      <c r="C495" s="1">
        <v>7</v>
      </c>
      <c r="D495" s="1">
        <v>8</v>
      </c>
      <c r="E495" s="1">
        <v>1</v>
      </c>
      <c r="F495" s="1">
        <v>1</v>
      </c>
      <c r="G495" s="1">
        <v>9</v>
      </c>
    </row>
    <row r="496" spans="1:7" x14ac:dyDescent="0.2">
      <c r="A496" s="1" t="s">
        <v>505</v>
      </c>
      <c r="B496" s="1" t="str">
        <f>VLOOKUP(student_skills[[#This Row],[Student_ID]],student_data[],2,0)</f>
        <v>Civil</v>
      </c>
      <c r="C496" s="1">
        <v>8</v>
      </c>
      <c r="D496" s="1">
        <v>3</v>
      </c>
      <c r="E496" s="1">
        <v>3</v>
      </c>
      <c r="F496" s="1">
        <v>2</v>
      </c>
      <c r="G496" s="1">
        <v>8</v>
      </c>
    </row>
    <row r="497" spans="1:7" x14ac:dyDescent="0.2">
      <c r="A497" s="1" t="s">
        <v>506</v>
      </c>
      <c r="B497" s="1" t="str">
        <f>VLOOKUP(student_skills[[#This Row],[Student_ID]],student_data[],2,0)</f>
        <v>Computer Science</v>
      </c>
      <c r="C497" s="1">
        <v>7</v>
      </c>
      <c r="D497" s="1">
        <v>6</v>
      </c>
      <c r="E497" s="1">
        <v>5</v>
      </c>
      <c r="F497" s="1">
        <v>5</v>
      </c>
      <c r="G497" s="1">
        <v>4</v>
      </c>
    </row>
    <row r="498" spans="1:7" x14ac:dyDescent="0.2">
      <c r="A498" s="1" t="s">
        <v>507</v>
      </c>
      <c r="B498" s="1" t="str">
        <f>VLOOKUP(student_skills[[#This Row],[Student_ID]],student_data[],2,0)</f>
        <v>Information Technology</v>
      </c>
      <c r="C498" s="1">
        <v>5</v>
      </c>
      <c r="D498" s="1">
        <v>3</v>
      </c>
      <c r="E498" s="1">
        <v>3</v>
      </c>
      <c r="F498" s="1">
        <v>4</v>
      </c>
      <c r="G498" s="1">
        <v>10</v>
      </c>
    </row>
    <row r="499" spans="1:7" x14ac:dyDescent="0.2">
      <c r="A499" s="1" t="s">
        <v>508</v>
      </c>
      <c r="B499" s="1" t="str">
        <f>VLOOKUP(student_skills[[#This Row],[Student_ID]],student_data[],2,0)</f>
        <v>Computer Science</v>
      </c>
      <c r="C499" s="1">
        <v>1</v>
      </c>
      <c r="D499" s="1">
        <v>7</v>
      </c>
      <c r="E499" s="1">
        <v>10</v>
      </c>
      <c r="F499" s="1">
        <v>4</v>
      </c>
      <c r="G499" s="1">
        <v>5</v>
      </c>
    </row>
    <row r="500" spans="1:7" x14ac:dyDescent="0.2">
      <c r="A500" s="1" t="s">
        <v>509</v>
      </c>
      <c r="B500" s="1" t="str">
        <f>VLOOKUP(student_skills[[#This Row],[Student_ID]],student_data[],2,0)</f>
        <v>Mechanical</v>
      </c>
      <c r="C500" s="1">
        <v>7</v>
      </c>
      <c r="D500" s="1">
        <v>10</v>
      </c>
      <c r="E500" s="1">
        <v>3</v>
      </c>
      <c r="F500" s="1">
        <v>9</v>
      </c>
      <c r="G500" s="1">
        <v>2</v>
      </c>
    </row>
    <row r="501" spans="1:7" x14ac:dyDescent="0.2">
      <c r="A501" s="1" t="s">
        <v>510</v>
      </c>
      <c r="B501" s="1" t="str">
        <f>VLOOKUP(student_skills[[#This Row],[Student_ID]],student_data[],2,0)</f>
        <v>Computer Science</v>
      </c>
      <c r="C501" s="1">
        <v>7</v>
      </c>
      <c r="D501" s="1">
        <v>9</v>
      </c>
      <c r="E501" s="1">
        <v>10</v>
      </c>
      <c r="F501" s="1">
        <v>8</v>
      </c>
      <c r="G501" s="1">
        <v>9</v>
      </c>
    </row>
    <row r="502" spans="1:7" x14ac:dyDescent="0.2">
      <c r="A502" s="1" t="s">
        <v>511</v>
      </c>
      <c r="B502" s="1" t="str">
        <f>VLOOKUP(student_skills[[#This Row],[Student_ID]],student_data[],2,0)</f>
        <v>Computer Science</v>
      </c>
      <c r="C502" s="1">
        <v>9</v>
      </c>
      <c r="D502" s="1">
        <v>2</v>
      </c>
      <c r="E502" s="1">
        <v>3</v>
      </c>
      <c r="F502" s="1">
        <v>6</v>
      </c>
      <c r="G502" s="1">
        <v>6</v>
      </c>
    </row>
    <row r="503" spans="1:7" x14ac:dyDescent="0.2">
      <c r="A503" s="1" t="s">
        <v>512</v>
      </c>
      <c r="B503" s="1" t="str">
        <f>VLOOKUP(student_skills[[#This Row],[Student_ID]],student_data[],2,0)</f>
        <v>Computer Science</v>
      </c>
      <c r="C503" s="1">
        <v>3</v>
      </c>
      <c r="D503" s="1">
        <v>5</v>
      </c>
      <c r="E503" s="1">
        <v>5</v>
      </c>
      <c r="F503" s="1">
        <v>1</v>
      </c>
      <c r="G503" s="1">
        <v>3</v>
      </c>
    </row>
    <row r="504" spans="1:7" x14ac:dyDescent="0.2">
      <c r="A504" s="1" t="s">
        <v>513</v>
      </c>
      <c r="B504" s="1" t="str">
        <f>VLOOKUP(student_skills[[#This Row],[Student_ID]],student_data[],2,0)</f>
        <v>Civil</v>
      </c>
      <c r="C504" s="1">
        <v>9</v>
      </c>
      <c r="D504" s="1">
        <v>6</v>
      </c>
      <c r="E504" s="1">
        <v>5</v>
      </c>
      <c r="F504" s="1">
        <v>2</v>
      </c>
      <c r="G504" s="1">
        <v>7</v>
      </c>
    </row>
    <row r="505" spans="1:7" x14ac:dyDescent="0.2">
      <c r="A505" s="1" t="s">
        <v>514</v>
      </c>
      <c r="B505" s="1" t="str">
        <f>VLOOKUP(student_skills[[#This Row],[Student_ID]],student_data[],2,0)</f>
        <v>Computer Science</v>
      </c>
      <c r="C505" s="1">
        <v>1</v>
      </c>
      <c r="D505" s="1">
        <v>4</v>
      </c>
      <c r="E505" s="1">
        <v>4</v>
      </c>
      <c r="F505" s="1">
        <v>6</v>
      </c>
      <c r="G505" s="1">
        <v>9</v>
      </c>
    </row>
    <row r="506" spans="1:7" x14ac:dyDescent="0.2">
      <c r="A506" s="1" t="s">
        <v>515</v>
      </c>
      <c r="B506" s="1" t="str">
        <f>VLOOKUP(student_skills[[#This Row],[Student_ID]],student_data[],2,0)</f>
        <v>Information Technology</v>
      </c>
      <c r="C506" s="1">
        <v>1</v>
      </c>
      <c r="D506" s="1">
        <v>4</v>
      </c>
      <c r="E506" s="1">
        <v>1</v>
      </c>
      <c r="F506" s="1">
        <v>2</v>
      </c>
      <c r="G506" s="1">
        <v>3</v>
      </c>
    </row>
    <row r="507" spans="1:7" x14ac:dyDescent="0.2">
      <c r="A507" s="1" t="s">
        <v>516</v>
      </c>
      <c r="B507" s="1" t="str">
        <f>VLOOKUP(student_skills[[#This Row],[Student_ID]],student_data[],2,0)</f>
        <v>Mechanical</v>
      </c>
      <c r="C507" s="1">
        <v>4</v>
      </c>
      <c r="D507" s="1">
        <v>4</v>
      </c>
      <c r="E507" s="1">
        <v>5</v>
      </c>
      <c r="F507" s="1">
        <v>10</v>
      </c>
      <c r="G507" s="1">
        <v>2</v>
      </c>
    </row>
    <row r="508" spans="1:7" x14ac:dyDescent="0.2">
      <c r="A508" s="1" t="s">
        <v>517</v>
      </c>
      <c r="B508" s="1" t="str">
        <f>VLOOKUP(student_skills[[#This Row],[Student_ID]],student_data[],2,0)</f>
        <v>Mechanical</v>
      </c>
      <c r="C508" s="1">
        <v>9</v>
      </c>
      <c r="D508" s="1">
        <v>2</v>
      </c>
      <c r="E508" s="1">
        <v>10</v>
      </c>
      <c r="F508" s="1">
        <v>5</v>
      </c>
      <c r="G508" s="1">
        <v>7</v>
      </c>
    </row>
    <row r="509" spans="1:7" x14ac:dyDescent="0.2">
      <c r="A509" s="1" t="s">
        <v>518</v>
      </c>
      <c r="B509" s="1" t="str">
        <f>VLOOKUP(student_skills[[#This Row],[Student_ID]],student_data[],2,0)</f>
        <v>Computer Science</v>
      </c>
      <c r="C509" s="1">
        <v>6</v>
      </c>
      <c r="D509" s="1">
        <v>4</v>
      </c>
      <c r="E509" s="1">
        <v>5</v>
      </c>
      <c r="F509" s="1">
        <v>5</v>
      </c>
      <c r="G509" s="1">
        <v>7</v>
      </c>
    </row>
    <row r="510" spans="1:7" x14ac:dyDescent="0.2">
      <c r="A510" s="1" t="s">
        <v>519</v>
      </c>
      <c r="B510" s="1" t="str">
        <f>VLOOKUP(student_skills[[#This Row],[Student_ID]],student_data[],2,0)</f>
        <v>Civil</v>
      </c>
      <c r="C510" s="1">
        <v>3</v>
      </c>
      <c r="D510" s="1">
        <v>1</v>
      </c>
      <c r="E510" s="1">
        <v>4</v>
      </c>
      <c r="F510" s="1">
        <v>6</v>
      </c>
      <c r="G510" s="1">
        <v>4</v>
      </c>
    </row>
    <row r="511" spans="1:7" x14ac:dyDescent="0.2">
      <c r="A511" s="1" t="s">
        <v>520</v>
      </c>
      <c r="B511" s="1" t="str">
        <f>VLOOKUP(student_skills[[#This Row],[Student_ID]],student_data[],2,0)</f>
        <v>Civil</v>
      </c>
      <c r="C511" s="1">
        <v>1</v>
      </c>
      <c r="D511" s="1">
        <v>6</v>
      </c>
      <c r="E511" s="1">
        <v>6</v>
      </c>
      <c r="F511" s="1">
        <v>6</v>
      </c>
      <c r="G511" s="1">
        <v>9</v>
      </c>
    </row>
    <row r="512" spans="1:7" x14ac:dyDescent="0.2">
      <c r="A512" s="1" t="s">
        <v>521</v>
      </c>
      <c r="B512" s="1" t="str">
        <f>VLOOKUP(student_skills[[#This Row],[Student_ID]],student_data[],2,0)</f>
        <v>Information Technology</v>
      </c>
      <c r="C512" s="1">
        <v>4</v>
      </c>
      <c r="D512" s="1">
        <v>1</v>
      </c>
      <c r="E512" s="1">
        <v>10</v>
      </c>
      <c r="F512" s="1">
        <v>6</v>
      </c>
      <c r="G512" s="1">
        <v>8</v>
      </c>
    </row>
    <row r="513" spans="1:7" x14ac:dyDescent="0.2">
      <c r="A513" s="1" t="s">
        <v>522</v>
      </c>
      <c r="B513" s="1" t="str">
        <f>VLOOKUP(student_skills[[#This Row],[Student_ID]],student_data[],2,0)</f>
        <v>Computer Science</v>
      </c>
      <c r="C513" s="1">
        <v>9</v>
      </c>
      <c r="D513" s="1">
        <v>10</v>
      </c>
      <c r="E513" s="1">
        <v>4</v>
      </c>
      <c r="F513" s="1">
        <v>2</v>
      </c>
      <c r="G513" s="1">
        <v>1</v>
      </c>
    </row>
    <row r="514" spans="1:7" x14ac:dyDescent="0.2">
      <c r="A514" s="1" t="s">
        <v>523</v>
      </c>
      <c r="B514" s="1" t="str">
        <f>VLOOKUP(student_skills[[#This Row],[Student_ID]],student_data[],2,0)</f>
        <v>Mechanical</v>
      </c>
      <c r="C514" s="1">
        <v>3</v>
      </c>
      <c r="D514" s="1">
        <v>6</v>
      </c>
      <c r="E514" s="1">
        <v>7</v>
      </c>
      <c r="F514" s="1">
        <v>10</v>
      </c>
      <c r="G514" s="1">
        <v>1</v>
      </c>
    </row>
    <row r="515" spans="1:7" x14ac:dyDescent="0.2">
      <c r="A515" s="1" t="s">
        <v>524</v>
      </c>
      <c r="B515" s="1" t="str">
        <f>VLOOKUP(student_skills[[#This Row],[Student_ID]],student_data[],2,0)</f>
        <v>Civil</v>
      </c>
      <c r="C515" s="1">
        <v>9</v>
      </c>
      <c r="D515" s="1">
        <v>1</v>
      </c>
      <c r="E515" s="1">
        <v>7</v>
      </c>
      <c r="F515" s="1">
        <v>3</v>
      </c>
      <c r="G515" s="1">
        <v>5</v>
      </c>
    </row>
    <row r="516" spans="1:7" x14ac:dyDescent="0.2">
      <c r="A516" s="1" t="s">
        <v>525</v>
      </c>
      <c r="B516" s="1" t="str">
        <f>VLOOKUP(student_skills[[#This Row],[Student_ID]],student_data[],2,0)</f>
        <v>Computer Science</v>
      </c>
      <c r="C516" s="1">
        <v>7</v>
      </c>
      <c r="D516" s="1">
        <v>6</v>
      </c>
      <c r="E516" s="1">
        <v>2</v>
      </c>
      <c r="F516" s="1">
        <v>6</v>
      </c>
      <c r="G516" s="1">
        <v>6</v>
      </c>
    </row>
    <row r="517" spans="1:7" x14ac:dyDescent="0.2">
      <c r="A517" s="1" t="s">
        <v>526</v>
      </c>
      <c r="B517" s="1" t="str">
        <f>VLOOKUP(student_skills[[#This Row],[Student_ID]],student_data[],2,0)</f>
        <v>Civil</v>
      </c>
      <c r="C517" s="1">
        <v>4</v>
      </c>
      <c r="D517" s="1">
        <v>10</v>
      </c>
      <c r="E517" s="1">
        <v>3</v>
      </c>
      <c r="F517" s="1">
        <v>8</v>
      </c>
      <c r="G517" s="1">
        <v>3</v>
      </c>
    </row>
    <row r="518" spans="1:7" x14ac:dyDescent="0.2">
      <c r="A518" s="1" t="s">
        <v>527</v>
      </c>
      <c r="B518" s="1" t="str">
        <f>VLOOKUP(student_skills[[#This Row],[Student_ID]],student_data[],2,0)</f>
        <v>Civil</v>
      </c>
      <c r="C518" s="1">
        <v>3</v>
      </c>
      <c r="D518" s="1">
        <v>8</v>
      </c>
      <c r="E518" s="1">
        <v>1</v>
      </c>
      <c r="F518" s="1">
        <v>1</v>
      </c>
      <c r="G518" s="1">
        <v>9</v>
      </c>
    </row>
    <row r="519" spans="1:7" x14ac:dyDescent="0.2">
      <c r="A519" s="1" t="s">
        <v>528</v>
      </c>
      <c r="B519" s="1" t="str">
        <f>VLOOKUP(student_skills[[#This Row],[Student_ID]],student_data[],2,0)</f>
        <v>Mechanical</v>
      </c>
      <c r="C519" s="1">
        <v>10</v>
      </c>
      <c r="D519" s="1">
        <v>2</v>
      </c>
      <c r="E519" s="1">
        <v>8</v>
      </c>
      <c r="F519" s="1">
        <v>1</v>
      </c>
      <c r="G519" s="1">
        <v>10</v>
      </c>
    </row>
    <row r="520" spans="1:7" x14ac:dyDescent="0.2">
      <c r="A520" s="1" t="s">
        <v>529</v>
      </c>
      <c r="B520" s="1" t="str">
        <f>VLOOKUP(student_skills[[#This Row],[Student_ID]],student_data[],2,0)</f>
        <v>Electronics</v>
      </c>
      <c r="C520" s="1">
        <v>5</v>
      </c>
      <c r="D520" s="1">
        <v>2</v>
      </c>
      <c r="E520" s="1">
        <v>9</v>
      </c>
      <c r="F520" s="1">
        <v>2</v>
      </c>
      <c r="G520" s="1">
        <v>6</v>
      </c>
    </row>
    <row r="521" spans="1:7" x14ac:dyDescent="0.2">
      <c r="A521" s="1" t="s">
        <v>530</v>
      </c>
      <c r="B521" s="1" t="str">
        <f>VLOOKUP(student_skills[[#This Row],[Student_ID]],student_data[],2,0)</f>
        <v>Information Technology</v>
      </c>
      <c r="C521" s="1">
        <v>5</v>
      </c>
      <c r="D521" s="1">
        <v>4</v>
      </c>
      <c r="E521" s="1">
        <v>4</v>
      </c>
      <c r="F521" s="1">
        <v>6</v>
      </c>
      <c r="G521" s="1">
        <v>4</v>
      </c>
    </row>
    <row r="522" spans="1:7" x14ac:dyDescent="0.2">
      <c r="A522" s="1" t="s">
        <v>531</v>
      </c>
      <c r="B522" s="1" t="str">
        <f>VLOOKUP(student_skills[[#This Row],[Student_ID]],student_data[],2,0)</f>
        <v>Information Technology</v>
      </c>
      <c r="C522" s="1">
        <v>3</v>
      </c>
      <c r="D522" s="1">
        <v>3</v>
      </c>
      <c r="E522" s="1">
        <v>6</v>
      </c>
      <c r="F522" s="1">
        <v>9</v>
      </c>
      <c r="G522" s="1">
        <v>7</v>
      </c>
    </row>
    <row r="523" spans="1:7" x14ac:dyDescent="0.2">
      <c r="A523" s="1" t="s">
        <v>532</v>
      </c>
      <c r="B523" s="1" t="str">
        <f>VLOOKUP(student_skills[[#This Row],[Student_ID]],student_data[],2,0)</f>
        <v>Mechanical</v>
      </c>
      <c r="C523" s="1">
        <v>9</v>
      </c>
      <c r="D523" s="1">
        <v>4</v>
      </c>
      <c r="E523" s="1">
        <v>9</v>
      </c>
      <c r="F523" s="1">
        <v>4</v>
      </c>
      <c r="G523" s="1">
        <v>8</v>
      </c>
    </row>
    <row r="524" spans="1:7" x14ac:dyDescent="0.2">
      <c r="A524" s="1" t="s">
        <v>533</v>
      </c>
      <c r="B524" s="1" t="str">
        <f>VLOOKUP(student_skills[[#This Row],[Student_ID]],student_data[],2,0)</f>
        <v>Civil</v>
      </c>
      <c r="C524" s="1">
        <v>4</v>
      </c>
      <c r="D524" s="1">
        <v>7</v>
      </c>
      <c r="E524" s="1">
        <v>6</v>
      </c>
      <c r="F524" s="1">
        <v>3</v>
      </c>
      <c r="G524" s="1">
        <v>9</v>
      </c>
    </row>
    <row r="525" spans="1:7" x14ac:dyDescent="0.2">
      <c r="A525" s="1" t="s">
        <v>534</v>
      </c>
      <c r="B525" s="1" t="str">
        <f>VLOOKUP(student_skills[[#This Row],[Student_ID]],student_data[],2,0)</f>
        <v>Computer Science</v>
      </c>
      <c r="C525" s="1">
        <v>5</v>
      </c>
      <c r="D525" s="1">
        <v>1</v>
      </c>
      <c r="E525" s="1">
        <v>9</v>
      </c>
      <c r="F525" s="1">
        <v>8</v>
      </c>
      <c r="G525" s="1">
        <v>6</v>
      </c>
    </row>
    <row r="526" spans="1:7" x14ac:dyDescent="0.2">
      <c r="A526" s="1" t="s">
        <v>535</v>
      </c>
      <c r="B526" s="1" t="str">
        <f>VLOOKUP(student_skills[[#This Row],[Student_ID]],student_data[],2,0)</f>
        <v>Civil</v>
      </c>
      <c r="C526" s="1">
        <v>4</v>
      </c>
      <c r="D526" s="1">
        <v>6</v>
      </c>
      <c r="E526" s="1">
        <v>4</v>
      </c>
      <c r="F526" s="1">
        <v>10</v>
      </c>
      <c r="G526" s="1">
        <v>6</v>
      </c>
    </row>
    <row r="527" spans="1:7" x14ac:dyDescent="0.2">
      <c r="A527" s="1" t="s">
        <v>536</v>
      </c>
      <c r="B527" s="1" t="str">
        <f>VLOOKUP(student_skills[[#This Row],[Student_ID]],student_data[],2,0)</f>
        <v>Mechanical</v>
      </c>
      <c r="C527" s="1">
        <v>5</v>
      </c>
      <c r="D527" s="1">
        <v>3</v>
      </c>
      <c r="E527" s="1">
        <v>8</v>
      </c>
      <c r="F527" s="1">
        <v>9</v>
      </c>
      <c r="G527" s="1">
        <v>8</v>
      </c>
    </row>
    <row r="528" spans="1:7" x14ac:dyDescent="0.2">
      <c r="A528" s="1" t="s">
        <v>537</v>
      </c>
      <c r="B528" s="1" t="str">
        <f>VLOOKUP(student_skills[[#This Row],[Student_ID]],student_data[],2,0)</f>
        <v>Information Technology</v>
      </c>
      <c r="C528" s="1">
        <v>7</v>
      </c>
      <c r="D528" s="1">
        <v>10</v>
      </c>
      <c r="E528" s="1">
        <v>9</v>
      </c>
      <c r="F528" s="1">
        <v>5</v>
      </c>
      <c r="G528" s="1">
        <v>5</v>
      </c>
    </row>
    <row r="529" spans="1:7" x14ac:dyDescent="0.2">
      <c r="A529" s="1" t="s">
        <v>538</v>
      </c>
      <c r="B529" s="1" t="str">
        <f>VLOOKUP(student_skills[[#This Row],[Student_ID]],student_data[],2,0)</f>
        <v>Civil</v>
      </c>
      <c r="C529" s="1">
        <v>9</v>
      </c>
      <c r="D529" s="1">
        <v>7</v>
      </c>
      <c r="E529" s="1">
        <v>4</v>
      </c>
      <c r="F529" s="1">
        <v>9</v>
      </c>
      <c r="G529" s="1">
        <v>3</v>
      </c>
    </row>
    <row r="530" spans="1:7" x14ac:dyDescent="0.2">
      <c r="A530" s="1" t="s">
        <v>539</v>
      </c>
      <c r="B530" s="1" t="str">
        <f>VLOOKUP(student_skills[[#This Row],[Student_ID]],student_data[],2,0)</f>
        <v>Information Technology</v>
      </c>
      <c r="C530" s="1">
        <v>7</v>
      </c>
      <c r="D530" s="1">
        <v>10</v>
      </c>
      <c r="E530" s="1">
        <v>5</v>
      </c>
      <c r="F530" s="1">
        <v>2</v>
      </c>
      <c r="G530" s="1">
        <v>3</v>
      </c>
    </row>
    <row r="531" spans="1:7" x14ac:dyDescent="0.2">
      <c r="A531" s="1" t="s">
        <v>540</v>
      </c>
      <c r="B531" s="1" t="str">
        <f>VLOOKUP(student_skills[[#This Row],[Student_ID]],student_data[],2,0)</f>
        <v>Computer Science</v>
      </c>
      <c r="C531" s="1">
        <v>5</v>
      </c>
      <c r="D531" s="1">
        <v>2</v>
      </c>
      <c r="E531" s="1">
        <v>8</v>
      </c>
      <c r="F531" s="1">
        <v>3</v>
      </c>
      <c r="G531" s="1">
        <v>6</v>
      </c>
    </row>
    <row r="532" spans="1:7" x14ac:dyDescent="0.2">
      <c r="A532" s="1" t="s">
        <v>541</v>
      </c>
      <c r="B532" s="1" t="str">
        <f>VLOOKUP(student_skills[[#This Row],[Student_ID]],student_data[],2,0)</f>
        <v>Information Technology</v>
      </c>
      <c r="C532" s="1">
        <v>10</v>
      </c>
      <c r="D532" s="1">
        <v>2</v>
      </c>
      <c r="E532" s="1">
        <v>10</v>
      </c>
      <c r="F532" s="1">
        <v>7</v>
      </c>
      <c r="G532" s="1">
        <v>2</v>
      </c>
    </row>
    <row r="533" spans="1:7" x14ac:dyDescent="0.2">
      <c r="A533" s="1" t="s">
        <v>542</v>
      </c>
      <c r="B533" s="1" t="str">
        <f>VLOOKUP(student_skills[[#This Row],[Student_ID]],student_data[],2,0)</f>
        <v>Information Technology</v>
      </c>
      <c r="C533" s="1">
        <v>10</v>
      </c>
      <c r="D533" s="1">
        <v>4</v>
      </c>
      <c r="E533" s="1">
        <v>6</v>
      </c>
      <c r="F533" s="1">
        <v>7</v>
      </c>
      <c r="G533" s="1">
        <v>6</v>
      </c>
    </row>
    <row r="534" spans="1:7" x14ac:dyDescent="0.2">
      <c r="A534" s="1" t="s">
        <v>543</v>
      </c>
      <c r="B534" s="1" t="str">
        <f>VLOOKUP(student_skills[[#This Row],[Student_ID]],student_data[],2,0)</f>
        <v>Electronics</v>
      </c>
      <c r="C534" s="1">
        <v>7</v>
      </c>
      <c r="D534" s="1">
        <v>1</v>
      </c>
      <c r="E534" s="1">
        <v>7</v>
      </c>
      <c r="F534" s="1">
        <v>6</v>
      </c>
      <c r="G534" s="1">
        <v>6</v>
      </c>
    </row>
    <row r="535" spans="1:7" x14ac:dyDescent="0.2">
      <c r="A535" s="1" t="s">
        <v>544</v>
      </c>
      <c r="B535" s="1" t="str">
        <f>VLOOKUP(student_skills[[#This Row],[Student_ID]],student_data[],2,0)</f>
        <v>Electronics</v>
      </c>
      <c r="C535" s="1">
        <v>10</v>
      </c>
      <c r="D535" s="1">
        <v>3</v>
      </c>
      <c r="E535" s="1">
        <v>3</v>
      </c>
      <c r="F535" s="1">
        <v>6</v>
      </c>
      <c r="G535" s="1">
        <v>8</v>
      </c>
    </row>
    <row r="536" spans="1:7" x14ac:dyDescent="0.2">
      <c r="A536" s="1" t="s">
        <v>545</v>
      </c>
      <c r="B536" s="1" t="str">
        <f>VLOOKUP(student_skills[[#This Row],[Student_ID]],student_data[],2,0)</f>
        <v>Electronics</v>
      </c>
      <c r="C536" s="1">
        <v>5</v>
      </c>
      <c r="D536" s="1">
        <v>9</v>
      </c>
      <c r="E536" s="1">
        <v>7</v>
      </c>
      <c r="F536" s="1">
        <v>2</v>
      </c>
      <c r="G536" s="1">
        <v>7</v>
      </c>
    </row>
    <row r="537" spans="1:7" x14ac:dyDescent="0.2">
      <c r="A537" s="1" t="s">
        <v>546</v>
      </c>
      <c r="B537" s="1" t="str">
        <f>VLOOKUP(student_skills[[#This Row],[Student_ID]],student_data[],2,0)</f>
        <v>Information Technology</v>
      </c>
      <c r="C537" s="1">
        <v>3</v>
      </c>
      <c r="D537" s="1">
        <v>7</v>
      </c>
      <c r="E537" s="1">
        <v>8</v>
      </c>
      <c r="F537" s="1">
        <v>10</v>
      </c>
      <c r="G537" s="1">
        <v>8</v>
      </c>
    </row>
    <row r="538" spans="1:7" x14ac:dyDescent="0.2">
      <c r="A538" s="1" t="s">
        <v>547</v>
      </c>
      <c r="B538" s="1" t="str">
        <f>VLOOKUP(student_skills[[#This Row],[Student_ID]],student_data[],2,0)</f>
        <v>Mechanical</v>
      </c>
      <c r="C538" s="1">
        <v>7</v>
      </c>
      <c r="D538" s="1">
        <v>7</v>
      </c>
      <c r="E538" s="1">
        <v>10</v>
      </c>
      <c r="F538" s="1">
        <v>6</v>
      </c>
      <c r="G538" s="1">
        <v>9</v>
      </c>
    </row>
    <row r="539" spans="1:7" x14ac:dyDescent="0.2">
      <c r="A539" s="1" t="s">
        <v>548</v>
      </c>
      <c r="B539" s="1" t="str">
        <f>VLOOKUP(student_skills[[#This Row],[Student_ID]],student_data[],2,0)</f>
        <v>Information Technology</v>
      </c>
      <c r="C539" s="1">
        <v>2</v>
      </c>
      <c r="D539" s="1">
        <v>4</v>
      </c>
      <c r="E539" s="1">
        <v>6</v>
      </c>
      <c r="F539" s="1">
        <v>4</v>
      </c>
      <c r="G539" s="1">
        <v>6</v>
      </c>
    </row>
    <row r="540" spans="1:7" x14ac:dyDescent="0.2">
      <c r="A540" s="1" t="s">
        <v>549</v>
      </c>
      <c r="B540" s="1" t="str">
        <f>VLOOKUP(student_skills[[#This Row],[Student_ID]],student_data[],2,0)</f>
        <v>Mechanical</v>
      </c>
      <c r="C540" s="1">
        <v>9</v>
      </c>
      <c r="D540" s="1">
        <v>2</v>
      </c>
      <c r="E540" s="1">
        <v>10</v>
      </c>
      <c r="F540" s="1">
        <v>3</v>
      </c>
      <c r="G540" s="1">
        <v>3</v>
      </c>
    </row>
    <row r="541" spans="1:7" x14ac:dyDescent="0.2">
      <c r="A541" s="1" t="s">
        <v>550</v>
      </c>
      <c r="B541" s="1" t="str">
        <f>VLOOKUP(student_skills[[#This Row],[Student_ID]],student_data[],2,0)</f>
        <v>Mechanical</v>
      </c>
      <c r="C541" s="1">
        <v>10</v>
      </c>
      <c r="D541" s="1">
        <v>4</v>
      </c>
      <c r="E541" s="1">
        <v>9</v>
      </c>
      <c r="F541" s="1">
        <v>2</v>
      </c>
      <c r="G541" s="1">
        <v>10</v>
      </c>
    </row>
    <row r="542" spans="1:7" x14ac:dyDescent="0.2">
      <c r="A542" s="1" t="s">
        <v>551</v>
      </c>
      <c r="B542" s="1" t="str">
        <f>VLOOKUP(student_skills[[#This Row],[Student_ID]],student_data[],2,0)</f>
        <v>Electronics</v>
      </c>
      <c r="C542" s="1">
        <v>10</v>
      </c>
      <c r="D542" s="1">
        <v>6</v>
      </c>
      <c r="E542" s="1">
        <v>6</v>
      </c>
      <c r="F542" s="1">
        <v>1</v>
      </c>
      <c r="G542" s="1">
        <v>3</v>
      </c>
    </row>
    <row r="543" spans="1:7" x14ac:dyDescent="0.2">
      <c r="A543" s="1" t="s">
        <v>552</v>
      </c>
      <c r="B543" s="1" t="str">
        <f>VLOOKUP(student_skills[[#This Row],[Student_ID]],student_data[],2,0)</f>
        <v>Civil</v>
      </c>
      <c r="C543" s="1">
        <v>1</v>
      </c>
      <c r="D543" s="1">
        <v>3</v>
      </c>
      <c r="E543" s="1">
        <v>9</v>
      </c>
      <c r="F543" s="1">
        <v>5</v>
      </c>
      <c r="G543" s="1">
        <v>1</v>
      </c>
    </row>
    <row r="544" spans="1:7" x14ac:dyDescent="0.2">
      <c r="A544" s="1" t="s">
        <v>553</v>
      </c>
      <c r="B544" s="1" t="str">
        <f>VLOOKUP(student_skills[[#This Row],[Student_ID]],student_data[],2,0)</f>
        <v>Computer Science</v>
      </c>
      <c r="C544" s="1">
        <v>6</v>
      </c>
      <c r="D544" s="1">
        <v>1</v>
      </c>
      <c r="E544" s="1">
        <v>4</v>
      </c>
      <c r="F544" s="1">
        <v>2</v>
      </c>
      <c r="G544" s="1">
        <v>5</v>
      </c>
    </row>
    <row r="545" spans="1:7" x14ac:dyDescent="0.2">
      <c r="A545" s="1" t="s">
        <v>554</v>
      </c>
      <c r="B545" s="1" t="str">
        <f>VLOOKUP(student_skills[[#This Row],[Student_ID]],student_data[],2,0)</f>
        <v>Electronics</v>
      </c>
      <c r="C545" s="1">
        <v>7</v>
      </c>
      <c r="D545" s="1">
        <v>8</v>
      </c>
      <c r="E545" s="1">
        <v>8</v>
      </c>
      <c r="F545" s="1">
        <v>2</v>
      </c>
      <c r="G545" s="1">
        <v>4</v>
      </c>
    </row>
    <row r="546" spans="1:7" x14ac:dyDescent="0.2">
      <c r="A546" s="1" t="s">
        <v>555</v>
      </c>
      <c r="B546" s="1" t="str">
        <f>VLOOKUP(student_skills[[#This Row],[Student_ID]],student_data[],2,0)</f>
        <v>Electronics</v>
      </c>
      <c r="C546" s="1">
        <v>8</v>
      </c>
      <c r="D546" s="1">
        <v>5</v>
      </c>
      <c r="E546" s="1">
        <v>4</v>
      </c>
      <c r="F546" s="1">
        <v>7</v>
      </c>
      <c r="G546" s="1">
        <v>9</v>
      </c>
    </row>
    <row r="547" spans="1:7" x14ac:dyDescent="0.2">
      <c r="A547" s="1" t="s">
        <v>556</v>
      </c>
      <c r="B547" s="1" t="str">
        <f>VLOOKUP(student_skills[[#This Row],[Student_ID]],student_data[],2,0)</f>
        <v>Civil</v>
      </c>
      <c r="C547" s="1">
        <v>10</v>
      </c>
      <c r="D547" s="1">
        <v>5</v>
      </c>
      <c r="E547" s="1">
        <v>2</v>
      </c>
      <c r="F547" s="1">
        <v>8</v>
      </c>
      <c r="G547" s="1">
        <v>9</v>
      </c>
    </row>
    <row r="548" spans="1:7" x14ac:dyDescent="0.2">
      <c r="A548" s="1" t="s">
        <v>557</v>
      </c>
      <c r="B548" s="1" t="str">
        <f>VLOOKUP(student_skills[[#This Row],[Student_ID]],student_data[],2,0)</f>
        <v>Computer Science</v>
      </c>
      <c r="C548" s="1">
        <v>9</v>
      </c>
      <c r="D548" s="1">
        <v>4</v>
      </c>
      <c r="E548" s="1">
        <v>10</v>
      </c>
      <c r="F548" s="1">
        <v>10</v>
      </c>
      <c r="G548" s="1">
        <v>5</v>
      </c>
    </row>
    <row r="549" spans="1:7" x14ac:dyDescent="0.2">
      <c r="A549" s="1" t="s">
        <v>558</v>
      </c>
      <c r="B549" s="1" t="str">
        <f>VLOOKUP(student_skills[[#This Row],[Student_ID]],student_data[],2,0)</f>
        <v>Information Technology</v>
      </c>
      <c r="C549" s="1">
        <v>2</v>
      </c>
      <c r="D549" s="1">
        <v>6</v>
      </c>
      <c r="E549" s="1">
        <v>9</v>
      </c>
      <c r="F549" s="1">
        <v>8</v>
      </c>
      <c r="G549" s="1">
        <v>10</v>
      </c>
    </row>
    <row r="550" spans="1:7" x14ac:dyDescent="0.2">
      <c r="A550" s="1" t="s">
        <v>559</v>
      </c>
      <c r="B550" s="1" t="str">
        <f>VLOOKUP(student_skills[[#This Row],[Student_ID]],student_data[],2,0)</f>
        <v>Information Technology</v>
      </c>
      <c r="C550" s="1">
        <v>10</v>
      </c>
      <c r="D550" s="1">
        <v>3</v>
      </c>
      <c r="E550" s="1">
        <v>5</v>
      </c>
      <c r="F550" s="1">
        <v>4</v>
      </c>
      <c r="G550" s="1">
        <v>4</v>
      </c>
    </row>
    <row r="551" spans="1:7" x14ac:dyDescent="0.2">
      <c r="A551" s="1" t="s">
        <v>560</v>
      </c>
      <c r="B551" s="1" t="str">
        <f>VLOOKUP(student_skills[[#This Row],[Student_ID]],student_data[],2,0)</f>
        <v>Electronics</v>
      </c>
      <c r="C551" s="1">
        <v>2</v>
      </c>
      <c r="D551" s="1">
        <v>9</v>
      </c>
      <c r="E551" s="1">
        <v>4</v>
      </c>
      <c r="F551" s="1">
        <v>1</v>
      </c>
      <c r="G551" s="1">
        <v>7</v>
      </c>
    </row>
    <row r="552" spans="1:7" x14ac:dyDescent="0.2">
      <c r="A552" s="1" t="s">
        <v>561</v>
      </c>
      <c r="B552" s="1" t="str">
        <f>VLOOKUP(student_skills[[#This Row],[Student_ID]],student_data[],2,0)</f>
        <v>Computer Science</v>
      </c>
      <c r="C552" s="1">
        <v>5</v>
      </c>
      <c r="D552" s="1">
        <v>5</v>
      </c>
      <c r="E552" s="1">
        <v>2</v>
      </c>
      <c r="F552" s="1">
        <v>7</v>
      </c>
      <c r="G552" s="1">
        <v>6</v>
      </c>
    </row>
    <row r="553" spans="1:7" x14ac:dyDescent="0.2">
      <c r="A553" s="1" t="s">
        <v>562</v>
      </c>
      <c r="B553" s="1" t="str">
        <f>VLOOKUP(student_skills[[#This Row],[Student_ID]],student_data[],2,0)</f>
        <v>Electronics</v>
      </c>
      <c r="C553" s="1">
        <v>5</v>
      </c>
      <c r="D553" s="1">
        <v>3</v>
      </c>
      <c r="E553" s="1">
        <v>1</v>
      </c>
      <c r="F553" s="1">
        <v>1</v>
      </c>
      <c r="G553" s="1">
        <v>4</v>
      </c>
    </row>
    <row r="554" spans="1:7" x14ac:dyDescent="0.2">
      <c r="A554" s="1" t="s">
        <v>563</v>
      </c>
      <c r="B554" s="1" t="str">
        <f>VLOOKUP(student_skills[[#This Row],[Student_ID]],student_data[],2,0)</f>
        <v>Mechanical</v>
      </c>
      <c r="C554" s="1">
        <v>6</v>
      </c>
      <c r="D554" s="1">
        <v>1</v>
      </c>
      <c r="E554" s="1">
        <v>7</v>
      </c>
      <c r="F554" s="1">
        <v>4</v>
      </c>
      <c r="G554" s="1">
        <v>10</v>
      </c>
    </row>
    <row r="555" spans="1:7" x14ac:dyDescent="0.2">
      <c r="A555" s="1" t="s">
        <v>564</v>
      </c>
      <c r="B555" s="1" t="str">
        <f>VLOOKUP(student_skills[[#This Row],[Student_ID]],student_data[],2,0)</f>
        <v>Electronics</v>
      </c>
      <c r="C555" s="1">
        <v>3</v>
      </c>
      <c r="D555" s="1">
        <v>10</v>
      </c>
      <c r="E555" s="1">
        <v>6</v>
      </c>
      <c r="F555" s="1">
        <v>8</v>
      </c>
      <c r="G555" s="1">
        <v>2</v>
      </c>
    </row>
    <row r="556" spans="1:7" x14ac:dyDescent="0.2">
      <c r="A556" s="1" t="s">
        <v>565</v>
      </c>
      <c r="B556" s="1" t="str">
        <f>VLOOKUP(student_skills[[#This Row],[Student_ID]],student_data[],2,0)</f>
        <v>Electronics</v>
      </c>
      <c r="C556" s="1">
        <v>8</v>
      </c>
      <c r="D556" s="1">
        <v>6</v>
      </c>
      <c r="E556" s="1">
        <v>2</v>
      </c>
      <c r="F556" s="1">
        <v>2</v>
      </c>
      <c r="G556" s="1">
        <v>1</v>
      </c>
    </row>
    <row r="557" spans="1:7" x14ac:dyDescent="0.2">
      <c r="A557" s="1" t="s">
        <v>566</v>
      </c>
      <c r="B557" s="1" t="str">
        <f>VLOOKUP(student_skills[[#This Row],[Student_ID]],student_data[],2,0)</f>
        <v>Information Technology</v>
      </c>
      <c r="C557" s="1">
        <v>1</v>
      </c>
      <c r="D557" s="1">
        <v>2</v>
      </c>
      <c r="E557" s="1">
        <v>8</v>
      </c>
      <c r="F557" s="1">
        <v>6</v>
      </c>
      <c r="G557" s="1">
        <v>4</v>
      </c>
    </row>
    <row r="558" spans="1:7" x14ac:dyDescent="0.2">
      <c r="A558" s="1" t="s">
        <v>567</v>
      </c>
      <c r="B558" s="1" t="str">
        <f>VLOOKUP(student_skills[[#This Row],[Student_ID]],student_data[],2,0)</f>
        <v>Information Technology</v>
      </c>
      <c r="C558" s="1">
        <v>6</v>
      </c>
      <c r="D558" s="1">
        <v>3</v>
      </c>
      <c r="E558" s="1">
        <v>4</v>
      </c>
      <c r="F558" s="1">
        <v>6</v>
      </c>
      <c r="G558" s="1">
        <v>4</v>
      </c>
    </row>
    <row r="559" spans="1:7" x14ac:dyDescent="0.2">
      <c r="A559" s="1" t="s">
        <v>568</v>
      </c>
      <c r="B559" s="1" t="str">
        <f>VLOOKUP(student_skills[[#This Row],[Student_ID]],student_data[],2,0)</f>
        <v>Information Technology</v>
      </c>
      <c r="C559" s="1">
        <v>4</v>
      </c>
      <c r="D559" s="1">
        <v>1</v>
      </c>
      <c r="E559" s="1">
        <v>8</v>
      </c>
      <c r="F559" s="1">
        <v>9</v>
      </c>
      <c r="G559" s="1">
        <v>1</v>
      </c>
    </row>
    <row r="560" spans="1:7" x14ac:dyDescent="0.2">
      <c r="A560" s="1" t="s">
        <v>569</v>
      </c>
      <c r="B560" s="1" t="str">
        <f>VLOOKUP(student_skills[[#This Row],[Student_ID]],student_data[],2,0)</f>
        <v>Mechanical</v>
      </c>
      <c r="C560" s="1">
        <v>1</v>
      </c>
      <c r="D560" s="1">
        <v>9</v>
      </c>
      <c r="E560" s="1">
        <v>7</v>
      </c>
      <c r="F560" s="1">
        <v>5</v>
      </c>
      <c r="G560" s="1">
        <v>6</v>
      </c>
    </row>
    <row r="561" spans="1:7" x14ac:dyDescent="0.2">
      <c r="A561" s="1" t="s">
        <v>570</v>
      </c>
      <c r="B561" s="1" t="str">
        <f>VLOOKUP(student_skills[[#This Row],[Student_ID]],student_data[],2,0)</f>
        <v>Information Technology</v>
      </c>
      <c r="C561" s="1">
        <v>7</v>
      </c>
      <c r="D561" s="1">
        <v>8</v>
      </c>
      <c r="E561" s="1">
        <v>5</v>
      </c>
      <c r="F561" s="1">
        <v>10</v>
      </c>
      <c r="G561" s="1">
        <v>4</v>
      </c>
    </row>
    <row r="562" spans="1:7" x14ac:dyDescent="0.2">
      <c r="A562" s="1" t="s">
        <v>571</v>
      </c>
      <c r="B562" s="1" t="str">
        <f>VLOOKUP(student_skills[[#This Row],[Student_ID]],student_data[],2,0)</f>
        <v>Computer Science</v>
      </c>
      <c r="C562" s="1">
        <v>9</v>
      </c>
      <c r="D562" s="1">
        <v>2</v>
      </c>
      <c r="E562" s="1">
        <v>10</v>
      </c>
      <c r="F562" s="1">
        <v>4</v>
      </c>
      <c r="G562" s="1">
        <v>1</v>
      </c>
    </row>
    <row r="563" spans="1:7" x14ac:dyDescent="0.2">
      <c r="A563" s="1" t="s">
        <v>572</v>
      </c>
      <c r="B563" s="1" t="str">
        <f>VLOOKUP(student_skills[[#This Row],[Student_ID]],student_data[],2,0)</f>
        <v>Civil</v>
      </c>
      <c r="C563" s="1">
        <v>4</v>
      </c>
      <c r="D563" s="1">
        <v>8</v>
      </c>
      <c r="E563" s="1">
        <v>10</v>
      </c>
      <c r="F563" s="1">
        <v>5</v>
      </c>
      <c r="G563" s="1">
        <v>1</v>
      </c>
    </row>
    <row r="564" spans="1:7" x14ac:dyDescent="0.2">
      <c r="A564" s="1" t="s">
        <v>573</v>
      </c>
      <c r="B564" s="1" t="str">
        <f>VLOOKUP(student_skills[[#This Row],[Student_ID]],student_data[],2,0)</f>
        <v>Computer Science</v>
      </c>
      <c r="C564" s="1">
        <v>4</v>
      </c>
      <c r="D564" s="1">
        <v>9</v>
      </c>
      <c r="E564" s="1">
        <v>8</v>
      </c>
      <c r="F564" s="1">
        <v>10</v>
      </c>
      <c r="G564" s="1">
        <v>1</v>
      </c>
    </row>
    <row r="565" spans="1:7" x14ac:dyDescent="0.2">
      <c r="A565" s="1" t="s">
        <v>574</v>
      </c>
      <c r="B565" s="1" t="str">
        <f>VLOOKUP(student_skills[[#This Row],[Student_ID]],student_data[],2,0)</f>
        <v>Computer Science</v>
      </c>
      <c r="C565" s="1">
        <v>6</v>
      </c>
      <c r="D565" s="1">
        <v>1</v>
      </c>
      <c r="E565" s="1">
        <v>9</v>
      </c>
      <c r="F565" s="1">
        <v>5</v>
      </c>
      <c r="G565" s="1">
        <v>8</v>
      </c>
    </row>
    <row r="566" spans="1:7" x14ac:dyDescent="0.2">
      <c r="A566" s="1" t="s">
        <v>575</v>
      </c>
      <c r="B566" s="1" t="str">
        <f>VLOOKUP(student_skills[[#This Row],[Student_ID]],student_data[],2,0)</f>
        <v>Information Technology</v>
      </c>
      <c r="C566" s="1">
        <v>3</v>
      </c>
      <c r="D566" s="1">
        <v>5</v>
      </c>
      <c r="E566" s="1">
        <v>5</v>
      </c>
      <c r="F566" s="1">
        <v>8</v>
      </c>
      <c r="G566" s="1">
        <v>10</v>
      </c>
    </row>
    <row r="567" spans="1:7" x14ac:dyDescent="0.2">
      <c r="A567" s="1" t="s">
        <v>576</v>
      </c>
      <c r="B567" s="1" t="str">
        <f>VLOOKUP(student_skills[[#This Row],[Student_ID]],student_data[],2,0)</f>
        <v>Civil</v>
      </c>
      <c r="C567" s="1">
        <v>6</v>
      </c>
      <c r="D567" s="1">
        <v>8</v>
      </c>
      <c r="E567" s="1">
        <v>10</v>
      </c>
      <c r="F567" s="1">
        <v>10</v>
      </c>
      <c r="G567" s="1">
        <v>8</v>
      </c>
    </row>
    <row r="568" spans="1:7" x14ac:dyDescent="0.2">
      <c r="A568" s="1" t="s">
        <v>577</v>
      </c>
      <c r="B568" s="1" t="str">
        <f>VLOOKUP(student_skills[[#This Row],[Student_ID]],student_data[],2,0)</f>
        <v>Civil</v>
      </c>
      <c r="C568" s="1">
        <v>7</v>
      </c>
      <c r="D568" s="1">
        <v>2</v>
      </c>
      <c r="E568" s="1">
        <v>5</v>
      </c>
      <c r="F568" s="1">
        <v>8</v>
      </c>
      <c r="G568" s="1">
        <v>2</v>
      </c>
    </row>
    <row r="569" spans="1:7" x14ac:dyDescent="0.2">
      <c r="A569" s="1" t="s">
        <v>578</v>
      </c>
      <c r="B569" s="1" t="str">
        <f>VLOOKUP(student_skills[[#This Row],[Student_ID]],student_data[],2,0)</f>
        <v>Civil</v>
      </c>
      <c r="C569" s="1">
        <v>10</v>
      </c>
      <c r="D569" s="1">
        <v>4</v>
      </c>
      <c r="E569" s="1">
        <v>2</v>
      </c>
      <c r="F569" s="1">
        <v>2</v>
      </c>
      <c r="G569" s="1">
        <v>7</v>
      </c>
    </row>
    <row r="570" spans="1:7" x14ac:dyDescent="0.2">
      <c r="A570" s="1" t="s">
        <v>579</v>
      </c>
      <c r="B570" s="1" t="str">
        <f>VLOOKUP(student_skills[[#This Row],[Student_ID]],student_data[],2,0)</f>
        <v>Mechanical</v>
      </c>
      <c r="C570" s="1">
        <v>10</v>
      </c>
      <c r="D570" s="1">
        <v>7</v>
      </c>
      <c r="E570" s="1">
        <v>5</v>
      </c>
      <c r="F570" s="1">
        <v>7</v>
      </c>
      <c r="G570" s="1">
        <v>8</v>
      </c>
    </row>
    <row r="571" spans="1:7" x14ac:dyDescent="0.2">
      <c r="A571" s="1" t="s">
        <v>580</v>
      </c>
      <c r="B571" s="1" t="str">
        <f>VLOOKUP(student_skills[[#This Row],[Student_ID]],student_data[],2,0)</f>
        <v>Information Technology</v>
      </c>
      <c r="C571" s="1">
        <v>3</v>
      </c>
      <c r="D571" s="1">
        <v>3</v>
      </c>
      <c r="E571" s="1">
        <v>3</v>
      </c>
      <c r="F571" s="1">
        <v>8</v>
      </c>
      <c r="G571" s="1">
        <v>8</v>
      </c>
    </row>
    <row r="572" spans="1:7" x14ac:dyDescent="0.2">
      <c r="A572" s="1" t="s">
        <v>581</v>
      </c>
      <c r="B572" s="1" t="str">
        <f>VLOOKUP(student_skills[[#This Row],[Student_ID]],student_data[],2,0)</f>
        <v>Civil</v>
      </c>
      <c r="C572" s="1">
        <v>7</v>
      </c>
      <c r="D572" s="1">
        <v>5</v>
      </c>
      <c r="E572" s="1">
        <v>7</v>
      </c>
      <c r="F572" s="1">
        <v>6</v>
      </c>
      <c r="G572" s="1">
        <v>10</v>
      </c>
    </row>
    <row r="573" spans="1:7" x14ac:dyDescent="0.2">
      <c r="A573" s="1" t="s">
        <v>582</v>
      </c>
      <c r="B573" s="1" t="str">
        <f>VLOOKUP(student_skills[[#This Row],[Student_ID]],student_data[],2,0)</f>
        <v>Mechanical</v>
      </c>
      <c r="C573" s="1">
        <v>3</v>
      </c>
      <c r="D573" s="1">
        <v>8</v>
      </c>
      <c r="E573" s="1">
        <v>10</v>
      </c>
      <c r="F573" s="1">
        <v>5</v>
      </c>
      <c r="G573" s="1">
        <v>7</v>
      </c>
    </row>
    <row r="574" spans="1:7" x14ac:dyDescent="0.2">
      <c r="A574" s="1" t="s">
        <v>583</v>
      </c>
      <c r="B574" s="1" t="str">
        <f>VLOOKUP(student_skills[[#This Row],[Student_ID]],student_data[],2,0)</f>
        <v>Electronics</v>
      </c>
      <c r="C574" s="1">
        <v>2</v>
      </c>
      <c r="D574" s="1">
        <v>10</v>
      </c>
      <c r="E574" s="1">
        <v>5</v>
      </c>
      <c r="F574" s="1">
        <v>9</v>
      </c>
      <c r="G574" s="1">
        <v>5</v>
      </c>
    </row>
    <row r="575" spans="1:7" x14ac:dyDescent="0.2">
      <c r="A575" s="1" t="s">
        <v>584</v>
      </c>
      <c r="B575" s="1" t="str">
        <f>VLOOKUP(student_skills[[#This Row],[Student_ID]],student_data[],2,0)</f>
        <v>Electronics</v>
      </c>
      <c r="C575" s="1">
        <v>10</v>
      </c>
      <c r="D575" s="1">
        <v>3</v>
      </c>
      <c r="E575" s="1">
        <v>8</v>
      </c>
      <c r="F575" s="1">
        <v>3</v>
      </c>
      <c r="G575" s="1">
        <v>1</v>
      </c>
    </row>
    <row r="576" spans="1:7" x14ac:dyDescent="0.2">
      <c r="A576" s="1" t="s">
        <v>585</v>
      </c>
      <c r="B576" s="1" t="str">
        <f>VLOOKUP(student_skills[[#This Row],[Student_ID]],student_data[],2,0)</f>
        <v>Mechanical</v>
      </c>
      <c r="C576" s="1">
        <v>4</v>
      </c>
      <c r="D576" s="1">
        <v>4</v>
      </c>
      <c r="E576" s="1">
        <v>1</v>
      </c>
      <c r="F576" s="1">
        <v>10</v>
      </c>
      <c r="G576" s="1">
        <v>9</v>
      </c>
    </row>
    <row r="577" spans="1:7" x14ac:dyDescent="0.2">
      <c r="A577" s="1" t="s">
        <v>586</v>
      </c>
      <c r="B577" s="1" t="str">
        <f>VLOOKUP(student_skills[[#This Row],[Student_ID]],student_data[],2,0)</f>
        <v>Mechanical</v>
      </c>
      <c r="C577" s="1">
        <v>8</v>
      </c>
      <c r="D577" s="1">
        <v>9</v>
      </c>
      <c r="E577" s="1">
        <v>3</v>
      </c>
      <c r="F577" s="1">
        <v>4</v>
      </c>
      <c r="G577" s="1">
        <v>7</v>
      </c>
    </row>
    <row r="578" spans="1:7" x14ac:dyDescent="0.2">
      <c r="A578" s="1" t="s">
        <v>587</v>
      </c>
      <c r="B578" s="1" t="str">
        <f>VLOOKUP(student_skills[[#This Row],[Student_ID]],student_data[],2,0)</f>
        <v>Information Technology</v>
      </c>
      <c r="C578" s="1">
        <v>9</v>
      </c>
      <c r="D578" s="1">
        <v>7</v>
      </c>
      <c r="E578" s="1">
        <v>3</v>
      </c>
      <c r="F578" s="1">
        <v>9</v>
      </c>
      <c r="G578" s="1">
        <v>2</v>
      </c>
    </row>
    <row r="579" spans="1:7" x14ac:dyDescent="0.2">
      <c r="A579" s="1" t="s">
        <v>588</v>
      </c>
      <c r="B579" s="1" t="str">
        <f>VLOOKUP(student_skills[[#This Row],[Student_ID]],student_data[],2,0)</f>
        <v>Information Technology</v>
      </c>
      <c r="C579" s="1">
        <v>7</v>
      </c>
      <c r="D579" s="1">
        <v>1</v>
      </c>
      <c r="E579" s="1">
        <v>9</v>
      </c>
      <c r="F579" s="1">
        <v>6</v>
      </c>
      <c r="G579" s="1">
        <v>6</v>
      </c>
    </row>
    <row r="580" spans="1:7" x14ac:dyDescent="0.2">
      <c r="A580" s="1" t="s">
        <v>589</v>
      </c>
      <c r="B580" s="1" t="str">
        <f>VLOOKUP(student_skills[[#This Row],[Student_ID]],student_data[],2,0)</f>
        <v>Electronics</v>
      </c>
      <c r="C580" s="1">
        <v>1</v>
      </c>
      <c r="D580" s="1">
        <v>4</v>
      </c>
      <c r="E580" s="1">
        <v>5</v>
      </c>
      <c r="F580" s="1">
        <v>8</v>
      </c>
      <c r="G580" s="1">
        <v>2</v>
      </c>
    </row>
    <row r="581" spans="1:7" x14ac:dyDescent="0.2">
      <c r="A581" s="1" t="s">
        <v>590</v>
      </c>
      <c r="B581" s="1" t="str">
        <f>VLOOKUP(student_skills[[#This Row],[Student_ID]],student_data[],2,0)</f>
        <v>Civil</v>
      </c>
      <c r="C581" s="1">
        <v>3</v>
      </c>
      <c r="D581" s="1">
        <v>4</v>
      </c>
      <c r="E581" s="1">
        <v>9</v>
      </c>
      <c r="F581" s="1">
        <v>7</v>
      </c>
      <c r="G581" s="1">
        <v>1</v>
      </c>
    </row>
    <row r="582" spans="1:7" x14ac:dyDescent="0.2">
      <c r="A582" s="1" t="s">
        <v>591</v>
      </c>
      <c r="B582" s="1" t="str">
        <f>VLOOKUP(student_skills[[#This Row],[Student_ID]],student_data[],2,0)</f>
        <v>Electronics</v>
      </c>
      <c r="C582" s="1">
        <v>9</v>
      </c>
      <c r="D582" s="1">
        <v>9</v>
      </c>
      <c r="E582" s="1">
        <v>9</v>
      </c>
      <c r="F582" s="1">
        <v>2</v>
      </c>
      <c r="G582" s="1">
        <v>7</v>
      </c>
    </row>
    <row r="583" spans="1:7" x14ac:dyDescent="0.2">
      <c r="A583" s="1" t="s">
        <v>592</v>
      </c>
      <c r="B583" s="1" t="str">
        <f>VLOOKUP(student_skills[[#This Row],[Student_ID]],student_data[],2,0)</f>
        <v>Civil</v>
      </c>
      <c r="C583" s="1">
        <v>1</v>
      </c>
      <c r="D583" s="1">
        <v>6</v>
      </c>
      <c r="E583" s="1">
        <v>1</v>
      </c>
      <c r="F583" s="1">
        <v>3</v>
      </c>
      <c r="G583" s="1">
        <v>2</v>
      </c>
    </row>
    <row r="584" spans="1:7" x14ac:dyDescent="0.2">
      <c r="A584" s="1" t="s">
        <v>593</v>
      </c>
      <c r="B584" s="1" t="str">
        <f>VLOOKUP(student_skills[[#This Row],[Student_ID]],student_data[],2,0)</f>
        <v>Civil</v>
      </c>
      <c r="C584" s="1">
        <v>9</v>
      </c>
      <c r="D584" s="1">
        <v>9</v>
      </c>
      <c r="E584" s="1">
        <v>2</v>
      </c>
      <c r="F584" s="1">
        <v>1</v>
      </c>
      <c r="G584" s="1">
        <v>2</v>
      </c>
    </row>
    <row r="585" spans="1:7" x14ac:dyDescent="0.2">
      <c r="A585" s="1" t="s">
        <v>594</v>
      </c>
      <c r="B585" s="1" t="str">
        <f>VLOOKUP(student_skills[[#This Row],[Student_ID]],student_data[],2,0)</f>
        <v>Information Technology</v>
      </c>
      <c r="C585" s="1">
        <v>8</v>
      </c>
      <c r="D585" s="1">
        <v>6</v>
      </c>
      <c r="E585" s="1">
        <v>5</v>
      </c>
      <c r="F585" s="1">
        <v>9</v>
      </c>
      <c r="G585" s="1">
        <v>5</v>
      </c>
    </row>
    <row r="586" spans="1:7" x14ac:dyDescent="0.2">
      <c r="A586" s="1" t="s">
        <v>595</v>
      </c>
      <c r="B586" s="1" t="str">
        <f>VLOOKUP(student_skills[[#This Row],[Student_ID]],student_data[],2,0)</f>
        <v>Computer Science</v>
      </c>
      <c r="C586" s="1">
        <v>1</v>
      </c>
      <c r="D586" s="1">
        <v>6</v>
      </c>
      <c r="E586" s="1">
        <v>4</v>
      </c>
      <c r="F586" s="1">
        <v>7</v>
      </c>
      <c r="G586" s="1">
        <v>5</v>
      </c>
    </row>
    <row r="587" spans="1:7" x14ac:dyDescent="0.2">
      <c r="A587" s="1" t="s">
        <v>596</v>
      </c>
      <c r="B587" s="1" t="str">
        <f>VLOOKUP(student_skills[[#This Row],[Student_ID]],student_data[],2,0)</f>
        <v>Computer Science</v>
      </c>
      <c r="C587" s="1">
        <v>6</v>
      </c>
      <c r="D587" s="1">
        <v>5</v>
      </c>
      <c r="E587" s="1">
        <v>10</v>
      </c>
      <c r="F587" s="1">
        <v>1</v>
      </c>
      <c r="G587" s="1">
        <v>7</v>
      </c>
    </row>
    <row r="588" spans="1:7" x14ac:dyDescent="0.2">
      <c r="A588" s="1" t="s">
        <v>597</v>
      </c>
      <c r="B588" s="1" t="str">
        <f>VLOOKUP(student_skills[[#This Row],[Student_ID]],student_data[],2,0)</f>
        <v>Mechanical</v>
      </c>
      <c r="C588" s="1">
        <v>5</v>
      </c>
      <c r="D588" s="1">
        <v>5</v>
      </c>
      <c r="E588" s="1">
        <v>9</v>
      </c>
      <c r="F588" s="1">
        <v>3</v>
      </c>
      <c r="G588" s="1">
        <v>1</v>
      </c>
    </row>
    <row r="589" spans="1:7" x14ac:dyDescent="0.2">
      <c r="A589" s="1" t="s">
        <v>598</v>
      </c>
      <c r="B589" s="1" t="str">
        <f>VLOOKUP(student_skills[[#This Row],[Student_ID]],student_data[],2,0)</f>
        <v>Information Technology</v>
      </c>
      <c r="C589" s="1">
        <v>6</v>
      </c>
      <c r="D589" s="1">
        <v>2</v>
      </c>
      <c r="E589" s="1">
        <v>7</v>
      </c>
      <c r="F589" s="1">
        <v>4</v>
      </c>
      <c r="G589" s="1">
        <v>8</v>
      </c>
    </row>
    <row r="590" spans="1:7" x14ac:dyDescent="0.2">
      <c r="A590" s="1" t="s">
        <v>599</v>
      </c>
      <c r="B590" s="1" t="str">
        <f>VLOOKUP(student_skills[[#This Row],[Student_ID]],student_data[],2,0)</f>
        <v>Civil</v>
      </c>
      <c r="C590" s="1">
        <v>10</v>
      </c>
      <c r="D590" s="1">
        <v>8</v>
      </c>
      <c r="E590" s="1">
        <v>6</v>
      </c>
      <c r="F590" s="1">
        <v>4</v>
      </c>
      <c r="G590" s="1">
        <v>3</v>
      </c>
    </row>
    <row r="591" spans="1:7" x14ac:dyDescent="0.2">
      <c r="A591" s="1" t="s">
        <v>600</v>
      </c>
      <c r="B591" s="1" t="str">
        <f>VLOOKUP(student_skills[[#This Row],[Student_ID]],student_data[],2,0)</f>
        <v>Computer Science</v>
      </c>
      <c r="C591" s="1">
        <v>5</v>
      </c>
      <c r="D591" s="1">
        <v>8</v>
      </c>
      <c r="E591" s="1">
        <v>7</v>
      </c>
      <c r="F591" s="1">
        <v>5</v>
      </c>
      <c r="G591" s="1">
        <v>4</v>
      </c>
    </row>
    <row r="592" spans="1:7" x14ac:dyDescent="0.2">
      <c r="A592" s="1" t="s">
        <v>601</v>
      </c>
      <c r="B592" s="1" t="str">
        <f>VLOOKUP(student_skills[[#This Row],[Student_ID]],student_data[],2,0)</f>
        <v>Civil</v>
      </c>
      <c r="C592" s="1">
        <v>6</v>
      </c>
      <c r="D592" s="1">
        <v>1</v>
      </c>
      <c r="E592" s="1">
        <v>1</v>
      </c>
      <c r="F592" s="1">
        <v>3</v>
      </c>
      <c r="G592" s="1">
        <v>9</v>
      </c>
    </row>
    <row r="593" spans="1:7" x14ac:dyDescent="0.2">
      <c r="A593" s="1" t="s">
        <v>602</v>
      </c>
      <c r="B593" s="1" t="str">
        <f>VLOOKUP(student_skills[[#This Row],[Student_ID]],student_data[],2,0)</f>
        <v>Computer Science</v>
      </c>
      <c r="C593" s="1">
        <v>5</v>
      </c>
      <c r="D593" s="1">
        <v>8</v>
      </c>
      <c r="E593" s="1">
        <v>1</v>
      </c>
      <c r="F593" s="1">
        <v>3</v>
      </c>
      <c r="G593" s="1">
        <v>4</v>
      </c>
    </row>
    <row r="594" spans="1:7" x14ac:dyDescent="0.2">
      <c r="A594" s="1" t="s">
        <v>603</v>
      </c>
      <c r="B594" s="1" t="str">
        <f>VLOOKUP(student_skills[[#This Row],[Student_ID]],student_data[],2,0)</f>
        <v>Computer Science</v>
      </c>
      <c r="C594" s="1">
        <v>5</v>
      </c>
      <c r="D594" s="1">
        <v>5</v>
      </c>
      <c r="E594" s="1">
        <v>8</v>
      </c>
      <c r="F594" s="1">
        <v>1</v>
      </c>
      <c r="G594" s="1">
        <v>10</v>
      </c>
    </row>
    <row r="595" spans="1:7" x14ac:dyDescent="0.2">
      <c r="A595" s="1" t="s">
        <v>604</v>
      </c>
      <c r="B595" s="1" t="str">
        <f>VLOOKUP(student_skills[[#This Row],[Student_ID]],student_data[],2,0)</f>
        <v>Computer Science</v>
      </c>
      <c r="C595" s="1">
        <v>4</v>
      </c>
      <c r="D595" s="1">
        <v>2</v>
      </c>
      <c r="E595" s="1">
        <v>2</v>
      </c>
      <c r="F595" s="1">
        <v>7</v>
      </c>
      <c r="G595" s="1">
        <v>5</v>
      </c>
    </row>
    <row r="596" spans="1:7" x14ac:dyDescent="0.2">
      <c r="A596" s="1" t="s">
        <v>605</v>
      </c>
      <c r="B596" s="1" t="str">
        <f>VLOOKUP(student_skills[[#This Row],[Student_ID]],student_data[],2,0)</f>
        <v>Information Technology</v>
      </c>
      <c r="C596" s="1">
        <v>3</v>
      </c>
      <c r="D596" s="1">
        <v>2</v>
      </c>
      <c r="E596" s="1">
        <v>10</v>
      </c>
      <c r="F596" s="1">
        <v>10</v>
      </c>
      <c r="G596" s="1">
        <v>7</v>
      </c>
    </row>
    <row r="597" spans="1:7" x14ac:dyDescent="0.2">
      <c r="A597" s="1" t="s">
        <v>606</v>
      </c>
      <c r="B597" s="1" t="str">
        <f>VLOOKUP(student_skills[[#This Row],[Student_ID]],student_data[],2,0)</f>
        <v>Electronics</v>
      </c>
      <c r="C597" s="1">
        <v>3</v>
      </c>
      <c r="D597" s="1">
        <v>6</v>
      </c>
      <c r="E597" s="1">
        <v>9</v>
      </c>
      <c r="F597" s="1">
        <v>1</v>
      </c>
      <c r="G597" s="1">
        <v>4</v>
      </c>
    </row>
    <row r="598" spans="1:7" x14ac:dyDescent="0.2">
      <c r="A598" s="1" t="s">
        <v>607</v>
      </c>
      <c r="B598" s="1" t="str">
        <f>VLOOKUP(student_skills[[#This Row],[Student_ID]],student_data[],2,0)</f>
        <v>Civil</v>
      </c>
      <c r="C598" s="1">
        <v>4</v>
      </c>
      <c r="D598" s="1">
        <v>9</v>
      </c>
      <c r="E598" s="1">
        <v>7</v>
      </c>
      <c r="F598" s="1">
        <v>2</v>
      </c>
      <c r="G598" s="1">
        <v>1</v>
      </c>
    </row>
    <row r="599" spans="1:7" x14ac:dyDescent="0.2">
      <c r="A599" s="1" t="s">
        <v>608</v>
      </c>
      <c r="B599" s="1" t="str">
        <f>VLOOKUP(student_skills[[#This Row],[Student_ID]],student_data[],2,0)</f>
        <v>Information Technology</v>
      </c>
      <c r="C599" s="1">
        <v>9</v>
      </c>
      <c r="D599" s="1">
        <v>1</v>
      </c>
      <c r="E599" s="1">
        <v>6</v>
      </c>
      <c r="F599" s="1">
        <v>4</v>
      </c>
      <c r="G599" s="1">
        <v>9</v>
      </c>
    </row>
    <row r="600" spans="1:7" x14ac:dyDescent="0.2">
      <c r="A600" s="1" t="s">
        <v>609</v>
      </c>
      <c r="B600" s="1" t="str">
        <f>VLOOKUP(student_skills[[#This Row],[Student_ID]],student_data[],2,0)</f>
        <v>Information Technology</v>
      </c>
      <c r="C600" s="1">
        <v>2</v>
      </c>
      <c r="D600" s="1">
        <v>6</v>
      </c>
      <c r="E600" s="1">
        <v>1</v>
      </c>
      <c r="F600" s="1">
        <v>4</v>
      </c>
      <c r="G600" s="1">
        <v>4</v>
      </c>
    </row>
    <row r="601" spans="1:7" x14ac:dyDescent="0.2">
      <c r="A601" s="1" t="s">
        <v>610</v>
      </c>
      <c r="B601" s="1" t="str">
        <f>VLOOKUP(student_skills[[#This Row],[Student_ID]],student_data[],2,0)</f>
        <v>Information Technology</v>
      </c>
      <c r="C601" s="1">
        <v>9</v>
      </c>
      <c r="D601" s="1">
        <v>9</v>
      </c>
      <c r="E601" s="1">
        <v>1</v>
      </c>
      <c r="F601" s="1">
        <v>5</v>
      </c>
      <c r="G601" s="1">
        <v>9</v>
      </c>
    </row>
    <row r="602" spans="1:7" x14ac:dyDescent="0.2">
      <c r="A602" s="1" t="s">
        <v>611</v>
      </c>
      <c r="B602" s="1" t="str">
        <f>VLOOKUP(student_skills[[#This Row],[Student_ID]],student_data[],2,0)</f>
        <v>Information Technology</v>
      </c>
      <c r="C602" s="1">
        <v>1</v>
      </c>
      <c r="D602" s="1">
        <v>8</v>
      </c>
      <c r="E602" s="1">
        <v>2</v>
      </c>
      <c r="F602" s="1">
        <v>2</v>
      </c>
      <c r="G602" s="1">
        <v>6</v>
      </c>
    </row>
    <row r="603" spans="1:7" x14ac:dyDescent="0.2">
      <c r="A603" s="1" t="s">
        <v>612</v>
      </c>
      <c r="B603" s="1" t="str">
        <f>VLOOKUP(student_skills[[#This Row],[Student_ID]],student_data[],2,0)</f>
        <v>Information Technology</v>
      </c>
      <c r="C603" s="1">
        <v>1</v>
      </c>
      <c r="D603" s="1">
        <v>6</v>
      </c>
      <c r="E603" s="1">
        <v>6</v>
      </c>
      <c r="F603" s="1">
        <v>4</v>
      </c>
      <c r="G603" s="1">
        <v>1</v>
      </c>
    </row>
    <row r="604" spans="1:7" x14ac:dyDescent="0.2">
      <c r="A604" s="1" t="s">
        <v>613</v>
      </c>
      <c r="B604" s="1" t="str">
        <f>VLOOKUP(student_skills[[#This Row],[Student_ID]],student_data[],2,0)</f>
        <v>Mechanical</v>
      </c>
      <c r="C604" s="1">
        <v>5</v>
      </c>
      <c r="D604" s="1">
        <v>3</v>
      </c>
      <c r="E604" s="1">
        <v>6</v>
      </c>
      <c r="F604" s="1">
        <v>1</v>
      </c>
      <c r="G604" s="1">
        <v>3</v>
      </c>
    </row>
    <row r="605" spans="1:7" x14ac:dyDescent="0.2">
      <c r="A605" s="1" t="s">
        <v>614</v>
      </c>
      <c r="B605" s="1" t="str">
        <f>VLOOKUP(student_skills[[#This Row],[Student_ID]],student_data[],2,0)</f>
        <v>Civil</v>
      </c>
      <c r="C605" s="1">
        <v>6</v>
      </c>
      <c r="D605" s="1">
        <v>8</v>
      </c>
      <c r="E605" s="1">
        <v>2</v>
      </c>
      <c r="F605" s="1">
        <v>2</v>
      </c>
      <c r="G605" s="1">
        <v>2</v>
      </c>
    </row>
    <row r="606" spans="1:7" x14ac:dyDescent="0.2">
      <c r="A606" s="1" t="s">
        <v>615</v>
      </c>
      <c r="B606" s="1" t="str">
        <f>VLOOKUP(student_skills[[#This Row],[Student_ID]],student_data[],2,0)</f>
        <v>Information Technology</v>
      </c>
      <c r="C606" s="1">
        <v>6</v>
      </c>
      <c r="D606" s="1">
        <v>9</v>
      </c>
      <c r="E606" s="1">
        <v>1</v>
      </c>
      <c r="F606" s="1">
        <v>1</v>
      </c>
      <c r="G606" s="1">
        <v>9</v>
      </c>
    </row>
    <row r="607" spans="1:7" x14ac:dyDescent="0.2">
      <c r="A607" s="1" t="s">
        <v>616</v>
      </c>
      <c r="B607" s="1" t="str">
        <f>VLOOKUP(student_skills[[#This Row],[Student_ID]],student_data[],2,0)</f>
        <v>Civil</v>
      </c>
      <c r="C607" s="1">
        <v>3</v>
      </c>
      <c r="D607" s="1">
        <v>1</v>
      </c>
      <c r="E607" s="1">
        <v>10</v>
      </c>
      <c r="F607" s="1">
        <v>10</v>
      </c>
      <c r="G607" s="1">
        <v>1</v>
      </c>
    </row>
    <row r="608" spans="1:7" x14ac:dyDescent="0.2">
      <c r="A608" s="1" t="s">
        <v>617</v>
      </c>
      <c r="B608" s="1" t="str">
        <f>VLOOKUP(student_skills[[#This Row],[Student_ID]],student_data[],2,0)</f>
        <v>Mechanical</v>
      </c>
      <c r="C608" s="1">
        <v>7</v>
      </c>
      <c r="D608" s="1">
        <v>9</v>
      </c>
      <c r="E608" s="1">
        <v>5</v>
      </c>
      <c r="F608" s="1">
        <v>10</v>
      </c>
      <c r="G608" s="1">
        <v>9</v>
      </c>
    </row>
    <row r="609" spans="1:7" x14ac:dyDescent="0.2">
      <c r="A609" s="1" t="s">
        <v>618</v>
      </c>
      <c r="B609" s="1" t="str">
        <f>VLOOKUP(student_skills[[#This Row],[Student_ID]],student_data[],2,0)</f>
        <v>Mechanical</v>
      </c>
      <c r="C609" s="1">
        <v>9</v>
      </c>
      <c r="D609" s="1">
        <v>6</v>
      </c>
      <c r="E609" s="1">
        <v>5</v>
      </c>
      <c r="F609" s="1">
        <v>4</v>
      </c>
      <c r="G609" s="1">
        <v>9</v>
      </c>
    </row>
    <row r="610" spans="1:7" x14ac:dyDescent="0.2">
      <c r="A610" s="1" t="s">
        <v>619</v>
      </c>
      <c r="B610" s="1" t="str">
        <f>VLOOKUP(student_skills[[#This Row],[Student_ID]],student_data[],2,0)</f>
        <v>Civil</v>
      </c>
      <c r="C610" s="1">
        <v>10</v>
      </c>
      <c r="D610" s="1">
        <v>6</v>
      </c>
      <c r="E610" s="1">
        <v>2</v>
      </c>
      <c r="F610" s="1">
        <v>4</v>
      </c>
      <c r="G610" s="1">
        <v>8</v>
      </c>
    </row>
    <row r="611" spans="1:7" x14ac:dyDescent="0.2">
      <c r="A611" s="1" t="s">
        <v>620</v>
      </c>
      <c r="B611" s="1" t="str">
        <f>VLOOKUP(student_skills[[#This Row],[Student_ID]],student_data[],2,0)</f>
        <v>Computer Science</v>
      </c>
      <c r="C611" s="1">
        <v>8</v>
      </c>
      <c r="D611" s="1">
        <v>4</v>
      </c>
      <c r="E611" s="1">
        <v>6</v>
      </c>
      <c r="F611" s="1">
        <v>7</v>
      </c>
      <c r="G611" s="1">
        <v>8</v>
      </c>
    </row>
    <row r="612" spans="1:7" x14ac:dyDescent="0.2">
      <c r="A612" s="1" t="s">
        <v>621</v>
      </c>
      <c r="B612" s="1" t="str">
        <f>VLOOKUP(student_skills[[#This Row],[Student_ID]],student_data[],2,0)</f>
        <v>Electronics</v>
      </c>
      <c r="C612" s="1">
        <v>6</v>
      </c>
      <c r="D612" s="1">
        <v>1</v>
      </c>
      <c r="E612" s="1">
        <v>9</v>
      </c>
      <c r="F612" s="1">
        <v>10</v>
      </c>
      <c r="G612" s="1">
        <v>1</v>
      </c>
    </row>
    <row r="613" spans="1:7" x14ac:dyDescent="0.2">
      <c r="A613" s="1" t="s">
        <v>622</v>
      </c>
      <c r="B613" s="1" t="str">
        <f>VLOOKUP(student_skills[[#This Row],[Student_ID]],student_data[],2,0)</f>
        <v>Computer Science</v>
      </c>
      <c r="C613" s="1">
        <v>8</v>
      </c>
      <c r="D613" s="1">
        <v>10</v>
      </c>
      <c r="E613" s="1">
        <v>2</v>
      </c>
      <c r="F613" s="1">
        <v>9</v>
      </c>
      <c r="G613" s="1">
        <v>8</v>
      </c>
    </row>
    <row r="614" spans="1:7" x14ac:dyDescent="0.2">
      <c r="A614" s="1" t="s">
        <v>623</v>
      </c>
      <c r="B614" s="1" t="str">
        <f>VLOOKUP(student_skills[[#This Row],[Student_ID]],student_data[],2,0)</f>
        <v>Computer Science</v>
      </c>
      <c r="C614" s="1">
        <v>5</v>
      </c>
      <c r="D614" s="1">
        <v>8</v>
      </c>
      <c r="E614" s="1">
        <v>10</v>
      </c>
      <c r="F614" s="1">
        <v>9</v>
      </c>
      <c r="G614" s="1">
        <v>10</v>
      </c>
    </row>
    <row r="615" spans="1:7" x14ac:dyDescent="0.2">
      <c r="A615" s="1" t="s">
        <v>624</v>
      </c>
      <c r="B615" s="1" t="str">
        <f>VLOOKUP(student_skills[[#This Row],[Student_ID]],student_data[],2,0)</f>
        <v>Computer Science</v>
      </c>
      <c r="C615" s="1">
        <v>8</v>
      </c>
      <c r="D615" s="1">
        <v>2</v>
      </c>
      <c r="E615" s="1">
        <v>2</v>
      </c>
      <c r="F615" s="1">
        <v>5</v>
      </c>
      <c r="G615" s="1">
        <v>3</v>
      </c>
    </row>
    <row r="616" spans="1:7" x14ac:dyDescent="0.2">
      <c r="A616" s="1" t="s">
        <v>625</v>
      </c>
      <c r="B616" s="1" t="str">
        <f>VLOOKUP(student_skills[[#This Row],[Student_ID]],student_data[],2,0)</f>
        <v>Information Technology</v>
      </c>
      <c r="C616" s="1">
        <v>10</v>
      </c>
      <c r="D616" s="1">
        <v>1</v>
      </c>
      <c r="E616" s="1">
        <v>3</v>
      </c>
      <c r="F616" s="1">
        <v>10</v>
      </c>
      <c r="G616" s="1">
        <v>7</v>
      </c>
    </row>
    <row r="617" spans="1:7" x14ac:dyDescent="0.2">
      <c r="A617" s="1" t="s">
        <v>626</v>
      </c>
      <c r="B617" s="1" t="str">
        <f>VLOOKUP(student_skills[[#This Row],[Student_ID]],student_data[],2,0)</f>
        <v>Mechanical</v>
      </c>
      <c r="C617" s="1">
        <v>4</v>
      </c>
      <c r="D617" s="1">
        <v>2</v>
      </c>
      <c r="E617" s="1">
        <v>7</v>
      </c>
      <c r="F617" s="1">
        <v>1</v>
      </c>
      <c r="G617" s="1">
        <v>1</v>
      </c>
    </row>
    <row r="618" spans="1:7" x14ac:dyDescent="0.2">
      <c r="A618" s="1" t="s">
        <v>627</v>
      </c>
      <c r="B618" s="1" t="str">
        <f>VLOOKUP(student_skills[[#This Row],[Student_ID]],student_data[],2,0)</f>
        <v>Computer Science</v>
      </c>
      <c r="C618" s="1">
        <v>10</v>
      </c>
      <c r="D618" s="1">
        <v>1</v>
      </c>
      <c r="E618" s="1">
        <v>6</v>
      </c>
      <c r="F618" s="1">
        <v>1</v>
      </c>
      <c r="G618" s="1">
        <v>1</v>
      </c>
    </row>
    <row r="619" spans="1:7" x14ac:dyDescent="0.2">
      <c r="A619" s="1" t="s">
        <v>628</v>
      </c>
      <c r="B619" s="1" t="str">
        <f>VLOOKUP(student_skills[[#This Row],[Student_ID]],student_data[],2,0)</f>
        <v>Mechanical</v>
      </c>
      <c r="C619" s="1">
        <v>8</v>
      </c>
      <c r="D619" s="1">
        <v>1</v>
      </c>
      <c r="E619" s="1">
        <v>8</v>
      </c>
      <c r="F619" s="1">
        <v>6</v>
      </c>
      <c r="G619" s="1">
        <v>10</v>
      </c>
    </row>
    <row r="620" spans="1:7" x14ac:dyDescent="0.2">
      <c r="A620" s="1" t="s">
        <v>629</v>
      </c>
      <c r="B620" s="1" t="str">
        <f>VLOOKUP(student_skills[[#This Row],[Student_ID]],student_data[],2,0)</f>
        <v>Civil</v>
      </c>
      <c r="C620" s="1">
        <v>10</v>
      </c>
      <c r="D620" s="1">
        <v>9</v>
      </c>
      <c r="E620" s="1">
        <v>8</v>
      </c>
      <c r="F620" s="1">
        <v>2</v>
      </c>
      <c r="G620" s="1">
        <v>5</v>
      </c>
    </row>
    <row r="621" spans="1:7" x14ac:dyDescent="0.2">
      <c r="A621" s="1" t="s">
        <v>630</v>
      </c>
      <c r="B621" s="1" t="str">
        <f>VLOOKUP(student_skills[[#This Row],[Student_ID]],student_data[],2,0)</f>
        <v>Electronics</v>
      </c>
      <c r="C621" s="1">
        <v>2</v>
      </c>
      <c r="D621" s="1">
        <v>1</v>
      </c>
      <c r="E621" s="1">
        <v>6</v>
      </c>
      <c r="F621" s="1">
        <v>8</v>
      </c>
      <c r="G621" s="1">
        <v>5</v>
      </c>
    </row>
    <row r="622" spans="1:7" x14ac:dyDescent="0.2">
      <c r="A622" s="1" t="s">
        <v>631</v>
      </c>
      <c r="B622" s="1" t="str">
        <f>VLOOKUP(student_skills[[#This Row],[Student_ID]],student_data[],2,0)</f>
        <v>Civil</v>
      </c>
      <c r="C622" s="1">
        <v>5</v>
      </c>
      <c r="D622" s="1">
        <v>4</v>
      </c>
      <c r="E622" s="1">
        <v>10</v>
      </c>
      <c r="F622" s="1">
        <v>9</v>
      </c>
      <c r="G622" s="1">
        <v>8</v>
      </c>
    </row>
    <row r="623" spans="1:7" x14ac:dyDescent="0.2">
      <c r="A623" s="1" t="s">
        <v>632</v>
      </c>
      <c r="B623" s="1" t="str">
        <f>VLOOKUP(student_skills[[#This Row],[Student_ID]],student_data[],2,0)</f>
        <v>Civil</v>
      </c>
      <c r="C623" s="1">
        <v>9</v>
      </c>
      <c r="D623" s="1">
        <v>10</v>
      </c>
      <c r="E623" s="1">
        <v>3</v>
      </c>
      <c r="F623" s="1">
        <v>4</v>
      </c>
      <c r="G623" s="1">
        <v>7</v>
      </c>
    </row>
    <row r="624" spans="1:7" x14ac:dyDescent="0.2">
      <c r="A624" s="1" t="s">
        <v>633</v>
      </c>
      <c r="B624" s="1" t="str">
        <f>VLOOKUP(student_skills[[#This Row],[Student_ID]],student_data[],2,0)</f>
        <v>Information Technology</v>
      </c>
      <c r="C624" s="1">
        <v>4</v>
      </c>
      <c r="D624" s="1">
        <v>6</v>
      </c>
      <c r="E624" s="1">
        <v>3</v>
      </c>
      <c r="F624" s="1">
        <v>5</v>
      </c>
      <c r="G624" s="1">
        <v>8</v>
      </c>
    </row>
    <row r="625" spans="1:7" x14ac:dyDescent="0.2">
      <c r="A625" s="1" t="s">
        <v>634</v>
      </c>
      <c r="B625" s="1" t="str">
        <f>VLOOKUP(student_skills[[#This Row],[Student_ID]],student_data[],2,0)</f>
        <v>Electronics</v>
      </c>
      <c r="C625" s="1">
        <v>6</v>
      </c>
      <c r="D625" s="1">
        <v>7</v>
      </c>
      <c r="E625" s="1">
        <v>1</v>
      </c>
      <c r="F625" s="1">
        <v>8</v>
      </c>
      <c r="G625" s="1">
        <v>6</v>
      </c>
    </row>
    <row r="626" spans="1:7" x14ac:dyDescent="0.2">
      <c r="A626" s="1" t="s">
        <v>635</v>
      </c>
      <c r="B626" s="1" t="str">
        <f>VLOOKUP(student_skills[[#This Row],[Student_ID]],student_data[],2,0)</f>
        <v>Civil</v>
      </c>
      <c r="C626" s="1">
        <v>1</v>
      </c>
      <c r="D626" s="1">
        <v>2</v>
      </c>
      <c r="E626" s="1">
        <v>7</v>
      </c>
      <c r="F626" s="1">
        <v>3</v>
      </c>
      <c r="G626" s="1">
        <v>6</v>
      </c>
    </row>
    <row r="627" spans="1:7" x14ac:dyDescent="0.2">
      <c r="A627" s="1" t="s">
        <v>636</v>
      </c>
      <c r="B627" s="1" t="str">
        <f>VLOOKUP(student_skills[[#This Row],[Student_ID]],student_data[],2,0)</f>
        <v>Civil</v>
      </c>
      <c r="C627" s="1">
        <v>9</v>
      </c>
      <c r="D627" s="1">
        <v>6</v>
      </c>
      <c r="E627" s="1">
        <v>5</v>
      </c>
      <c r="F627" s="1">
        <v>5</v>
      </c>
      <c r="G627" s="1">
        <v>2</v>
      </c>
    </row>
    <row r="628" spans="1:7" x14ac:dyDescent="0.2">
      <c r="A628" s="1" t="s">
        <v>637</v>
      </c>
      <c r="B628" s="1" t="str">
        <f>VLOOKUP(student_skills[[#This Row],[Student_ID]],student_data[],2,0)</f>
        <v>Electronics</v>
      </c>
      <c r="C628" s="1">
        <v>1</v>
      </c>
      <c r="D628" s="1">
        <v>7</v>
      </c>
      <c r="E628" s="1">
        <v>4</v>
      </c>
      <c r="F628" s="1">
        <v>3</v>
      </c>
      <c r="G628" s="1">
        <v>6</v>
      </c>
    </row>
    <row r="629" spans="1:7" x14ac:dyDescent="0.2">
      <c r="A629" s="1" t="s">
        <v>638</v>
      </c>
      <c r="B629" s="1" t="str">
        <f>VLOOKUP(student_skills[[#This Row],[Student_ID]],student_data[],2,0)</f>
        <v>Electronics</v>
      </c>
      <c r="C629" s="1">
        <v>5</v>
      </c>
      <c r="D629" s="1">
        <v>10</v>
      </c>
      <c r="E629" s="1">
        <v>10</v>
      </c>
      <c r="F629" s="1">
        <v>10</v>
      </c>
      <c r="G629" s="1">
        <v>5</v>
      </c>
    </row>
    <row r="630" spans="1:7" x14ac:dyDescent="0.2">
      <c r="A630" s="1" t="s">
        <v>639</v>
      </c>
      <c r="B630" s="1" t="str">
        <f>VLOOKUP(student_skills[[#This Row],[Student_ID]],student_data[],2,0)</f>
        <v>Civil</v>
      </c>
      <c r="C630" s="1">
        <v>4</v>
      </c>
      <c r="D630" s="1">
        <v>10</v>
      </c>
      <c r="E630" s="1">
        <v>4</v>
      </c>
      <c r="F630" s="1">
        <v>3</v>
      </c>
      <c r="G630" s="1">
        <v>3</v>
      </c>
    </row>
    <row r="631" spans="1:7" x14ac:dyDescent="0.2">
      <c r="A631" s="1" t="s">
        <v>640</v>
      </c>
      <c r="B631" s="1" t="str">
        <f>VLOOKUP(student_skills[[#This Row],[Student_ID]],student_data[],2,0)</f>
        <v>Electronics</v>
      </c>
      <c r="C631" s="1">
        <v>3</v>
      </c>
      <c r="D631" s="1">
        <v>2</v>
      </c>
      <c r="E631" s="1">
        <v>4</v>
      </c>
      <c r="F631" s="1">
        <v>3</v>
      </c>
      <c r="G631" s="1">
        <v>6</v>
      </c>
    </row>
    <row r="632" spans="1:7" x14ac:dyDescent="0.2">
      <c r="A632" s="1" t="s">
        <v>641</v>
      </c>
      <c r="B632" s="1" t="str">
        <f>VLOOKUP(student_skills[[#This Row],[Student_ID]],student_data[],2,0)</f>
        <v>Civil</v>
      </c>
      <c r="C632" s="1">
        <v>6</v>
      </c>
      <c r="D632" s="1">
        <v>2</v>
      </c>
      <c r="E632" s="1">
        <v>6</v>
      </c>
      <c r="F632" s="1">
        <v>7</v>
      </c>
      <c r="G632" s="1">
        <v>8</v>
      </c>
    </row>
    <row r="633" spans="1:7" x14ac:dyDescent="0.2">
      <c r="A633" s="1" t="s">
        <v>642</v>
      </c>
      <c r="B633" s="1" t="str">
        <f>VLOOKUP(student_skills[[#This Row],[Student_ID]],student_data[],2,0)</f>
        <v>Civil</v>
      </c>
      <c r="C633" s="1">
        <v>2</v>
      </c>
      <c r="D633" s="1">
        <v>10</v>
      </c>
      <c r="E633" s="1">
        <v>8</v>
      </c>
      <c r="F633" s="1">
        <v>7</v>
      </c>
      <c r="G633" s="1">
        <v>9</v>
      </c>
    </row>
    <row r="634" spans="1:7" x14ac:dyDescent="0.2">
      <c r="A634" s="1" t="s">
        <v>643</v>
      </c>
      <c r="B634" s="1" t="str">
        <f>VLOOKUP(student_skills[[#This Row],[Student_ID]],student_data[],2,0)</f>
        <v>Information Technology</v>
      </c>
      <c r="C634" s="1">
        <v>3</v>
      </c>
      <c r="D634" s="1">
        <v>7</v>
      </c>
      <c r="E634" s="1">
        <v>8</v>
      </c>
      <c r="F634" s="1">
        <v>7</v>
      </c>
      <c r="G634" s="1">
        <v>1</v>
      </c>
    </row>
    <row r="635" spans="1:7" x14ac:dyDescent="0.2">
      <c r="A635" s="1" t="s">
        <v>644</v>
      </c>
      <c r="B635" s="1" t="str">
        <f>VLOOKUP(student_skills[[#This Row],[Student_ID]],student_data[],2,0)</f>
        <v>Computer Science</v>
      </c>
      <c r="C635" s="1">
        <v>5</v>
      </c>
      <c r="D635" s="1">
        <v>1</v>
      </c>
      <c r="E635" s="1">
        <v>5</v>
      </c>
      <c r="F635" s="1">
        <v>10</v>
      </c>
      <c r="G635" s="1">
        <v>3</v>
      </c>
    </row>
    <row r="636" spans="1:7" x14ac:dyDescent="0.2">
      <c r="A636" s="1" t="s">
        <v>645</v>
      </c>
      <c r="B636" s="1" t="str">
        <f>VLOOKUP(student_skills[[#This Row],[Student_ID]],student_data[],2,0)</f>
        <v>Civil</v>
      </c>
      <c r="C636" s="1">
        <v>9</v>
      </c>
      <c r="D636" s="1">
        <v>8</v>
      </c>
      <c r="E636" s="1">
        <v>6</v>
      </c>
      <c r="F636" s="1">
        <v>8</v>
      </c>
      <c r="G636" s="1">
        <v>3</v>
      </c>
    </row>
    <row r="637" spans="1:7" x14ac:dyDescent="0.2">
      <c r="A637" s="1" t="s">
        <v>646</v>
      </c>
      <c r="B637" s="1" t="str">
        <f>VLOOKUP(student_skills[[#This Row],[Student_ID]],student_data[],2,0)</f>
        <v>Mechanical</v>
      </c>
      <c r="C637" s="1">
        <v>2</v>
      </c>
      <c r="D637" s="1">
        <v>3</v>
      </c>
      <c r="E637" s="1">
        <v>4</v>
      </c>
      <c r="F637" s="1">
        <v>5</v>
      </c>
      <c r="G637" s="1">
        <v>8</v>
      </c>
    </row>
    <row r="638" spans="1:7" x14ac:dyDescent="0.2">
      <c r="A638" s="1" t="s">
        <v>647</v>
      </c>
      <c r="B638" s="1" t="str">
        <f>VLOOKUP(student_skills[[#This Row],[Student_ID]],student_data[],2,0)</f>
        <v>Computer Science</v>
      </c>
      <c r="C638" s="1">
        <v>10</v>
      </c>
      <c r="D638" s="1">
        <v>6</v>
      </c>
      <c r="E638" s="1">
        <v>9</v>
      </c>
      <c r="F638" s="1">
        <v>5</v>
      </c>
      <c r="G638" s="1">
        <v>1</v>
      </c>
    </row>
    <row r="639" spans="1:7" x14ac:dyDescent="0.2">
      <c r="A639" s="1" t="s">
        <v>648</v>
      </c>
      <c r="B639" s="1" t="str">
        <f>VLOOKUP(student_skills[[#This Row],[Student_ID]],student_data[],2,0)</f>
        <v>Computer Science</v>
      </c>
      <c r="C639" s="1">
        <v>8</v>
      </c>
      <c r="D639" s="1">
        <v>9</v>
      </c>
      <c r="E639" s="1">
        <v>8</v>
      </c>
      <c r="F639" s="1">
        <v>4</v>
      </c>
      <c r="G639" s="1">
        <v>5</v>
      </c>
    </row>
    <row r="640" spans="1:7" x14ac:dyDescent="0.2">
      <c r="A640" s="1" t="s">
        <v>649</v>
      </c>
      <c r="B640" s="1" t="str">
        <f>VLOOKUP(student_skills[[#This Row],[Student_ID]],student_data[],2,0)</f>
        <v>Computer Science</v>
      </c>
      <c r="C640" s="1">
        <v>2</v>
      </c>
      <c r="D640" s="1">
        <v>6</v>
      </c>
      <c r="E640" s="1">
        <v>10</v>
      </c>
      <c r="F640" s="1">
        <v>7</v>
      </c>
      <c r="G640" s="1">
        <v>3</v>
      </c>
    </row>
    <row r="641" spans="1:7" x14ac:dyDescent="0.2">
      <c r="A641" s="1" t="s">
        <v>650</v>
      </c>
      <c r="B641" s="1" t="str">
        <f>VLOOKUP(student_skills[[#This Row],[Student_ID]],student_data[],2,0)</f>
        <v>Information Technology</v>
      </c>
      <c r="C641" s="1">
        <v>5</v>
      </c>
      <c r="D641" s="1">
        <v>9</v>
      </c>
      <c r="E641" s="1">
        <v>10</v>
      </c>
      <c r="F641" s="1">
        <v>10</v>
      </c>
      <c r="G641" s="1">
        <v>2</v>
      </c>
    </row>
    <row r="642" spans="1:7" x14ac:dyDescent="0.2">
      <c r="A642" s="1" t="s">
        <v>651</v>
      </c>
      <c r="B642" s="1" t="str">
        <f>VLOOKUP(student_skills[[#This Row],[Student_ID]],student_data[],2,0)</f>
        <v>Civil</v>
      </c>
      <c r="C642" s="1">
        <v>7</v>
      </c>
      <c r="D642" s="1">
        <v>7</v>
      </c>
      <c r="E642" s="1">
        <v>1</v>
      </c>
      <c r="F642" s="1">
        <v>4</v>
      </c>
      <c r="G642" s="1">
        <v>8</v>
      </c>
    </row>
    <row r="643" spans="1:7" x14ac:dyDescent="0.2">
      <c r="A643" s="1" t="s">
        <v>652</v>
      </c>
      <c r="B643" s="1" t="str">
        <f>VLOOKUP(student_skills[[#This Row],[Student_ID]],student_data[],2,0)</f>
        <v>Information Technology</v>
      </c>
      <c r="C643" s="1">
        <v>8</v>
      </c>
      <c r="D643" s="1">
        <v>9</v>
      </c>
      <c r="E643" s="1">
        <v>2</v>
      </c>
      <c r="F643" s="1">
        <v>2</v>
      </c>
      <c r="G643" s="1">
        <v>3</v>
      </c>
    </row>
    <row r="644" spans="1:7" x14ac:dyDescent="0.2">
      <c r="A644" s="1" t="s">
        <v>653</v>
      </c>
      <c r="B644" s="1" t="str">
        <f>VLOOKUP(student_skills[[#This Row],[Student_ID]],student_data[],2,0)</f>
        <v>Civil</v>
      </c>
      <c r="C644" s="1">
        <v>1</v>
      </c>
      <c r="D644" s="1">
        <v>2</v>
      </c>
      <c r="E644" s="1">
        <v>9</v>
      </c>
      <c r="F644" s="1">
        <v>4</v>
      </c>
      <c r="G644" s="1">
        <v>7</v>
      </c>
    </row>
    <row r="645" spans="1:7" x14ac:dyDescent="0.2">
      <c r="A645" s="1" t="s">
        <v>654</v>
      </c>
      <c r="B645" s="1" t="str">
        <f>VLOOKUP(student_skills[[#This Row],[Student_ID]],student_data[],2,0)</f>
        <v>Information Technology</v>
      </c>
      <c r="C645" s="1">
        <v>6</v>
      </c>
      <c r="D645" s="1">
        <v>8</v>
      </c>
      <c r="E645" s="1">
        <v>8</v>
      </c>
      <c r="F645" s="1">
        <v>8</v>
      </c>
      <c r="G645" s="1">
        <v>1</v>
      </c>
    </row>
    <row r="646" spans="1:7" x14ac:dyDescent="0.2">
      <c r="A646" s="1" t="s">
        <v>655</v>
      </c>
      <c r="B646" s="1" t="str">
        <f>VLOOKUP(student_skills[[#This Row],[Student_ID]],student_data[],2,0)</f>
        <v>Information Technology</v>
      </c>
      <c r="C646" s="1">
        <v>1</v>
      </c>
      <c r="D646" s="1">
        <v>8</v>
      </c>
      <c r="E646" s="1">
        <v>3</v>
      </c>
      <c r="F646" s="1">
        <v>9</v>
      </c>
      <c r="G646" s="1">
        <v>6</v>
      </c>
    </row>
    <row r="647" spans="1:7" x14ac:dyDescent="0.2">
      <c r="A647" s="1" t="s">
        <v>656</v>
      </c>
      <c r="B647" s="1" t="str">
        <f>VLOOKUP(student_skills[[#This Row],[Student_ID]],student_data[],2,0)</f>
        <v>Mechanical</v>
      </c>
      <c r="C647" s="1">
        <v>2</v>
      </c>
      <c r="D647" s="1">
        <v>2</v>
      </c>
      <c r="E647" s="1">
        <v>8</v>
      </c>
      <c r="F647" s="1">
        <v>3</v>
      </c>
      <c r="G647" s="1">
        <v>3</v>
      </c>
    </row>
    <row r="648" spans="1:7" x14ac:dyDescent="0.2">
      <c r="A648" s="1" t="s">
        <v>657</v>
      </c>
      <c r="B648" s="1" t="str">
        <f>VLOOKUP(student_skills[[#This Row],[Student_ID]],student_data[],2,0)</f>
        <v>Information Technology</v>
      </c>
      <c r="C648" s="1">
        <v>1</v>
      </c>
      <c r="D648" s="1">
        <v>4</v>
      </c>
      <c r="E648" s="1">
        <v>1</v>
      </c>
      <c r="F648" s="1">
        <v>7</v>
      </c>
      <c r="G648" s="1">
        <v>8</v>
      </c>
    </row>
    <row r="649" spans="1:7" x14ac:dyDescent="0.2">
      <c r="A649" s="1" t="s">
        <v>658</v>
      </c>
      <c r="B649" s="1" t="str">
        <f>VLOOKUP(student_skills[[#This Row],[Student_ID]],student_data[],2,0)</f>
        <v>Electronics</v>
      </c>
      <c r="C649" s="1">
        <v>5</v>
      </c>
      <c r="D649" s="1">
        <v>7</v>
      </c>
      <c r="E649" s="1">
        <v>10</v>
      </c>
      <c r="F649" s="1">
        <v>9</v>
      </c>
      <c r="G649" s="1">
        <v>6</v>
      </c>
    </row>
    <row r="650" spans="1:7" x14ac:dyDescent="0.2">
      <c r="A650" s="1" t="s">
        <v>659</v>
      </c>
      <c r="B650" s="1" t="str">
        <f>VLOOKUP(student_skills[[#This Row],[Student_ID]],student_data[],2,0)</f>
        <v>Mechanical</v>
      </c>
      <c r="C650" s="1">
        <v>10</v>
      </c>
      <c r="D650" s="1">
        <v>4</v>
      </c>
      <c r="E650" s="1">
        <v>4</v>
      </c>
      <c r="F650" s="1">
        <v>4</v>
      </c>
      <c r="G650" s="1">
        <v>2</v>
      </c>
    </row>
    <row r="651" spans="1:7" x14ac:dyDescent="0.2">
      <c r="A651" s="1" t="s">
        <v>660</v>
      </c>
      <c r="B651" s="1" t="str">
        <f>VLOOKUP(student_skills[[#This Row],[Student_ID]],student_data[],2,0)</f>
        <v>Information Technology</v>
      </c>
      <c r="C651" s="1">
        <v>9</v>
      </c>
      <c r="D651" s="1">
        <v>4</v>
      </c>
      <c r="E651" s="1">
        <v>3</v>
      </c>
      <c r="F651" s="1">
        <v>10</v>
      </c>
      <c r="G651" s="1">
        <v>6</v>
      </c>
    </row>
    <row r="652" spans="1:7" x14ac:dyDescent="0.2">
      <c r="A652" s="1" t="s">
        <v>661</v>
      </c>
      <c r="B652" s="1" t="str">
        <f>VLOOKUP(student_skills[[#This Row],[Student_ID]],student_data[],2,0)</f>
        <v>Computer Science</v>
      </c>
      <c r="C652" s="1">
        <v>6</v>
      </c>
      <c r="D652" s="1">
        <v>6</v>
      </c>
      <c r="E652" s="1">
        <v>6</v>
      </c>
      <c r="F652" s="1">
        <v>3</v>
      </c>
      <c r="G652" s="1">
        <v>7</v>
      </c>
    </row>
    <row r="653" spans="1:7" x14ac:dyDescent="0.2">
      <c r="A653" s="1" t="s">
        <v>662</v>
      </c>
      <c r="B653" s="1" t="str">
        <f>VLOOKUP(student_skills[[#This Row],[Student_ID]],student_data[],2,0)</f>
        <v>Electronics</v>
      </c>
      <c r="C653" s="1">
        <v>1</v>
      </c>
      <c r="D653" s="1">
        <v>10</v>
      </c>
      <c r="E653" s="1">
        <v>7</v>
      </c>
      <c r="F653" s="1">
        <v>5</v>
      </c>
      <c r="G653" s="1">
        <v>5</v>
      </c>
    </row>
    <row r="654" spans="1:7" x14ac:dyDescent="0.2">
      <c r="A654" s="1" t="s">
        <v>663</v>
      </c>
      <c r="B654" s="1" t="str">
        <f>VLOOKUP(student_skills[[#This Row],[Student_ID]],student_data[],2,0)</f>
        <v>Electronics</v>
      </c>
      <c r="C654" s="1">
        <v>1</v>
      </c>
      <c r="D654" s="1">
        <v>6</v>
      </c>
      <c r="E654" s="1">
        <v>4</v>
      </c>
      <c r="F654" s="1">
        <v>1</v>
      </c>
      <c r="G654" s="1">
        <v>3</v>
      </c>
    </row>
    <row r="655" spans="1:7" x14ac:dyDescent="0.2">
      <c r="A655" s="1" t="s">
        <v>664</v>
      </c>
      <c r="B655" s="1" t="str">
        <f>VLOOKUP(student_skills[[#This Row],[Student_ID]],student_data[],2,0)</f>
        <v>Electronics</v>
      </c>
      <c r="C655" s="1">
        <v>2</v>
      </c>
      <c r="D655" s="1">
        <v>10</v>
      </c>
      <c r="E655" s="1">
        <v>7</v>
      </c>
      <c r="F655" s="1">
        <v>3</v>
      </c>
      <c r="G655" s="1">
        <v>4</v>
      </c>
    </row>
    <row r="656" spans="1:7" x14ac:dyDescent="0.2">
      <c r="A656" s="1" t="s">
        <v>665</v>
      </c>
      <c r="B656" s="1" t="str">
        <f>VLOOKUP(student_skills[[#This Row],[Student_ID]],student_data[],2,0)</f>
        <v>Mechanical</v>
      </c>
      <c r="C656" s="1">
        <v>9</v>
      </c>
      <c r="D656" s="1">
        <v>3</v>
      </c>
      <c r="E656" s="1">
        <v>9</v>
      </c>
      <c r="F656" s="1">
        <v>8</v>
      </c>
      <c r="G656" s="1">
        <v>4</v>
      </c>
    </row>
    <row r="657" spans="1:7" x14ac:dyDescent="0.2">
      <c r="A657" s="1" t="s">
        <v>666</v>
      </c>
      <c r="B657" s="1" t="str">
        <f>VLOOKUP(student_skills[[#This Row],[Student_ID]],student_data[],2,0)</f>
        <v>Information Technology</v>
      </c>
      <c r="C657" s="1">
        <v>3</v>
      </c>
      <c r="D657" s="1">
        <v>9</v>
      </c>
      <c r="E657" s="1">
        <v>2</v>
      </c>
      <c r="F657" s="1">
        <v>8</v>
      </c>
      <c r="G657" s="1">
        <v>6</v>
      </c>
    </row>
    <row r="658" spans="1:7" x14ac:dyDescent="0.2">
      <c r="A658" s="1" t="s">
        <v>667</v>
      </c>
      <c r="B658" s="1" t="str">
        <f>VLOOKUP(student_skills[[#This Row],[Student_ID]],student_data[],2,0)</f>
        <v>Information Technology</v>
      </c>
      <c r="C658" s="1">
        <v>1</v>
      </c>
      <c r="D658" s="1">
        <v>10</v>
      </c>
      <c r="E658" s="1">
        <v>3</v>
      </c>
      <c r="F658" s="1">
        <v>4</v>
      </c>
      <c r="G658" s="1">
        <v>10</v>
      </c>
    </row>
    <row r="659" spans="1:7" x14ac:dyDescent="0.2">
      <c r="A659" s="1" t="s">
        <v>668</v>
      </c>
      <c r="B659" s="1" t="str">
        <f>VLOOKUP(student_skills[[#This Row],[Student_ID]],student_data[],2,0)</f>
        <v>Computer Science</v>
      </c>
      <c r="C659" s="1">
        <v>5</v>
      </c>
      <c r="D659" s="1">
        <v>2</v>
      </c>
      <c r="E659" s="1">
        <v>5</v>
      </c>
      <c r="F659" s="1">
        <v>2</v>
      </c>
      <c r="G659" s="1">
        <v>1</v>
      </c>
    </row>
    <row r="660" spans="1:7" x14ac:dyDescent="0.2">
      <c r="A660" s="1" t="s">
        <v>669</v>
      </c>
      <c r="B660" s="1" t="str">
        <f>VLOOKUP(student_skills[[#This Row],[Student_ID]],student_data[],2,0)</f>
        <v>Computer Science</v>
      </c>
      <c r="C660" s="1">
        <v>7</v>
      </c>
      <c r="D660" s="1">
        <v>6</v>
      </c>
      <c r="E660" s="1">
        <v>3</v>
      </c>
      <c r="F660" s="1">
        <v>8</v>
      </c>
      <c r="G660" s="1">
        <v>4</v>
      </c>
    </row>
    <row r="661" spans="1:7" x14ac:dyDescent="0.2">
      <c r="A661" s="1" t="s">
        <v>670</v>
      </c>
      <c r="B661" s="1" t="str">
        <f>VLOOKUP(student_skills[[#This Row],[Student_ID]],student_data[],2,0)</f>
        <v>Electronics</v>
      </c>
      <c r="C661" s="1">
        <v>6</v>
      </c>
      <c r="D661" s="1">
        <v>7</v>
      </c>
      <c r="E661" s="1">
        <v>8</v>
      </c>
      <c r="F661" s="1">
        <v>8</v>
      </c>
      <c r="G661" s="1">
        <v>10</v>
      </c>
    </row>
    <row r="662" spans="1:7" x14ac:dyDescent="0.2">
      <c r="A662" s="1" t="s">
        <v>671</v>
      </c>
      <c r="B662" s="1" t="str">
        <f>VLOOKUP(student_skills[[#This Row],[Student_ID]],student_data[],2,0)</f>
        <v>Computer Science</v>
      </c>
      <c r="C662" s="1">
        <v>1</v>
      </c>
      <c r="D662" s="1">
        <v>9</v>
      </c>
      <c r="E662" s="1">
        <v>10</v>
      </c>
      <c r="F662" s="1">
        <v>10</v>
      </c>
      <c r="G662" s="1">
        <v>4</v>
      </c>
    </row>
    <row r="663" spans="1:7" x14ac:dyDescent="0.2">
      <c r="A663" s="1" t="s">
        <v>672</v>
      </c>
      <c r="B663" s="1" t="str">
        <f>VLOOKUP(student_skills[[#This Row],[Student_ID]],student_data[],2,0)</f>
        <v>Mechanical</v>
      </c>
      <c r="C663" s="1">
        <v>5</v>
      </c>
      <c r="D663" s="1">
        <v>3</v>
      </c>
      <c r="E663" s="1">
        <v>8</v>
      </c>
      <c r="F663" s="1">
        <v>4</v>
      </c>
      <c r="G663" s="1">
        <v>10</v>
      </c>
    </row>
    <row r="664" spans="1:7" x14ac:dyDescent="0.2">
      <c r="A664" s="1" t="s">
        <v>673</v>
      </c>
      <c r="B664" s="1" t="str">
        <f>VLOOKUP(student_skills[[#This Row],[Student_ID]],student_data[],2,0)</f>
        <v>Information Technology</v>
      </c>
      <c r="C664" s="1">
        <v>5</v>
      </c>
      <c r="D664" s="1">
        <v>10</v>
      </c>
      <c r="E664" s="1">
        <v>8</v>
      </c>
      <c r="F664" s="1">
        <v>3</v>
      </c>
      <c r="G664" s="1">
        <v>1</v>
      </c>
    </row>
    <row r="665" spans="1:7" x14ac:dyDescent="0.2">
      <c r="A665" s="1" t="s">
        <v>674</v>
      </c>
      <c r="B665" s="1" t="str">
        <f>VLOOKUP(student_skills[[#This Row],[Student_ID]],student_data[],2,0)</f>
        <v>Electronics</v>
      </c>
      <c r="C665" s="1">
        <v>6</v>
      </c>
      <c r="D665" s="1">
        <v>3</v>
      </c>
      <c r="E665" s="1">
        <v>9</v>
      </c>
      <c r="F665" s="1">
        <v>2</v>
      </c>
      <c r="G665" s="1">
        <v>9</v>
      </c>
    </row>
    <row r="666" spans="1:7" x14ac:dyDescent="0.2">
      <c r="A666" s="1" t="s">
        <v>675</v>
      </c>
      <c r="B666" s="1" t="str">
        <f>VLOOKUP(student_skills[[#This Row],[Student_ID]],student_data[],2,0)</f>
        <v>Computer Science</v>
      </c>
      <c r="C666" s="1">
        <v>3</v>
      </c>
      <c r="D666" s="1">
        <v>7</v>
      </c>
      <c r="E666" s="1">
        <v>4</v>
      </c>
      <c r="F666" s="1">
        <v>9</v>
      </c>
      <c r="G666" s="1">
        <v>4</v>
      </c>
    </row>
    <row r="667" spans="1:7" x14ac:dyDescent="0.2">
      <c r="A667" s="1" t="s">
        <v>676</v>
      </c>
      <c r="B667" s="1" t="str">
        <f>VLOOKUP(student_skills[[#This Row],[Student_ID]],student_data[],2,0)</f>
        <v>Mechanical</v>
      </c>
      <c r="C667" s="1">
        <v>5</v>
      </c>
      <c r="D667" s="1">
        <v>4</v>
      </c>
      <c r="E667" s="1">
        <v>5</v>
      </c>
      <c r="F667" s="1">
        <v>1</v>
      </c>
      <c r="G667" s="1">
        <v>7</v>
      </c>
    </row>
    <row r="668" spans="1:7" x14ac:dyDescent="0.2">
      <c r="A668" s="1" t="s">
        <v>677</v>
      </c>
      <c r="B668" s="1" t="str">
        <f>VLOOKUP(student_skills[[#This Row],[Student_ID]],student_data[],2,0)</f>
        <v>Mechanical</v>
      </c>
      <c r="C668" s="1">
        <v>7</v>
      </c>
      <c r="D668" s="1">
        <v>8</v>
      </c>
      <c r="E668" s="1">
        <v>5</v>
      </c>
      <c r="F668" s="1">
        <v>7</v>
      </c>
      <c r="G668" s="1">
        <v>3</v>
      </c>
    </row>
    <row r="669" spans="1:7" x14ac:dyDescent="0.2">
      <c r="A669" s="1" t="s">
        <v>678</v>
      </c>
      <c r="B669" s="1" t="str">
        <f>VLOOKUP(student_skills[[#This Row],[Student_ID]],student_data[],2,0)</f>
        <v>Computer Science</v>
      </c>
      <c r="C669" s="1">
        <v>5</v>
      </c>
      <c r="D669" s="1">
        <v>7</v>
      </c>
      <c r="E669" s="1">
        <v>8</v>
      </c>
      <c r="F669" s="1">
        <v>5</v>
      </c>
      <c r="G669" s="1">
        <v>10</v>
      </c>
    </row>
    <row r="670" spans="1:7" x14ac:dyDescent="0.2">
      <c r="A670" s="1" t="s">
        <v>679</v>
      </c>
      <c r="B670" s="1" t="str">
        <f>VLOOKUP(student_skills[[#This Row],[Student_ID]],student_data[],2,0)</f>
        <v>Information Technology</v>
      </c>
      <c r="C670" s="1">
        <v>5</v>
      </c>
      <c r="D670" s="1">
        <v>5</v>
      </c>
      <c r="E670" s="1">
        <v>7</v>
      </c>
      <c r="F670" s="1">
        <v>8</v>
      </c>
      <c r="G670" s="1">
        <v>3</v>
      </c>
    </row>
    <row r="671" spans="1:7" x14ac:dyDescent="0.2">
      <c r="A671" s="1" t="s">
        <v>680</v>
      </c>
      <c r="B671" s="1" t="str">
        <f>VLOOKUP(student_skills[[#This Row],[Student_ID]],student_data[],2,0)</f>
        <v>Computer Science</v>
      </c>
      <c r="C671" s="1">
        <v>5</v>
      </c>
      <c r="D671" s="1">
        <v>7</v>
      </c>
      <c r="E671" s="1">
        <v>9</v>
      </c>
      <c r="F671" s="1">
        <v>4</v>
      </c>
      <c r="G671" s="1">
        <v>8</v>
      </c>
    </row>
    <row r="672" spans="1:7" x14ac:dyDescent="0.2">
      <c r="A672" s="1" t="s">
        <v>681</v>
      </c>
      <c r="B672" s="1" t="str">
        <f>VLOOKUP(student_skills[[#This Row],[Student_ID]],student_data[],2,0)</f>
        <v>Electronics</v>
      </c>
      <c r="C672" s="1">
        <v>10</v>
      </c>
      <c r="D672" s="1">
        <v>3</v>
      </c>
      <c r="E672" s="1">
        <v>8</v>
      </c>
      <c r="F672" s="1">
        <v>7</v>
      </c>
      <c r="G672" s="1">
        <v>8</v>
      </c>
    </row>
    <row r="673" spans="1:7" x14ac:dyDescent="0.2">
      <c r="A673" s="1" t="s">
        <v>682</v>
      </c>
      <c r="B673" s="1" t="str">
        <f>VLOOKUP(student_skills[[#This Row],[Student_ID]],student_data[],2,0)</f>
        <v>Computer Science</v>
      </c>
      <c r="C673" s="1">
        <v>10</v>
      </c>
      <c r="D673" s="1">
        <v>2</v>
      </c>
      <c r="E673" s="1">
        <v>2</v>
      </c>
      <c r="F673" s="1">
        <v>5</v>
      </c>
      <c r="G673" s="1">
        <v>1</v>
      </c>
    </row>
    <row r="674" spans="1:7" x14ac:dyDescent="0.2">
      <c r="A674" s="1" t="s">
        <v>683</v>
      </c>
      <c r="B674" s="1" t="str">
        <f>VLOOKUP(student_skills[[#This Row],[Student_ID]],student_data[],2,0)</f>
        <v>Mechanical</v>
      </c>
      <c r="C674" s="1">
        <v>3</v>
      </c>
      <c r="D674" s="1">
        <v>6</v>
      </c>
      <c r="E674" s="1">
        <v>10</v>
      </c>
      <c r="F674" s="1">
        <v>5</v>
      </c>
      <c r="G674" s="1">
        <v>10</v>
      </c>
    </row>
    <row r="675" spans="1:7" x14ac:dyDescent="0.2">
      <c r="A675" s="1" t="s">
        <v>684</v>
      </c>
      <c r="B675" s="1" t="str">
        <f>VLOOKUP(student_skills[[#This Row],[Student_ID]],student_data[],2,0)</f>
        <v>Computer Science</v>
      </c>
      <c r="C675" s="1">
        <v>1</v>
      </c>
      <c r="D675" s="1">
        <v>2</v>
      </c>
      <c r="E675" s="1">
        <v>4</v>
      </c>
      <c r="F675" s="1">
        <v>9</v>
      </c>
      <c r="G675" s="1">
        <v>2</v>
      </c>
    </row>
    <row r="676" spans="1:7" x14ac:dyDescent="0.2">
      <c r="A676" s="1" t="s">
        <v>685</v>
      </c>
      <c r="B676" s="1" t="str">
        <f>VLOOKUP(student_skills[[#This Row],[Student_ID]],student_data[],2,0)</f>
        <v>Information Technology</v>
      </c>
      <c r="C676" s="1">
        <v>5</v>
      </c>
      <c r="D676" s="1">
        <v>3</v>
      </c>
      <c r="E676" s="1">
        <v>6</v>
      </c>
      <c r="F676" s="1">
        <v>9</v>
      </c>
      <c r="G676" s="1">
        <v>8</v>
      </c>
    </row>
    <row r="677" spans="1:7" x14ac:dyDescent="0.2">
      <c r="A677" s="1" t="s">
        <v>686</v>
      </c>
      <c r="B677" s="1" t="str">
        <f>VLOOKUP(student_skills[[#This Row],[Student_ID]],student_data[],2,0)</f>
        <v>Civil</v>
      </c>
      <c r="C677" s="1">
        <v>9</v>
      </c>
      <c r="D677" s="1">
        <v>6</v>
      </c>
      <c r="E677" s="1">
        <v>2</v>
      </c>
      <c r="F677" s="1">
        <v>9</v>
      </c>
      <c r="G677" s="1">
        <v>1</v>
      </c>
    </row>
    <row r="678" spans="1:7" x14ac:dyDescent="0.2">
      <c r="A678" s="1" t="s">
        <v>687</v>
      </c>
      <c r="B678" s="1" t="str">
        <f>VLOOKUP(student_skills[[#This Row],[Student_ID]],student_data[],2,0)</f>
        <v>Computer Science</v>
      </c>
      <c r="C678" s="1">
        <v>1</v>
      </c>
      <c r="D678" s="1">
        <v>5</v>
      </c>
      <c r="E678" s="1">
        <v>7</v>
      </c>
      <c r="F678" s="1">
        <v>6</v>
      </c>
      <c r="G678" s="1">
        <v>8</v>
      </c>
    </row>
    <row r="679" spans="1:7" x14ac:dyDescent="0.2">
      <c r="A679" s="1" t="s">
        <v>688</v>
      </c>
      <c r="B679" s="1" t="str">
        <f>VLOOKUP(student_skills[[#This Row],[Student_ID]],student_data[],2,0)</f>
        <v>Information Technology</v>
      </c>
      <c r="C679" s="1">
        <v>3</v>
      </c>
      <c r="D679" s="1">
        <v>8</v>
      </c>
      <c r="E679" s="1">
        <v>3</v>
      </c>
      <c r="F679" s="1">
        <v>6</v>
      </c>
      <c r="G679" s="1">
        <v>8</v>
      </c>
    </row>
    <row r="680" spans="1:7" x14ac:dyDescent="0.2">
      <c r="A680" s="1" t="s">
        <v>689</v>
      </c>
      <c r="B680" s="1" t="str">
        <f>VLOOKUP(student_skills[[#This Row],[Student_ID]],student_data[],2,0)</f>
        <v>Information Technology</v>
      </c>
      <c r="C680" s="1">
        <v>4</v>
      </c>
      <c r="D680" s="1">
        <v>9</v>
      </c>
      <c r="E680" s="1">
        <v>3</v>
      </c>
      <c r="F680" s="1">
        <v>5</v>
      </c>
      <c r="G680" s="1">
        <v>2</v>
      </c>
    </row>
    <row r="681" spans="1:7" x14ac:dyDescent="0.2">
      <c r="A681" s="1" t="s">
        <v>690</v>
      </c>
      <c r="B681" s="1" t="str">
        <f>VLOOKUP(student_skills[[#This Row],[Student_ID]],student_data[],2,0)</f>
        <v>Mechanical</v>
      </c>
      <c r="C681" s="1">
        <v>1</v>
      </c>
      <c r="D681" s="1">
        <v>3</v>
      </c>
      <c r="E681" s="1">
        <v>2</v>
      </c>
      <c r="F681" s="1">
        <v>9</v>
      </c>
      <c r="G681" s="1">
        <v>4</v>
      </c>
    </row>
    <row r="682" spans="1:7" x14ac:dyDescent="0.2">
      <c r="A682" s="1" t="s">
        <v>691</v>
      </c>
      <c r="B682" s="1" t="str">
        <f>VLOOKUP(student_skills[[#This Row],[Student_ID]],student_data[],2,0)</f>
        <v>Information Technology</v>
      </c>
      <c r="C682" s="1">
        <v>1</v>
      </c>
      <c r="D682" s="1">
        <v>10</v>
      </c>
      <c r="E682" s="1">
        <v>8</v>
      </c>
      <c r="F682" s="1">
        <v>10</v>
      </c>
      <c r="G682" s="1">
        <v>6</v>
      </c>
    </row>
    <row r="683" spans="1:7" x14ac:dyDescent="0.2">
      <c r="A683" s="1" t="s">
        <v>692</v>
      </c>
      <c r="B683" s="1" t="str">
        <f>VLOOKUP(student_skills[[#This Row],[Student_ID]],student_data[],2,0)</f>
        <v>Information Technology</v>
      </c>
      <c r="C683" s="1">
        <v>8</v>
      </c>
      <c r="D683" s="1">
        <v>3</v>
      </c>
      <c r="E683" s="1">
        <v>6</v>
      </c>
      <c r="F683" s="1">
        <v>8</v>
      </c>
      <c r="G683" s="1">
        <v>9</v>
      </c>
    </row>
    <row r="684" spans="1:7" x14ac:dyDescent="0.2">
      <c r="A684" s="1" t="s">
        <v>693</v>
      </c>
      <c r="B684" s="1" t="str">
        <f>VLOOKUP(student_skills[[#This Row],[Student_ID]],student_data[],2,0)</f>
        <v>Information Technology</v>
      </c>
      <c r="C684" s="1">
        <v>2</v>
      </c>
      <c r="D684" s="1">
        <v>3</v>
      </c>
      <c r="E684" s="1">
        <v>1</v>
      </c>
      <c r="F684" s="1">
        <v>7</v>
      </c>
      <c r="G684" s="1">
        <v>8</v>
      </c>
    </row>
    <row r="685" spans="1:7" x14ac:dyDescent="0.2">
      <c r="A685" s="1" t="s">
        <v>694</v>
      </c>
      <c r="B685" s="1" t="str">
        <f>VLOOKUP(student_skills[[#This Row],[Student_ID]],student_data[],2,0)</f>
        <v>Information Technology</v>
      </c>
      <c r="C685" s="1">
        <v>8</v>
      </c>
      <c r="D685" s="1">
        <v>6</v>
      </c>
      <c r="E685" s="1">
        <v>1</v>
      </c>
      <c r="F685" s="1">
        <v>7</v>
      </c>
      <c r="G685" s="1">
        <v>8</v>
      </c>
    </row>
    <row r="686" spans="1:7" x14ac:dyDescent="0.2">
      <c r="A686" s="1" t="s">
        <v>695</v>
      </c>
      <c r="B686" s="1" t="str">
        <f>VLOOKUP(student_skills[[#This Row],[Student_ID]],student_data[],2,0)</f>
        <v>Electronics</v>
      </c>
      <c r="C686" s="1">
        <v>7</v>
      </c>
      <c r="D686" s="1">
        <v>1</v>
      </c>
      <c r="E686" s="1">
        <v>7</v>
      </c>
      <c r="F686" s="1">
        <v>6</v>
      </c>
      <c r="G686" s="1">
        <v>7</v>
      </c>
    </row>
    <row r="687" spans="1:7" x14ac:dyDescent="0.2">
      <c r="A687" s="1" t="s">
        <v>696</v>
      </c>
      <c r="B687" s="1" t="str">
        <f>VLOOKUP(student_skills[[#This Row],[Student_ID]],student_data[],2,0)</f>
        <v>Electronics</v>
      </c>
      <c r="C687" s="1">
        <v>10</v>
      </c>
      <c r="D687" s="1">
        <v>7</v>
      </c>
      <c r="E687" s="1">
        <v>8</v>
      </c>
      <c r="F687" s="1">
        <v>5</v>
      </c>
      <c r="G687" s="1">
        <v>9</v>
      </c>
    </row>
    <row r="688" spans="1:7" x14ac:dyDescent="0.2">
      <c r="A688" s="1" t="s">
        <v>697</v>
      </c>
      <c r="B688" s="1" t="str">
        <f>VLOOKUP(student_skills[[#This Row],[Student_ID]],student_data[],2,0)</f>
        <v>Mechanical</v>
      </c>
      <c r="C688" s="1">
        <v>10</v>
      </c>
      <c r="D688" s="1">
        <v>1</v>
      </c>
      <c r="E688" s="1">
        <v>5</v>
      </c>
      <c r="F688" s="1">
        <v>4</v>
      </c>
      <c r="G688" s="1">
        <v>2</v>
      </c>
    </row>
    <row r="689" spans="1:7" x14ac:dyDescent="0.2">
      <c r="A689" s="1" t="s">
        <v>698</v>
      </c>
      <c r="B689" s="1" t="str">
        <f>VLOOKUP(student_skills[[#This Row],[Student_ID]],student_data[],2,0)</f>
        <v>Computer Science</v>
      </c>
      <c r="C689" s="1">
        <v>2</v>
      </c>
      <c r="D689" s="1">
        <v>5</v>
      </c>
      <c r="E689" s="1">
        <v>5</v>
      </c>
      <c r="F689" s="1">
        <v>3</v>
      </c>
      <c r="G689" s="1">
        <v>3</v>
      </c>
    </row>
    <row r="690" spans="1:7" x14ac:dyDescent="0.2">
      <c r="A690" s="1" t="s">
        <v>699</v>
      </c>
      <c r="B690" s="1" t="str">
        <f>VLOOKUP(student_skills[[#This Row],[Student_ID]],student_data[],2,0)</f>
        <v>Information Technology</v>
      </c>
      <c r="C690" s="1">
        <v>6</v>
      </c>
      <c r="D690" s="1">
        <v>10</v>
      </c>
      <c r="E690" s="1">
        <v>4</v>
      </c>
      <c r="F690" s="1">
        <v>3</v>
      </c>
      <c r="G690" s="1">
        <v>10</v>
      </c>
    </row>
    <row r="691" spans="1:7" x14ac:dyDescent="0.2">
      <c r="A691" s="1" t="s">
        <v>700</v>
      </c>
      <c r="B691" s="1" t="str">
        <f>VLOOKUP(student_skills[[#This Row],[Student_ID]],student_data[],2,0)</f>
        <v>Computer Science</v>
      </c>
      <c r="C691" s="1">
        <v>6</v>
      </c>
      <c r="D691" s="1">
        <v>8</v>
      </c>
      <c r="E691" s="1">
        <v>6</v>
      </c>
      <c r="F691" s="1">
        <v>6</v>
      </c>
      <c r="G691" s="1">
        <v>8</v>
      </c>
    </row>
    <row r="692" spans="1:7" x14ac:dyDescent="0.2">
      <c r="A692" s="1" t="s">
        <v>701</v>
      </c>
      <c r="B692" s="1" t="str">
        <f>VLOOKUP(student_skills[[#This Row],[Student_ID]],student_data[],2,0)</f>
        <v>Computer Science</v>
      </c>
      <c r="C692" s="1">
        <v>3</v>
      </c>
      <c r="D692" s="1">
        <v>4</v>
      </c>
      <c r="E692" s="1">
        <v>6</v>
      </c>
      <c r="F692" s="1">
        <v>4</v>
      </c>
      <c r="G692" s="1">
        <v>6</v>
      </c>
    </row>
    <row r="693" spans="1:7" x14ac:dyDescent="0.2">
      <c r="A693" s="1" t="s">
        <v>702</v>
      </c>
      <c r="B693" s="1" t="str">
        <f>VLOOKUP(student_skills[[#This Row],[Student_ID]],student_data[],2,0)</f>
        <v>Mechanical</v>
      </c>
      <c r="C693" s="1">
        <v>2</v>
      </c>
      <c r="D693" s="1">
        <v>5</v>
      </c>
      <c r="E693" s="1">
        <v>3</v>
      </c>
      <c r="F693" s="1">
        <v>6</v>
      </c>
      <c r="G693" s="1">
        <v>10</v>
      </c>
    </row>
    <row r="694" spans="1:7" x14ac:dyDescent="0.2">
      <c r="A694" s="1" t="s">
        <v>703</v>
      </c>
      <c r="B694" s="1" t="str">
        <f>VLOOKUP(student_skills[[#This Row],[Student_ID]],student_data[],2,0)</f>
        <v>Information Technology</v>
      </c>
      <c r="C694" s="1">
        <v>1</v>
      </c>
      <c r="D694" s="1">
        <v>4</v>
      </c>
      <c r="E694" s="1">
        <v>9</v>
      </c>
      <c r="F694" s="1">
        <v>3</v>
      </c>
      <c r="G694" s="1">
        <v>9</v>
      </c>
    </row>
    <row r="695" spans="1:7" x14ac:dyDescent="0.2">
      <c r="A695" s="1" t="s">
        <v>704</v>
      </c>
      <c r="B695" s="1" t="str">
        <f>VLOOKUP(student_skills[[#This Row],[Student_ID]],student_data[],2,0)</f>
        <v>Information Technology</v>
      </c>
      <c r="C695" s="1">
        <v>6</v>
      </c>
      <c r="D695" s="1">
        <v>4</v>
      </c>
      <c r="E695" s="1">
        <v>7</v>
      </c>
      <c r="F695" s="1">
        <v>4</v>
      </c>
      <c r="G695" s="1">
        <v>10</v>
      </c>
    </row>
    <row r="696" spans="1:7" x14ac:dyDescent="0.2">
      <c r="A696" s="1" t="s">
        <v>705</v>
      </c>
      <c r="B696" s="1" t="str">
        <f>VLOOKUP(student_skills[[#This Row],[Student_ID]],student_data[],2,0)</f>
        <v>Civil</v>
      </c>
      <c r="C696" s="1">
        <v>5</v>
      </c>
      <c r="D696" s="1">
        <v>8</v>
      </c>
      <c r="E696" s="1">
        <v>1</v>
      </c>
      <c r="F696" s="1">
        <v>9</v>
      </c>
      <c r="G696" s="1">
        <v>4</v>
      </c>
    </row>
    <row r="697" spans="1:7" x14ac:dyDescent="0.2">
      <c r="A697" s="1" t="s">
        <v>706</v>
      </c>
      <c r="B697" s="1" t="str">
        <f>VLOOKUP(student_skills[[#This Row],[Student_ID]],student_data[],2,0)</f>
        <v>Computer Science</v>
      </c>
      <c r="C697" s="1">
        <v>9</v>
      </c>
      <c r="D697" s="1">
        <v>2</v>
      </c>
      <c r="E697" s="1">
        <v>7</v>
      </c>
      <c r="F697" s="1">
        <v>5</v>
      </c>
      <c r="G697" s="1">
        <v>8</v>
      </c>
    </row>
    <row r="698" spans="1:7" x14ac:dyDescent="0.2">
      <c r="A698" s="1" t="s">
        <v>707</v>
      </c>
      <c r="B698" s="1" t="str">
        <f>VLOOKUP(student_skills[[#This Row],[Student_ID]],student_data[],2,0)</f>
        <v>Computer Science</v>
      </c>
      <c r="C698" s="1">
        <v>1</v>
      </c>
      <c r="D698" s="1">
        <v>1</v>
      </c>
      <c r="E698" s="1">
        <v>5</v>
      </c>
      <c r="F698" s="1">
        <v>7</v>
      </c>
      <c r="G698" s="1">
        <v>10</v>
      </c>
    </row>
    <row r="699" spans="1:7" x14ac:dyDescent="0.2">
      <c r="A699" s="1" t="s">
        <v>708</v>
      </c>
      <c r="B699" s="1" t="str">
        <f>VLOOKUP(student_skills[[#This Row],[Student_ID]],student_data[],2,0)</f>
        <v>Electronics</v>
      </c>
      <c r="C699" s="1">
        <v>7</v>
      </c>
      <c r="D699" s="1">
        <v>3</v>
      </c>
      <c r="E699" s="1">
        <v>5</v>
      </c>
      <c r="F699" s="1">
        <v>10</v>
      </c>
      <c r="G699" s="1">
        <v>3</v>
      </c>
    </row>
    <row r="700" spans="1:7" x14ac:dyDescent="0.2">
      <c r="A700" s="1" t="s">
        <v>709</v>
      </c>
      <c r="B700" s="1" t="str">
        <f>VLOOKUP(student_skills[[#This Row],[Student_ID]],student_data[],2,0)</f>
        <v>Civil</v>
      </c>
      <c r="C700" s="1">
        <v>5</v>
      </c>
      <c r="D700" s="1">
        <v>9</v>
      </c>
      <c r="E700" s="1">
        <v>2</v>
      </c>
      <c r="F700" s="1">
        <v>2</v>
      </c>
      <c r="G700" s="1">
        <v>3</v>
      </c>
    </row>
    <row r="701" spans="1:7" x14ac:dyDescent="0.2">
      <c r="A701" s="1" t="s">
        <v>710</v>
      </c>
      <c r="B701" s="1" t="str">
        <f>VLOOKUP(student_skills[[#This Row],[Student_ID]],student_data[],2,0)</f>
        <v>Electronics</v>
      </c>
      <c r="C701" s="1">
        <v>5</v>
      </c>
      <c r="D701" s="1">
        <v>4</v>
      </c>
      <c r="E701" s="1">
        <v>4</v>
      </c>
      <c r="F701" s="1">
        <v>5</v>
      </c>
      <c r="G701" s="1">
        <v>8</v>
      </c>
    </row>
    <row r="702" spans="1:7" x14ac:dyDescent="0.2">
      <c r="A702" s="1" t="s">
        <v>711</v>
      </c>
      <c r="B702" s="1" t="str">
        <f>VLOOKUP(student_skills[[#This Row],[Student_ID]],student_data[],2,0)</f>
        <v>Electronics</v>
      </c>
      <c r="C702" s="1">
        <v>2</v>
      </c>
      <c r="D702" s="1">
        <v>10</v>
      </c>
      <c r="E702" s="1">
        <v>6</v>
      </c>
      <c r="F702" s="1">
        <v>9</v>
      </c>
      <c r="G702" s="1">
        <v>5</v>
      </c>
    </row>
    <row r="703" spans="1:7" x14ac:dyDescent="0.2">
      <c r="A703" s="1" t="s">
        <v>712</v>
      </c>
      <c r="B703" s="1" t="str">
        <f>VLOOKUP(student_skills[[#This Row],[Student_ID]],student_data[],2,0)</f>
        <v>Electronics</v>
      </c>
      <c r="C703" s="1">
        <v>3</v>
      </c>
      <c r="D703" s="1">
        <v>5</v>
      </c>
      <c r="E703" s="1">
        <v>10</v>
      </c>
      <c r="F703" s="1">
        <v>3</v>
      </c>
      <c r="G703" s="1">
        <v>3</v>
      </c>
    </row>
    <row r="704" spans="1:7" x14ac:dyDescent="0.2">
      <c r="A704" s="1" t="s">
        <v>713</v>
      </c>
      <c r="B704" s="1" t="str">
        <f>VLOOKUP(student_skills[[#This Row],[Student_ID]],student_data[],2,0)</f>
        <v>Mechanical</v>
      </c>
      <c r="C704" s="1">
        <v>7</v>
      </c>
      <c r="D704" s="1">
        <v>2</v>
      </c>
      <c r="E704" s="1">
        <v>7</v>
      </c>
      <c r="F704" s="1">
        <v>9</v>
      </c>
      <c r="G704" s="1">
        <v>10</v>
      </c>
    </row>
    <row r="705" spans="1:7" x14ac:dyDescent="0.2">
      <c r="A705" s="1" t="s">
        <v>714</v>
      </c>
      <c r="B705" s="1" t="str">
        <f>VLOOKUP(student_skills[[#This Row],[Student_ID]],student_data[],2,0)</f>
        <v>Mechanical</v>
      </c>
      <c r="C705" s="1">
        <v>6</v>
      </c>
      <c r="D705" s="1">
        <v>4</v>
      </c>
      <c r="E705" s="1">
        <v>5</v>
      </c>
      <c r="F705" s="1">
        <v>6</v>
      </c>
      <c r="G705" s="1">
        <v>1</v>
      </c>
    </row>
    <row r="706" spans="1:7" x14ac:dyDescent="0.2">
      <c r="A706" s="1" t="s">
        <v>715</v>
      </c>
      <c r="B706" s="1" t="str">
        <f>VLOOKUP(student_skills[[#This Row],[Student_ID]],student_data[],2,0)</f>
        <v>Electronics</v>
      </c>
      <c r="C706" s="1">
        <v>2</v>
      </c>
      <c r="D706" s="1">
        <v>2</v>
      </c>
      <c r="E706" s="1">
        <v>9</v>
      </c>
      <c r="F706" s="1">
        <v>4</v>
      </c>
      <c r="G706" s="1">
        <v>3</v>
      </c>
    </row>
    <row r="707" spans="1:7" x14ac:dyDescent="0.2">
      <c r="A707" s="1" t="s">
        <v>716</v>
      </c>
      <c r="B707" s="1" t="str">
        <f>VLOOKUP(student_skills[[#This Row],[Student_ID]],student_data[],2,0)</f>
        <v>Civil</v>
      </c>
      <c r="C707" s="1">
        <v>6</v>
      </c>
      <c r="D707" s="1">
        <v>2</v>
      </c>
      <c r="E707" s="1">
        <v>3</v>
      </c>
      <c r="F707" s="1">
        <v>7</v>
      </c>
      <c r="G707" s="1">
        <v>9</v>
      </c>
    </row>
    <row r="708" spans="1:7" x14ac:dyDescent="0.2">
      <c r="A708" s="1" t="s">
        <v>717</v>
      </c>
      <c r="B708" s="1" t="str">
        <f>VLOOKUP(student_skills[[#This Row],[Student_ID]],student_data[],2,0)</f>
        <v>Computer Science</v>
      </c>
      <c r="C708" s="1">
        <v>2</v>
      </c>
      <c r="D708" s="1">
        <v>4</v>
      </c>
      <c r="E708" s="1">
        <v>1</v>
      </c>
      <c r="F708" s="1">
        <v>8</v>
      </c>
      <c r="G708" s="1">
        <v>5</v>
      </c>
    </row>
    <row r="709" spans="1:7" x14ac:dyDescent="0.2">
      <c r="A709" s="1" t="s">
        <v>718</v>
      </c>
      <c r="B709" s="1" t="str">
        <f>VLOOKUP(student_skills[[#This Row],[Student_ID]],student_data[],2,0)</f>
        <v>Civil</v>
      </c>
      <c r="C709" s="1">
        <v>2</v>
      </c>
      <c r="D709" s="1">
        <v>6</v>
      </c>
      <c r="E709" s="1">
        <v>4</v>
      </c>
      <c r="F709" s="1">
        <v>6</v>
      </c>
      <c r="G709" s="1">
        <v>10</v>
      </c>
    </row>
    <row r="710" spans="1:7" x14ac:dyDescent="0.2">
      <c r="A710" s="1" t="s">
        <v>719</v>
      </c>
      <c r="B710" s="1" t="str">
        <f>VLOOKUP(student_skills[[#This Row],[Student_ID]],student_data[],2,0)</f>
        <v>Information Technology</v>
      </c>
      <c r="C710" s="1">
        <v>2</v>
      </c>
      <c r="D710" s="1">
        <v>7</v>
      </c>
      <c r="E710" s="1">
        <v>9</v>
      </c>
      <c r="F710" s="1">
        <v>5</v>
      </c>
      <c r="G710" s="1">
        <v>2</v>
      </c>
    </row>
    <row r="711" spans="1:7" x14ac:dyDescent="0.2">
      <c r="A711" s="1" t="s">
        <v>720</v>
      </c>
      <c r="B711" s="1" t="str">
        <f>VLOOKUP(student_skills[[#This Row],[Student_ID]],student_data[],2,0)</f>
        <v>Mechanical</v>
      </c>
      <c r="C711" s="1">
        <v>3</v>
      </c>
      <c r="D711" s="1">
        <v>10</v>
      </c>
      <c r="E711" s="1">
        <v>4</v>
      </c>
      <c r="F711" s="1">
        <v>6</v>
      </c>
      <c r="G711" s="1">
        <v>7</v>
      </c>
    </row>
    <row r="712" spans="1:7" x14ac:dyDescent="0.2">
      <c r="A712" s="1" t="s">
        <v>721</v>
      </c>
      <c r="B712" s="1" t="str">
        <f>VLOOKUP(student_skills[[#This Row],[Student_ID]],student_data[],2,0)</f>
        <v>Computer Science</v>
      </c>
      <c r="C712" s="1">
        <v>2</v>
      </c>
      <c r="D712" s="1">
        <v>3</v>
      </c>
      <c r="E712" s="1">
        <v>2</v>
      </c>
      <c r="F712" s="1">
        <v>5</v>
      </c>
      <c r="G712" s="1">
        <v>2</v>
      </c>
    </row>
    <row r="713" spans="1:7" x14ac:dyDescent="0.2">
      <c r="A713" s="1" t="s">
        <v>722</v>
      </c>
      <c r="B713" s="1" t="str">
        <f>VLOOKUP(student_skills[[#This Row],[Student_ID]],student_data[],2,0)</f>
        <v>Computer Science</v>
      </c>
      <c r="C713" s="1">
        <v>4</v>
      </c>
      <c r="D713" s="1">
        <v>3</v>
      </c>
      <c r="E713" s="1">
        <v>10</v>
      </c>
      <c r="F713" s="1">
        <v>8</v>
      </c>
      <c r="G713" s="1">
        <v>4</v>
      </c>
    </row>
    <row r="714" spans="1:7" x14ac:dyDescent="0.2">
      <c r="A714" s="1" t="s">
        <v>723</v>
      </c>
      <c r="B714" s="1" t="str">
        <f>VLOOKUP(student_skills[[#This Row],[Student_ID]],student_data[],2,0)</f>
        <v>Information Technology</v>
      </c>
      <c r="C714" s="1">
        <v>9</v>
      </c>
      <c r="D714" s="1">
        <v>10</v>
      </c>
      <c r="E714" s="1">
        <v>5</v>
      </c>
      <c r="F714" s="1">
        <v>1</v>
      </c>
      <c r="G714" s="1">
        <v>7</v>
      </c>
    </row>
    <row r="715" spans="1:7" x14ac:dyDescent="0.2">
      <c r="A715" s="1" t="s">
        <v>724</v>
      </c>
      <c r="B715" s="1" t="str">
        <f>VLOOKUP(student_skills[[#This Row],[Student_ID]],student_data[],2,0)</f>
        <v>Information Technology</v>
      </c>
      <c r="C715" s="1">
        <v>6</v>
      </c>
      <c r="D715" s="1">
        <v>6</v>
      </c>
      <c r="E715" s="1">
        <v>3</v>
      </c>
      <c r="F715" s="1">
        <v>7</v>
      </c>
      <c r="G715" s="1">
        <v>4</v>
      </c>
    </row>
    <row r="716" spans="1:7" x14ac:dyDescent="0.2">
      <c r="A716" s="1" t="s">
        <v>725</v>
      </c>
      <c r="B716" s="1" t="str">
        <f>VLOOKUP(student_skills[[#This Row],[Student_ID]],student_data[],2,0)</f>
        <v>Electronics</v>
      </c>
      <c r="C716" s="1">
        <v>1</v>
      </c>
      <c r="D716" s="1">
        <v>3</v>
      </c>
      <c r="E716" s="1">
        <v>9</v>
      </c>
      <c r="F716" s="1">
        <v>10</v>
      </c>
      <c r="G716" s="1">
        <v>7</v>
      </c>
    </row>
    <row r="717" spans="1:7" x14ac:dyDescent="0.2">
      <c r="A717" s="1" t="s">
        <v>726</v>
      </c>
      <c r="B717" s="1" t="str">
        <f>VLOOKUP(student_skills[[#This Row],[Student_ID]],student_data[],2,0)</f>
        <v>Mechanical</v>
      </c>
      <c r="C717" s="1">
        <v>8</v>
      </c>
      <c r="D717" s="1">
        <v>2</v>
      </c>
      <c r="E717" s="1">
        <v>4</v>
      </c>
      <c r="F717" s="1">
        <v>10</v>
      </c>
      <c r="G717" s="1">
        <v>7</v>
      </c>
    </row>
    <row r="718" spans="1:7" x14ac:dyDescent="0.2">
      <c r="A718" s="1" t="s">
        <v>727</v>
      </c>
      <c r="B718" s="1" t="str">
        <f>VLOOKUP(student_skills[[#This Row],[Student_ID]],student_data[],2,0)</f>
        <v>Mechanical</v>
      </c>
      <c r="C718" s="1">
        <v>7</v>
      </c>
      <c r="D718" s="1">
        <v>8</v>
      </c>
      <c r="E718" s="1">
        <v>6</v>
      </c>
      <c r="F718" s="1">
        <v>2</v>
      </c>
      <c r="G718" s="1">
        <v>1</v>
      </c>
    </row>
    <row r="719" spans="1:7" x14ac:dyDescent="0.2">
      <c r="A719" s="1" t="s">
        <v>728</v>
      </c>
      <c r="B719" s="1" t="str">
        <f>VLOOKUP(student_skills[[#This Row],[Student_ID]],student_data[],2,0)</f>
        <v>Civil</v>
      </c>
      <c r="C719" s="1">
        <v>10</v>
      </c>
      <c r="D719" s="1">
        <v>5</v>
      </c>
      <c r="E719" s="1">
        <v>2</v>
      </c>
      <c r="F719" s="1">
        <v>9</v>
      </c>
      <c r="G719" s="1">
        <v>6</v>
      </c>
    </row>
    <row r="720" spans="1:7" x14ac:dyDescent="0.2">
      <c r="A720" s="1" t="s">
        <v>729</v>
      </c>
      <c r="B720" s="1" t="str">
        <f>VLOOKUP(student_skills[[#This Row],[Student_ID]],student_data[],2,0)</f>
        <v>Electronics</v>
      </c>
      <c r="C720" s="1">
        <v>3</v>
      </c>
      <c r="D720" s="1">
        <v>1</v>
      </c>
      <c r="E720" s="1">
        <v>6</v>
      </c>
      <c r="F720" s="1">
        <v>1</v>
      </c>
      <c r="G720" s="1">
        <v>9</v>
      </c>
    </row>
    <row r="721" spans="1:7" x14ac:dyDescent="0.2">
      <c r="A721" s="1" t="s">
        <v>730</v>
      </c>
      <c r="B721" s="1" t="str">
        <f>VLOOKUP(student_skills[[#This Row],[Student_ID]],student_data[],2,0)</f>
        <v>Electronics</v>
      </c>
      <c r="C721" s="1">
        <v>1</v>
      </c>
      <c r="D721" s="1">
        <v>3</v>
      </c>
      <c r="E721" s="1">
        <v>3</v>
      </c>
      <c r="F721" s="1">
        <v>10</v>
      </c>
      <c r="G721" s="1">
        <v>2</v>
      </c>
    </row>
    <row r="722" spans="1:7" x14ac:dyDescent="0.2">
      <c r="A722" s="1" t="s">
        <v>731</v>
      </c>
      <c r="B722" s="1" t="str">
        <f>VLOOKUP(student_skills[[#This Row],[Student_ID]],student_data[],2,0)</f>
        <v>Electronics</v>
      </c>
      <c r="C722" s="1">
        <v>5</v>
      </c>
      <c r="D722" s="1">
        <v>10</v>
      </c>
      <c r="E722" s="1">
        <v>9</v>
      </c>
      <c r="F722" s="1">
        <v>6</v>
      </c>
      <c r="G722" s="1">
        <v>3</v>
      </c>
    </row>
    <row r="723" spans="1:7" x14ac:dyDescent="0.2">
      <c r="A723" s="1" t="s">
        <v>732</v>
      </c>
      <c r="B723" s="1" t="str">
        <f>VLOOKUP(student_skills[[#This Row],[Student_ID]],student_data[],2,0)</f>
        <v>Electronics</v>
      </c>
      <c r="C723" s="1">
        <v>4</v>
      </c>
      <c r="D723" s="1">
        <v>8</v>
      </c>
      <c r="E723" s="1">
        <v>2</v>
      </c>
      <c r="F723" s="1">
        <v>9</v>
      </c>
      <c r="G723" s="1">
        <v>10</v>
      </c>
    </row>
    <row r="724" spans="1:7" x14ac:dyDescent="0.2">
      <c r="A724" s="1" t="s">
        <v>733</v>
      </c>
      <c r="B724" s="1" t="str">
        <f>VLOOKUP(student_skills[[#This Row],[Student_ID]],student_data[],2,0)</f>
        <v>Mechanical</v>
      </c>
      <c r="C724" s="1">
        <v>10</v>
      </c>
      <c r="D724" s="1">
        <v>4</v>
      </c>
      <c r="E724" s="1">
        <v>9</v>
      </c>
      <c r="F724" s="1">
        <v>1</v>
      </c>
      <c r="G724" s="1">
        <v>5</v>
      </c>
    </row>
    <row r="725" spans="1:7" x14ac:dyDescent="0.2">
      <c r="A725" s="1" t="s">
        <v>734</v>
      </c>
      <c r="B725" s="1" t="str">
        <f>VLOOKUP(student_skills[[#This Row],[Student_ID]],student_data[],2,0)</f>
        <v>Mechanical</v>
      </c>
      <c r="C725" s="1">
        <v>8</v>
      </c>
      <c r="D725" s="1">
        <v>7</v>
      </c>
      <c r="E725" s="1">
        <v>5</v>
      </c>
      <c r="F725" s="1">
        <v>4</v>
      </c>
      <c r="G725" s="1">
        <v>9</v>
      </c>
    </row>
    <row r="726" spans="1:7" x14ac:dyDescent="0.2">
      <c r="A726" s="1" t="s">
        <v>735</v>
      </c>
      <c r="B726" s="1" t="str">
        <f>VLOOKUP(student_skills[[#This Row],[Student_ID]],student_data[],2,0)</f>
        <v>Electronics</v>
      </c>
      <c r="C726" s="1">
        <v>1</v>
      </c>
      <c r="D726" s="1">
        <v>10</v>
      </c>
      <c r="E726" s="1">
        <v>8</v>
      </c>
      <c r="F726" s="1">
        <v>4</v>
      </c>
      <c r="G726" s="1">
        <v>4</v>
      </c>
    </row>
    <row r="727" spans="1:7" x14ac:dyDescent="0.2">
      <c r="A727" s="1" t="s">
        <v>736</v>
      </c>
      <c r="B727" s="1" t="str">
        <f>VLOOKUP(student_skills[[#This Row],[Student_ID]],student_data[],2,0)</f>
        <v>Civil</v>
      </c>
      <c r="C727" s="1">
        <v>10</v>
      </c>
      <c r="D727" s="1">
        <v>2</v>
      </c>
      <c r="E727" s="1">
        <v>2</v>
      </c>
      <c r="F727" s="1">
        <v>9</v>
      </c>
      <c r="G727" s="1">
        <v>1</v>
      </c>
    </row>
    <row r="728" spans="1:7" x14ac:dyDescent="0.2">
      <c r="A728" s="1" t="s">
        <v>737</v>
      </c>
      <c r="B728" s="1" t="str">
        <f>VLOOKUP(student_skills[[#This Row],[Student_ID]],student_data[],2,0)</f>
        <v>Computer Science</v>
      </c>
      <c r="C728" s="1">
        <v>1</v>
      </c>
      <c r="D728" s="1">
        <v>7</v>
      </c>
      <c r="E728" s="1">
        <v>6</v>
      </c>
      <c r="F728" s="1">
        <v>5</v>
      </c>
      <c r="G728" s="1">
        <v>4</v>
      </c>
    </row>
    <row r="729" spans="1:7" x14ac:dyDescent="0.2">
      <c r="A729" s="1" t="s">
        <v>738</v>
      </c>
      <c r="B729" s="1" t="str">
        <f>VLOOKUP(student_skills[[#This Row],[Student_ID]],student_data[],2,0)</f>
        <v>Computer Science</v>
      </c>
      <c r="C729" s="1">
        <v>4</v>
      </c>
      <c r="D729" s="1">
        <v>5</v>
      </c>
      <c r="E729" s="1">
        <v>3</v>
      </c>
      <c r="F729" s="1">
        <v>5</v>
      </c>
      <c r="G729" s="1">
        <v>6</v>
      </c>
    </row>
    <row r="730" spans="1:7" x14ac:dyDescent="0.2">
      <c r="A730" s="1" t="s">
        <v>739</v>
      </c>
      <c r="B730" s="1" t="str">
        <f>VLOOKUP(student_skills[[#This Row],[Student_ID]],student_data[],2,0)</f>
        <v>Civil</v>
      </c>
      <c r="C730" s="1">
        <v>8</v>
      </c>
      <c r="D730" s="1">
        <v>5</v>
      </c>
      <c r="E730" s="1">
        <v>10</v>
      </c>
      <c r="F730" s="1">
        <v>6</v>
      </c>
      <c r="G730" s="1">
        <v>5</v>
      </c>
    </row>
    <row r="731" spans="1:7" x14ac:dyDescent="0.2">
      <c r="A731" s="1" t="s">
        <v>740</v>
      </c>
      <c r="B731" s="1" t="str">
        <f>VLOOKUP(student_skills[[#This Row],[Student_ID]],student_data[],2,0)</f>
        <v>Electronics</v>
      </c>
      <c r="C731" s="1">
        <v>5</v>
      </c>
      <c r="D731" s="1">
        <v>6</v>
      </c>
      <c r="E731" s="1">
        <v>5</v>
      </c>
      <c r="F731" s="1">
        <v>1</v>
      </c>
      <c r="G731" s="1">
        <v>1</v>
      </c>
    </row>
    <row r="732" spans="1:7" x14ac:dyDescent="0.2">
      <c r="A732" s="1" t="s">
        <v>741</v>
      </c>
      <c r="B732" s="1" t="str">
        <f>VLOOKUP(student_skills[[#This Row],[Student_ID]],student_data[],2,0)</f>
        <v>Mechanical</v>
      </c>
      <c r="C732" s="1">
        <v>2</v>
      </c>
      <c r="D732" s="1">
        <v>9</v>
      </c>
      <c r="E732" s="1">
        <v>8</v>
      </c>
      <c r="F732" s="1">
        <v>1</v>
      </c>
      <c r="G732" s="1">
        <v>4</v>
      </c>
    </row>
    <row r="733" spans="1:7" x14ac:dyDescent="0.2">
      <c r="A733" s="1" t="s">
        <v>742</v>
      </c>
      <c r="B733" s="1" t="str">
        <f>VLOOKUP(student_skills[[#This Row],[Student_ID]],student_data[],2,0)</f>
        <v>Computer Science</v>
      </c>
      <c r="C733" s="1">
        <v>6</v>
      </c>
      <c r="D733" s="1">
        <v>6</v>
      </c>
      <c r="E733" s="1">
        <v>10</v>
      </c>
      <c r="F733" s="1">
        <v>9</v>
      </c>
      <c r="G733" s="1">
        <v>6</v>
      </c>
    </row>
    <row r="734" spans="1:7" x14ac:dyDescent="0.2">
      <c r="A734" s="1" t="s">
        <v>743</v>
      </c>
      <c r="B734" s="1" t="str">
        <f>VLOOKUP(student_skills[[#This Row],[Student_ID]],student_data[],2,0)</f>
        <v>Information Technology</v>
      </c>
      <c r="C734" s="1">
        <v>5</v>
      </c>
      <c r="D734" s="1">
        <v>8</v>
      </c>
      <c r="E734" s="1">
        <v>1</v>
      </c>
      <c r="F734" s="1">
        <v>3</v>
      </c>
      <c r="G734" s="1">
        <v>10</v>
      </c>
    </row>
    <row r="735" spans="1:7" x14ac:dyDescent="0.2">
      <c r="A735" s="1" t="s">
        <v>744</v>
      </c>
      <c r="B735" s="1" t="str">
        <f>VLOOKUP(student_skills[[#This Row],[Student_ID]],student_data[],2,0)</f>
        <v>Information Technology</v>
      </c>
      <c r="C735" s="1">
        <v>2</v>
      </c>
      <c r="D735" s="1">
        <v>7</v>
      </c>
      <c r="E735" s="1">
        <v>5</v>
      </c>
      <c r="F735" s="1">
        <v>4</v>
      </c>
      <c r="G735" s="1">
        <v>10</v>
      </c>
    </row>
    <row r="736" spans="1:7" x14ac:dyDescent="0.2">
      <c r="A736" s="1" t="s">
        <v>745</v>
      </c>
      <c r="B736" s="1" t="str">
        <f>VLOOKUP(student_skills[[#This Row],[Student_ID]],student_data[],2,0)</f>
        <v>Civil</v>
      </c>
      <c r="C736" s="1">
        <v>3</v>
      </c>
      <c r="D736" s="1">
        <v>9</v>
      </c>
      <c r="E736" s="1">
        <v>3</v>
      </c>
      <c r="F736" s="1">
        <v>1</v>
      </c>
      <c r="G736" s="1">
        <v>4</v>
      </c>
    </row>
    <row r="737" spans="1:7" x14ac:dyDescent="0.2">
      <c r="A737" s="1" t="s">
        <v>746</v>
      </c>
      <c r="B737" s="1" t="str">
        <f>VLOOKUP(student_skills[[#This Row],[Student_ID]],student_data[],2,0)</f>
        <v>Electronics</v>
      </c>
      <c r="C737" s="1">
        <v>9</v>
      </c>
      <c r="D737" s="1">
        <v>4</v>
      </c>
      <c r="E737" s="1">
        <v>4</v>
      </c>
      <c r="F737" s="1">
        <v>9</v>
      </c>
      <c r="G737" s="1">
        <v>9</v>
      </c>
    </row>
    <row r="738" spans="1:7" x14ac:dyDescent="0.2">
      <c r="A738" s="1" t="s">
        <v>747</v>
      </c>
      <c r="B738" s="1" t="str">
        <f>VLOOKUP(student_skills[[#This Row],[Student_ID]],student_data[],2,0)</f>
        <v>Computer Science</v>
      </c>
      <c r="C738" s="1">
        <v>7</v>
      </c>
      <c r="D738" s="1">
        <v>2</v>
      </c>
      <c r="E738" s="1">
        <v>2</v>
      </c>
      <c r="F738" s="1">
        <v>8</v>
      </c>
      <c r="G738" s="1">
        <v>5</v>
      </c>
    </row>
    <row r="739" spans="1:7" x14ac:dyDescent="0.2">
      <c r="A739" s="1" t="s">
        <v>748</v>
      </c>
      <c r="B739" s="1" t="str">
        <f>VLOOKUP(student_skills[[#This Row],[Student_ID]],student_data[],2,0)</f>
        <v>Electronics</v>
      </c>
      <c r="C739" s="1">
        <v>7</v>
      </c>
      <c r="D739" s="1">
        <v>7</v>
      </c>
      <c r="E739" s="1">
        <v>9</v>
      </c>
      <c r="F739" s="1">
        <v>2</v>
      </c>
      <c r="G739" s="1">
        <v>8</v>
      </c>
    </row>
    <row r="740" spans="1:7" x14ac:dyDescent="0.2">
      <c r="A740" s="1" t="s">
        <v>749</v>
      </c>
      <c r="B740" s="1" t="str">
        <f>VLOOKUP(student_skills[[#This Row],[Student_ID]],student_data[],2,0)</f>
        <v>Computer Science</v>
      </c>
      <c r="C740" s="1">
        <v>6</v>
      </c>
      <c r="D740" s="1">
        <v>6</v>
      </c>
      <c r="E740" s="1">
        <v>3</v>
      </c>
      <c r="F740" s="1">
        <v>8</v>
      </c>
      <c r="G740" s="1">
        <v>9</v>
      </c>
    </row>
    <row r="741" spans="1:7" x14ac:dyDescent="0.2">
      <c r="A741" s="1" t="s">
        <v>750</v>
      </c>
      <c r="B741" s="1" t="str">
        <f>VLOOKUP(student_skills[[#This Row],[Student_ID]],student_data[],2,0)</f>
        <v>Civil</v>
      </c>
      <c r="C741" s="1">
        <v>8</v>
      </c>
      <c r="D741" s="1">
        <v>1</v>
      </c>
      <c r="E741" s="1">
        <v>2</v>
      </c>
      <c r="F741" s="1">
        <v>7</v>
      </c>
      <c r="G741" s="1">
        <v>10</v>
      </c>
    </row>
    <row r="742" spans="1:7" x14ac:dyDescent="0.2">
      <c r="A742" s="1" t="s">
        <v>751</v>
      </c>
      <c r="B742" s="1" t="str">
        <f>VLOOKUP(student_skills[[#This Row],[Student_ID]],student_data[],2,0)</f>
        <v>Civil</v>
      </c>
      <c r="C742" s="1">
        <v>4</v>
      </c>
      <c r="D742" s="1">
        <v>9</v>
      </c>
      <c r="E742" s="1">
        <v>10</v>
      </c>
      <c r="F742" s="1">
        <v>6</v>
      </c>
      <c r="G742" s="1">
        <v>5</v>
      </c>
    </row>
    <row r="743" spans="1:7" x14ac:dyDescent="0.2">
      <c r="A743" s="1" t="s">
        <v>752</v>
      </c>
      <c r="B743" s="1" t="str">
        <f>VLOOKUP(student_skills[[#This Row],[Student_ID]],student_data[],2,0)</f>
        <v>Information Technology</v>
      </c>
      <c r="C743" s="1">
        <v>8</v>
      </c>
      <c r="D743" s="1">
        <v>9</v>
      </c>
      <c r="E743" s="1">
        <v>9</v>
      </c>
      <c r="F743" s="1">
        <v>1</v>
      </c>
      <c r="G743" s="1">
        <v>6</v>
      </c>
    </row>
    <row r="744" spans="1:7" x14ac:dyDescent="0.2">
      <c r="A744" s="1" t="s">
        <v>753</v>
      </c>
      <c r="B744" s="1" t="str">
        <f>VLOOKUP(student_skills[[#This Row],[Student_ID]],student_data[],2,0)</f>
        <v>Electronics</v>
      </c>
      <c r="C744" s="1">
        <v>4</v>
      </c>
      <c r="D744" s="1">
        <v>2</v>
      </c>
      <c r="E744" s="1">
        <v>7</v>
      </c>
      <c r="F744" s="1">
        <v>7</v>
      </c>
      <c r="G744" s="1">
        <v>1</v>
      </c>
    </row>
    <row r="745" spans="1:7" x14ac:dyDescent="0.2">
      <c r="A745" s="1" t="s">
        <v>754</v>
      </c>
      <c r="B745" s="1" t="str">
        <f>VLOOKUP(student_skills[[#This Row],[Student_ID]],student_data[],2,0)</f>
        <v>Information Technology</v>
      </c>
      <c r="C745" s="1">
        <v>8</v>
      </c>
      <c r="D745" s="1">
        <v>3</v>
      </c>
      <c r="E745" s="1">
        <v>6</v>
      </c>
      <c r="F745" s="1">
        <v>10</v>
      </c>
      <c r="G745" s="1">
        <v>7</v>
      </c>
    </row>
    <row r="746" spans="1:7" x14ac:dyDescent="0.2">
      <c r="A746" s="1" t="s">
        <v>755</v>
      </c>
      <c r="B746" s="1" t="str">
        <f>VLOOKUP(student_skills[[#This Row],[Student_ID]],student_data[],2,0)</f>
        <v>Electronics</v>
      </c>
      <c r="C746" s="1">
        <v>9</v>
      </c>
      <c r="D746" s="1">
        <v>5</v>
      </c>
      <c r="E746" s="1">
        <v>1</v>
      </c>
      <c r="F746" s="1">
        <v>7</v>
      </c>
      <c r="G746" s="1">
        <v>4</v>
      </c>
    </row>
    <row r="747" spans="1:7" x14ac:dyDescent="0.2">
      <c r="A747" s="1" t="s">
        <v>756</v>
      </c>
      <c r="B747" s="1" t="str">
        <f>VLOOKUP(student_skills[[#This Row],[Student_ID]],student_data[],2,0)</f>
        <v>Information Technology</v>
      </c>
      <c r="C747" s="1">
        <v>3</v>
      </c>
      <c r="D747" s="1">
        <v>5</v>
      </c>
      <c r="E747" s="1">
        <v>5</v>
      </c>
      <c r="F747" s="1">
        <v>9</v>
      </c>
      <c r="G747" s="1">
        <v>2</v>
      </c>
    </row>
    <row r="748" spans="1:7" x14ac:dyDescent="0.2">
      <c r="A748" s="1" t="s">
        <v>757</v>
      </c>
      <c r="B748" s="1" t="str">
        <f>VLOOKUP(student_skills[[#This Row],[Student_ID]],student_data[],2,0)</f>
        <v>Mechanical</v>
      </c>
      <c r="C748" s="1">
        <v>3</v>
      </c>
      <c r="D748" s="1">
        <v>1</v>
      </c>
      <c r="E748" s="1">
        <v>3</v>
      </c>
      <c r="F748" s="1">
        <v>1</v>
      </c>
      <c r="G748" s="1">
        <v>5</v>
      </c>
    </row>
    <row r="749" spans="1:7" x14ac:dyDescent="0.2">
      <c r="A749" s="1" t="s">
        <v>758</v>
      </c>
      <c r="B749" s="1" t="str">
        <f>VLOOKUP(student_skills[[#This Row],[Student_ID]],student_data[],2,0)</f>
        <v>Mechanical</v>
      </c>
      <c r="C749" s="1">
        <v>2</v>
      </c>
      <c r="D749" s="1">
        <v>8</v>
      </c>
      <c r="E749" s="1">
        <v>1</v>
      </c>
      <c r="F749" s="1">
        <v>2</v>
      </c>
      <c r="G749" s="1">
        <v>3</v>
      </c>
    </row>
    <row r="750" spans="1:7" x14ac:dyDescent="0.2">
      <c r="A750" s="1" t="s">
        <v>759</v>
      </c>
      <c r="B750" s="1" t="str">
        <f>VLOOKUP(student_skills[[#This Row],[Student_ID]],student_data[],2,0)</f>
        <v>Mechanical</v>
      </c>
      <c r="C750" s="1">
        <v>10</v>
      </c>
      <c r="D750" s="1">
        <v>8</v>
      </c>
      <c r="E750" s="1">
        <v>4</v>
      </c>
      <c r="F750" s="1">
        <v>9</v>
      </c>
      <c r="G750" s="1">
        <v>6</v>
      </c>
    </row>
    <row r="751" spans="1:7" x14ac:dyDescent="0.2">
      <c r="A751" s="1" t="s">
        <v>760</v>
      </c>
      <c r="B751" s="1" t="str">
        <f>VLOOKUP(student_skills[[#This Row],[Student_ID]],student_data[],2,0)</f>
        <v>Mechanical</v>
      </c>
      <c r="C751" s="1">
        <v>3</v>
      </c>
      <c r="D751" s="1">
        <v>4</v>
      </c>
      <c r="E751" s="1">
        <v>2</v>
      </c>
      <c r="F751" s="1">
        <v>9</v>
      </c>
      <c r="G751" s="1">
        <v>8</v>
      </c>
    </row>
    <row r="752" spans="1:7" x14ac:dyDescent="0.2">
      <c r="A752" s="1" t="s">
        <v>761</v>
      </c>
      <c r="B752" s="1" t="str">
        <f>VLOOKUP(student_skills[[#This Row],[Student_ID]],student_data[],2,0)</f>
        <v>Computer Science</v>
      </c>
      <c r="C752" s="1">
        <v>3</v>
      </c>
      <c r="D752" s="1">
        <v>7</v>
      </c>
      <c r="E752" s="1">
        <v>2</v>
      </c>
      <c r="F752" s="1">
        <v>6</v>
      </c>
      <c r="G752" s="1">
        <v>7</v>
      </c>
    </row>
    <row r="753" spans="1:7" x14ac:dyDescent="0.2">
      <c r="A753" s="1" t="s">
        <v>762</v>
      </c>
      <c r="B753" s="1" t="str">
        <f>VLOOKUP(student_skills[[#This Row],[Student_ID]],student_data[],2,0)</f>
        <v>Mechanical</v>
      </c>
      <c r="C753" s="1">
        <v>5</v>
      </c>
      <c r="D753" s="1">
        <v>10</v>
      </c>
      <c r="E753" s="1">
        <v>3</v>
      </c>
      <c r="F753" s="1">
        <v>6</v>
      </c>
      <c r="G753" s="1">
        <v>3</v>
      </c>
    </row>
    <row r="754" spans="1:7" x14ac:dyDescent="0.2">
      <c r="A754" s="1" t="s">
        <v>763</v>
      </c>
      <c r="B754" s="1" t="str">
        <f>VLOOKUP(student_skills[[#This Row],[Student_ID]],student_data[],2,0)</f>
        <v>Civil</v>
      </c>
      <c r="C754" s="1">
        <v>5</v>
      </c>
      <c r="D754" s="1">
        <v>3</v>
      </c>
      <c r="E754" s="1">
        <v>8</v>
      </c>
      <c r="F754" s="1">
        <v>4</v>
      </c>
      <c r="G754" s="1">
        <v>8</v>
      </c>
    </row>
    <row r="755" spans="1:7" x14ac:dyDescent="0.2">
      <c r="A755" s="1" t="s">
        <v>764</v>
      </c>
      <c r="B755" s="1" t="str">
        <f>VLOOKUP(student_skills[[#This Row],[Student_ID]],student_data[],2,0)</f>
        <v>Civil</v>
      </c>
      <c r="C755" s="1">
        <v>2</v>
      </c>
      <c r="D755" s="1">
        <v>6</v>
      </c>
      <c r="E755" s="1">
        <v>8</v>
      </c>
      <c r="F755" s="1">
        <v>4</v>
      </c>
      <c r="G755" s="1">
        <v>2</v>
      </c>
    </row>
    <row r="756" spans="1:7" x14ac:dyDescent="0.2">
      <c r="A756" s="1" t="s">
        <v>765</v>
      </c>
      <c r="B756" s="1" t="str">
        <f>VLOOKUP(student_skills[[#This Row],[Student_ID]],student_data[],2,0)</f>
        <v>Computer Science</v>
      </c>
      <c r="C756" s="1">
        <v>10</v>
      </c>
      <c r="D756" s="1">
        <v>10</v>
      </c>
      <c r="E756" s="1">
        <v>7</v>
      </c>
      <c r="F756" s="1">
        <v>5</v>
      </c>
      <c r="G756" s="1">
        <v>10</v>
      </c>
    </row>
    <row r="757" spans="1:7" x14ac:dyDescent="0.2">
      <c r="A757" s="1" t="s">
        <v>766</v>
      </c>
      <c r="B757" s="1" t="str">
        <f>VLOOKUP(student_skills[[#This Row],[Student_ID]],student_data[],2,0)</f>
        <v>Mechanical</v>
      </c>
      <c r="C757" s="1">
        <v>6</v>
      </c>
      <c r="D757" s="1">
        <v>10</v>
      </c>
      <c r="E757" s="1">
        <v>6</v>
      </c>
      <c r="F757" s="1">
        <v>3</v>
      </c>
      <c r="G757" s="1">
        <v>9</v>
      </c>
    </row>
    <row r="758" spans="1:7" x14ac:dyDescent="0.2">
      <c r="A758" s="1" t="s">
        <v>767</v>
      </c>
      <c r="B758" s="1" t="str">
        <f>VLOOKUP(student_skills[[#This Row],[Student_ID]],student_data[],2,0)</f>
        <v>Mechanical</v>
      </c>
      <c r="C758" s="1">
        <v>5</v>
      </c>
      <c r="D758" s="1">
        <v>9</v>
      </c>
      <c r="E758" s="1">
        <v>9</v>
      </c>
      <c r="F758" s="1">
        <v>1</v>
      </c>
      <c r="G758" s="1">
        <v>4</v>
      </c>
    </row>
    <row r="759" spans="1:7" x14ac:dyDescent="0.2">
      <c r="A759" s="1" t="s">
        <v>768</v>
      </c>
      <c r="B759" s="1" t="str">
        <f>VLOOKUP(student_skills[[#This Row],[Student_ID]],student_data[],2,0)</f>
        <v>Mechanical</v>
      </c>
      <c r="C759" s="1">
        <v>6</v>
      </c>
      <c r="D759" s="1">
        <v>1</v>
      </c>
      <c r="E759" s="1">
        <v>4</v>
      </c>
      <c r="F759" s="1">
        <v>1</v>
      </c>
      <c r="G759" s="1">
        <v>1</v>
      </c>
    </row>
    <row r="760" spans="1:7" x14ac:dyDescent="0.2">
      <c r="A760" s="1" t="s">
        <v>769</v>
      </c>
      <c r="B760" s="1" t="str">
        <f>VLOOKUP(student_skills[[#This Row],[Student_ID]],student_data[],2,0)</f>
        <v>Information Technology</v>
      </c>
      <c r="C760" s="1">
        <v>1</v>
      </c>
      <c r="D760" s="1">
        <v>5</v>
      </c>
      <c r="E760" s="1">
        <v>1</v>
      </c>
      <c r="F760" s="1">
        <v>7</v>
      </c>
      <c r="G760" s="1">
        <v>8</v>
      </c>
    </row>
    <row r="761" spans="1:7" x14ac:dyDescent="0.2">
      <c r="A761" s="1" t="s">
        <v>770</v>
      </c>
      <c r="B761" s="1" t="str">
        <f>VLOOKUP(student_skills[[#This Row],[Student_ID]],student_data[],2,0)</f>
        <v>Electronics</v>
      </c>
      <c r="C761" s="1">
        <v>5</v>
      </c>
      <c r="D761" s="1">
        <v>4</v>
      </c>
      <c r="E761" s="1">
        <v>8</v>
      </c>
      <c r="F761" s="1">
        <v>1</v>
      </c>
      <c r="G761" s="1">
        <v>7</v>
      </c>
    </row>
    <row r="762" spans="1:7" x14ac:dyDescent="0.2">
      <c r="A762" s="1" t="s">
        <v>771</v>
      </c>
      <c r="B762" s="1" t="str">
        <f>VLOOKUP(student_skills[[#This Row],[Student_ID]],student_data[],2,0)</f>
        <v>Information Technology</v>
      </c>
      <c r="C762" s="1">
        <v>9</v>
      </c>
      <c r="D762" s="1">
        <v>8</v>
      </c>
      <c r="E762" s="1">
        <v>7</v>
      </c>
      <c r="F762" s="1">
        <v>1</v>
      </c>
      <c r="G762" s="1">
        <v>5</v>
      </c>
    </row>
    <row r="763" spans="1:7" x14ac:dyDescent="0.2">
      <c r="A763" s="1" t="s">
        <v>772</v>
      </c>
      <c r="B763" s="1" t="str">
        <f>VLOOKUP(student_skills[[#This Row],[Student_ID]],student_data[],2,0)</f>
        <v>Electronics</v>
      </c>
      <c r="C763" s="1">
        <v>10</v>
      </c>
      <c r="D763" s="1">
        <v>1</v>
      </c>
      <c r="E763" s="1">
        <v>7</v>
      </c>
      <c r="F763" s="1">
        <v>3</v>
      </c>
      <c r="G763" s="1">
        <v>10</v>
      </c>
    </row>
    <row r="764" spans="1:7" x14ac:dyDescent="0.2">
      <c r="A764" s="1" t="s">
        <v>773</v>
      </c>
      <c r="B764" s="1" t="str">
        <f>VLOOKUP(student_skills[[#This Row],[Student_ID]],student_data[],2,0)</f>
        <v>Mechanical</v>
      </c>
      <c r="C764" s="1">
        <v>2</v>
      </c>
      <c r="D764" s="1">
        <v>9</v>
      </c>
      <c r="E764" s="1">
        <v>3</v>
      </c>
      <c r="F764" s="1">
        <v>10</v>
      </c>
      <c r="G764" s="1">
        <v>5</v>
      </c>
    </row>
    <row r="765" spans="1:7" x14ac:dyDescent="0.2">
      <c r="A765" s="1" t="s">
        <v>774</v>
      </c>
      <c r="B765" s="1" t="str">
        <f>VLOOKUP(student_skills[[#This Row],[Student_ID]],student_data[],2,0)</f>
        <v>Mechanical</v>
      </c>
      <c r="C765" s="1">
        <v>1</v>
      </c>
      <c r="D765" s="1">
        <v>6</v>
      </c>
      <c r="E765" s="1">
        <v>4</v>
      </c>
      <c r="F765" s="1">
        <v>4</v>
      </c>
      <c r="G765" s="1">
        <v>7</v>
      </c>
    </row>
    <row r="766" spans="1:7" x14ac:dyDescent="0.2">
      <c r="A766" s="1" t="s">
        <v>775</v>
      </c>
      <c r="B766" s="1" t="str">
        <f>VLOOKUP(student_skills[[#This Row],[Student_ID]],student_data[],2,0)</f>
        <v>Information Technology</v>
      </c>
      <c r="C766" s="1">
        <v>10</v>
      </c>
      <c r="D766" s="1">
        <v>4</v>
      </c>
      <c r="E766" s="1">
        <v>10</v>
      </c>
      <c r="F766" s="1">
        <v>4</v>
      </c>
      <c r="G766" s="1">
        <v>5</v>
      </c>
    </row>
    <row r="767" spans="1:7" x14ac:dyDescent="0.2">
      <c r="A767" s="1" t="s">
        <v>776</v>
      </c>
      <c r="B767" s="1" t="str">
        <f>VLOOKUP(student_skills[[#This Row],[Student_ID]],student_data[],2,0)</f>
        <v>Information Technology</v>
      </c>
      <c r="C767" s="1">
        <v>9</v>
      </c>
      <c r="D767" s="1">
        <v>9</v>
      </c>
      <c r="E767" s="1">
        <v>9</v>
      </c>
      <c r="F767" s="1">
        <v>2</v>
      </c>
      <c r="G767" s="1">
        <v>8</v>
      </c>
    </row>
    <row r="768" spans="1:7" x14ac:dyDescent="0.2">
      <c r="A768" s="1" t="s">
        <v>777</v>
      </c>
      <c r="B768" s="1" t="str">
        <f>VLOOKUP(student_skills[[#This Row],[Student_ID]],student_data[],2,0)</f>
        <v>Electronics</v>
      </c>
      <c r="C768" s="1">
        <v>10</v>
      </c>
      <c r="D768" s="1">
        <v>5</v>
      </c>
      <c r="E768" s="1">
        <v>6</v>
      </c>
      <c r="F768" s="1">
        <v>1</v>
      </c>
      <c r="G768" s="1">
        <v>6</v>
      </c>
    </row>
    <row r="769" spans="1:7" x14ac:dyDescent="0.2">
      <c r="A769" s="1" t="s">
        <v>778</v>
      </c>
      <c r="B769" s="1" t="str">
        <f>VLOOKUP(student_skills[[#This Row],[Student_ID]],student_data[],2,0)</f>
        <v>Civil</v>
      </c>
      <c r="C769" s="1">
        <v>9</v>
      </c>
      <c r="D769" s="1">
        <v>5</v>
      </c>
      <c r="E769" s="1">
        <v>5</v>
      </c>
      <c r="F769" s="1">
        <v>3</v>
      </c>
      <c r="G769" s="1">
        <v>5</v>
      </c>
    </row>
    <row r="770" spans="1:7" x14ac:dyDescent="0.2">
      <c r="A770" s="1" t="s">
        <v>779</v>
      </c>
      <c r="B770" s="1" t="str">
        <f>VLOOKUP(student_skills[[#This Row],[Student_ID]],student_data[],2,0)</f>
        <v>Electronics</v>
      </c>
      <c r="C770" s="1">
        <v>9</v>
      </c>
      <c r="D770" s="1">
        <v>5</v>
      </c>
      <c r="E770" s="1">
        <v>3</v>
      </c>
      <c r="F770" s="1">
        <v>4</v>
      </c>
      <c r="G770" s="1">
        <v>9</v>
      </c>
    </row>
    <row r="771" spans="1:7" x14ac:dyDescent="0.2">
      <c r="A771" s="1" t="s">
        <v>780</v>
      </c>
      <c r="B771" s="1" t="str">
        <f>VLOOKUP(student_skills[[#This Row],[Student_ID]],student_data[],2,0)</f>
        <v>Information Technology</v>
      </c>
      <c r="C771" s="1">
        <v>6</v>
      </c>
      <c r="D771" s="1">
        <v>1</v>
      </c>
      <c r="E771" s="1">
        <v>9</v>
      </c>
      <c r="F771" s="1">
        <v>3</v>
      </c>
      <c r="G771" s="1">
        <v>2</v>
      </c>
    </row>
    <row r="772" spans="1:7" x14ac:dyDescent="0.2">
      <c r="A772" s="1" t="s">
        <v>781</v>
      </c>
      <c r="B772" s="1" t="str">
        <f>VLOOKUP(student_skills[[#This Row],[Student_ID]],student_data[],2,0)</f>
        <v>Information Technology</v>
      </c>
      <c r="C772" s="1">
        <v>8</v>
      </c>
      <c r="D772" s="1">
        <v>1</v>
      </c>
      <c r="E772" s="1">
        <v>5</v>
      </c>
      <c r="F772" s="1">
        <v>8</v>
      </c>
      <c r="G772" s="1">
        <v>1</v>
      </c>
    </row>
    <row r="773" spans="1:7" x14ac:dyDescent="0.2">
      <c r="A773" s="1" t="s">
        <v>782</v>
      </c>
      <c r="B773" s="1" t="str">
        <f>VLOOKUP(student_skills[[#This Row],[Student_ID]],student_data[],2,0)</f>
        <v>Computer Science</v>
      </c>
      <c r="C773" s="1">
        <v>1</v>
      </c>
      <c r="D773" s="1">
        <v>8</v>
      </c>
      <c r="E773" s="1">
        <v>5</v>
      </c>
      <c r="F773" s="1">
        <v>10</v>
      </c>
      <c r="G773" s="1">
        <v>8</v>
      </c>
    </row>
    <row r="774" spans="1:7" x14ac:dyDescent="0.2">
      <c r="A774" s="1" t="s">
        <v>783</v>
      </c>
      <c r="B774" s="1" t="str">
        <f>VLOOKUP(student_skills[[#This Row],[Student_ID]],student_data[],2,0)</f>
        <v>Information Technology</v>
      </c>
      <c r="C774" s="1">
        <v>10</v>
      </c>
      <c r="D774" s="1">
        <v>8</v>
      </c>
      <c r="E774" s="1">
        <v>4</v>
      </c>
      <c r="F774" s="1">
        <v>1</v>
      </c>
      <c r="G774" s="1">
        <v>3</v>
      </c>
    </row>
    <row r="775" spans="1:7" x14ac:dyDescent="0.2">
      <c r="A775" s="1" t="s">
        <v>784</v>
      </c>
      <c r="B775" s="1" t="str">
        <f>VLOOKUP(student_skills[[#This Row],[Student_ID]],student_data[],2,0)</f>
        <v>Computer Science</v>
      </c>
      <c r="C775" s="1">
        <v>4</v>
      </c>
      <c r="D775" s="1">
        <v>6</v>
      </c>
      <c r="E775" s="1">
        <v>4</v>
      </c>
      <c r="F775" s="1">
        <v>2</v>
      </c>
      <c r="G775" s="1">
        <v>7</v>
      </c>
    </row>
    <row r="776" spans="1:7" x14ac:dyDescent="0.2">
      <c r="A776" s="1" t="s">
        <v>785</v>
      </c>
      <c r="B776" s="1" t="str">
        <f>VLOOKUP(student_skills[[#This Row],[Student_ID]],student_data[],2,0)</f>
        <v>Civil</v>
      </c>
      <c r="C776" s="1">
        <v>1</v>
      </c>
      <c r="D776" s="1">
        <v>4</v>
      </c>
      <c r="E776" s="1">
        <v>1</v>
      </c>
      <c r="F776" s="1">
        <v>7</v>
      </c>
      <c r="G776" s="1">
        <v>10</v>
      </c>
    </row>
    <row r="777" spans="1:7" x14ac:dyDescent="0.2">
      <c r="A777" s="1" t="s">
        <v>786</v>
      </c>
      <c r="B777" s="1" t="str">
        <f>VLOOKUP(student_skills[[#This Row],[Student_ID]],student_data[],2,0)</f>
        <v>Electronics</v>
      </c>
      <c r="C777" s="1">
        <v>8</v>
      </c>
      <c r="D777" s="1">
        <v>2</v>
      </c>
      <c r="E777" s="1">
        <v>7</v>
      </c>
      <c r="F777" s="1">
        <v>4</v>
      </c>
      <c r="G777" s="1">
        <v>8</v>
      </c>
    </row>
    <row r="778" spans="1:7" x14ac:dyDescent="0.2">
      <c r="A778" s="1" t="s">
        <v>787</v>
      </c>
      <c r="B778" s="1" t="str">
        <f>VLOOKUP(student_skills[[#This Row],[Student_ID]],student_data[],2,0)</f>
        <v>Electronics</v>
      </c>
      <c r="C778" s="1">
        <v>1</v>
      </c>
      <c r="D778" s="1">
        <v>2</v>
      </c>
      <c r="E778" s="1">
        <v>9</v>
      </c>
      <c r="F778" s="1">
        <v>8</v>
      </c>
      <c r="G778" s="1">
        <v>6</v>
      </c>
    </row>
    <row r="779" spans="1:7" x14ac:dyDescent="0.2">
      <c r="A779" s="1" t="s">
        <v>788</v>
      </c>
      <c r="B779" s="1" t="str">
        <f>VLOOKUP(student_skills[[#This Row],[Student_ID]],student_data[],2,0)</f>
        <v>Computer Science</v>
      </c>
      <c r="C779" s="1">
        <v>3</v>
      </c>
      <c r="D779" s="1">
        <v>9</v>
      </c>
      <c r="E779" s="1">
        <v>3</v>
      </c>
      <c r="F779" s="1">
        <v>3</v>
      </c>
      <c r="G779" s="1">
        <v>10</v>
      </c>
    </row>
    <row r="780" spans="1:7" x14ac:dyDescent="0.2">
      <c r="A780" s="1" t="s">
        <v>789</v>
      </c>
      <c r="B780" s="1" t="str">
        <f>VLOOKUP(student_skills[[#This Row],[Student_ID]],student_data[],2,0)</f>
        <v>Electronics</v>
      </c>
      <c r="C780" s="1">
        <v>4</v>
      </c>
      <c r="D780" s="1">
        <v>5</v>
      </c>
      <c r="E780" s="1">
        <v>2</v>
      </c>
      <c r="F780" s="1">
        <v>6</v>
      </c>
      <c r="G780" s="1">
        <v>9</v>
      </c>
    </row>
    <row r="781" spans="1:7" x14ac:dyDescent="0.2">
      <c r="A781" s="1" t="s">
        <v>790</v>
      </c>
      <c r="B781" s="1" t="str">
        <f>VLOOKUP(student_skills[[#This Row],[Student_ID]],student_data[],2,0)</f>
        <v>Information Technology</v>
      </c>
      <c r="C781" s="1">
        <v>8</v>
      </c>
      <c r="D781" s="1">
        <v>4</v>
      </c>
      <c r="E781" s="1">
        <v>3</v>
      </c>
      <c r="F781" s="1">
        <v>9</v>
      </c>
      <c r="G781" s="1">
        <v>7</v>
      </c>
    </row>
    <row r="782" spans="1:7" x14ac:dyDescent="0.2">
      <c r="A782" s="1" t="s">
        <v>791</v>
      </c>
      <c r="B782" s="1" t="str">
        <f>VLOOKUP(student_skills[[#This Row],[Student_ID]],student_data[],2,0)</f>
        <v>Mechanical</v>
      </c>
      <c r="C782" s="1">
        <v>6</v>
      </c>
      <c r="D782" s="1">
        <v>10</v>
      </c>
      <c r="E782" s="1">
        <v>1</v>
      </c>
      <c r="F782" s="1">
        <v>1</v>
      </c>
      <c r="G782" s="1">
        <v>10</v>
      </c>
    </row>
    <row r="783" spans="1:7" x14ac:dyDescent="0.2">
      <c r="A783" s="1" t="s">
        <v>792</v>
      </c>
      <c r="B783" s="1" t="str">
        <f>VLOOKUP(student_skills[[#This Row],[Student_ID]],student_data[],2,0)</f>
        <v>Computer Science</v>
      </c>
      <c r="C783" s="1">
        <v>10</v>
      </c>
      <c r="D783" s="1">
        <v>1</v>
      </c>
      <c r="E783" s="1">
        <v>6</v>
      </c>
      <c r="F783" s="1">
        <v>1</v>
      </c>
      <c r="G783" s="1">
        <v>5</v>
      </c>
    </row>
    <row r="784" spans="1:7" x14ac:dyDescent="0.2">
      <c r="A784" s="1" t="s">
        <v>793</v>
      </c>
      <c r="B784" s="1" t="str">
        <f>VLOOKUP(student_skills[[#This Row],[Student_ID]],student_data[],2,0)</f>
        <v>Electronics</v>
      </c>
      <c r="C784" s="1">
        <v>7</v>
      </c>
      <c r="D784" s="1">
        <v>7</v>
      </c>
      <c r="E784" s="1">
        <v>7</v>
      </c>
      <c r="F784" s="1">
        <v>8</v>
      </c>
      <c r="G784" s="1">
        <v>8</v>
      </c>
    </row>
    <row r="785" spans="1:7" x14ac:dyDescent="0.2">
      <c r="A785" s="1" t="s">
        <v>794</v>
      </c>
      <c r="B785" s="1" t="str">
        <f>VLOOKUP(student_skills[[#This Row],[Student_ID]],student_data[],2,0)</f>
        <v>Computer Science</v>
      </c>
      <c r="C785" s="1">
        <v>8</v>
      </c>
      <c r="D785" s="1">
        <v>3</v>
      </c>
      <c r="E785" s="1">
        <v>2</v>
      </c>
      <c r="F785" s="1">
        <v>3</v>
      </c>
      <c r="G785" s="1">
        <v>2</v>
      </c>
    </row>
    <row r="786" spans="1:7" x14ac:dyDescent="0.2">
      <c r="A786" s="1" t="s">
        <v>795</v>
      </c>
      <c r="B786" s="1" t="str">
        <f>VLOOKUP(student_skills[[#This Row],[Student_ID]],student_data[],2,0)</f>
        <v>Computer Science</v>
      </c>
      <c r="C786" s="1">
        <v>2</v>
      </c>
      <c r="D786" s="1">
        <v>6</v>
      </c>
      <c r="E786" s="1">
        <v>8</v>
      </c>
      <c r="F786" s="1">
        <v>5</v>
      </c>
      <c r="G786" s="1">
        <v>7</v>
      </c>
    </row>
    <row r="787" spans="1:7" x14ac:dyDescent="0.2">
      <c r="A787" s="1" t="s">
        <v>796</v>
      </c>
      <c r="B787" s="1" t="str">
        <f>VLOOKUP(student_skills[[#This Row],[Student_ID]],student_data[],2,0)</f>
        <v>Mechanical</v>
      </c>
      <c r="C787" s="1">
        <v>10</v>
      </c>
      <c r="D787" s="1">
        <v>5</v>
      </c>
      <c r="E787" s="1">
        <v>6</v>
      </c>
      <c r="F787" s="1">
        <v>1</v>
      </c>
      <c r="G787" s="1">
        <v>4</v>
      </c>
    </row>
    <row r="788" spans="1:7" x14ac:dyDescent="0.2">
      <c r="A788" s="1" t="s">
        <v>797</v>
      </c>
      <c r="B788" s="1" t="str">
        <f>VLOOKUP(student_skills[[#This Row],[Student_ID]],student_data[],2,0)</f>
        <v>Information Technology</v>
      </c>
      <c r="C788" s="1">
        <v>8</v>
      </c>
      <c r="D788" s="1">
        <v>5</v>
      </c>
      <c r="E788" s="1">
        <v>4</v>
      </c>
      <c r="F788" s="1">
        <v>5</v>
      </c>
      <c r="G788" s="1">
        <v>9</v>
      </c>
    </row>
    <row r="789" spans="1:7" x14ac:dyDescent="0.2">
      <c r="A789" s="1" t="s">
        <v>798</v>
      </c>
      <c r="B789" s="1" t="str">
        <f>VLOOKUP(student_skills[[#This Row],[Student_ID]],student_data[],2,0)</f>
        <v>Computer Science</v>
      </c>
      <c r="C789" s="1">
        <v>3</v>
      </c>
      <c r="D789" s="1">
        <v>5</v>
      </c>
      <c r="E789" s="1">
        <v>5</v>
      </c>
      <c r="F789" s="1">
        <v>6</v>
      </c>
      <c r="G789" s="1">
        <v>1</v>
      </c>
    </row>
    <row r="790" spans="1:7" x14ac:dyDescent="0.2">
      <c r="A790" s="1" t="s">
        <v>799</v>
      </c>
      <c r="B790" s="1" t="str">
        <f>VLOOKUP(student_skills[[#This Row],[Student_ID]],student_data[],2,0)</f>
        <v>Electronics</v>
      </c>
      <c r="C790" s="1">
        <v>7</v>
      </c>
      <c r="D790" s="1">
        <v>1</v>
      </c>
      <c r="E790" s="1">
        <v>8</v>
      </c>
      <c r="F790" s="1">
        <v>8</v>
      </c>
      <c r="G790" s="1">
        <v>7</v>
      </c>
    </row>
    <row r="791" spans="1:7" x14ac:dyDescent="0.2">
      <c r="A791" s="1" t="s">
        <v>800</v>
      </c>
      <c r="B791" s="1" t="str">
        <f>VLOOKUP(student_skills[[#This Row],[Student_ID]],student_data[],2,0)</f>
        <v>Civil</v>
      </c>
      <c r="C791" s="1">
        <v>3</v>
      </c>
      <c r="D791" s="1">
        <v>1</v>
      </c>
      <c r="E791" s="1">
        <v>3</v>
      </c>
      <c r="F791" s="1">
        <v>3</v>
      </c>
      <c r="G791" s="1">
        <v>6</v>
      </c>
    </row>
    <row r="792" spans="1:7" x14ac:dyDescent="0.2">
      <c r="A792" s="1" t="s">
        <v>801</v>
      </c>
      <c r="B792" s="1" t="str">
        <f>VLOOKUP(student_skills[[#This Row],[Student_ID]],student_data[],2,0)</f>
        <v>Computer Science</v>
      </c>
      <c r="C792" s="1">
        <v>7</v>
      </c>
      <c r="D792" s="1">
        <v>3</v>
      </c>
      <c r="E792" s="1">
        <v>3</v>
      </c>
      <c r="F792" s="1">
        <v>3</v>
      </c>
      <c r="G792" s="1">
        <v>8</v>
      </c>
    </row>
    <row r="793" spans="1:7" x14ac:dyDescent="0.2">
      <c r="A793" s="1" t="s">
        <v>802</v>
      </c>
      <c r="B793" s="1" t="str">
        <f>VLOOKUP(student_skills[[#This Row],[Student_ID]],student_data[],2,0)</f>
        <v>Computer Science</v>
      </c>
      <c r="C793" s="1">
        <v>2</v>
      </c>
      <c r="D793" s="1">
        <v>10</v>
      </c>
      <c r="E793" s="1">
        <v>4</v>
      </c>
      <c r="F793" s="1">
        <v>10</v>
      </c>
      <c r="G793" s="1">
        <v>5</v>
      </c>
    </row>
    <row r="794" spans="1:7" x14ac:dyDescent="0.2">
      <c r="A794" s="1" t="s">
        <v>803</v>
      </c>
      <c r="B794" s="1" t="str">
        <f>VLOOKUP(student_skills[[#This Row],[Student_ID]],student_data[],2,0)</f>
        <v>Mechanical</v>
      </c>
      <c r="C794" s="1">
        <v>10</v>
      </c>
      <c r="D794" s="1">
        <v>4</v>
      </c>
      <c r="E794" s="1">
        <v>1</v>
      </c>
      <c r="F794" s="1">
        <v>9</v>
      </c>
      <c r="G794" s="1">
        <v>1</v>
      </c>
    </row>
    <row r="795" spans="1:7" x14ac:dyDescent="0.2">
      <c r="A795" s="1" t="s">
        <v>804</v>
      </c>
      <c r="B795" s="1" t="str">
        <f>VLOOKUP(student_skills[[#This Row],[Student_ID]],student_data[],2,0)</f>
        <v>Information Technology</v>
      </c>
      <c r="C795" s="1">
        <v>6</v>
      </c>
      <c r="D795" s="1">
        <v>5</v>
      </c>
      <c r="E795" s="1">
        <v>9</v>
      </c>
      <c r="F795" s="1">
        <v>4</v>
      </c>
      <c r="G795" s="1">
        <v>1</v>
      </c>
    </row>
    <row r="796" spans="1:7" x14ac:dyDescent="0.2">
      <c r="A796" s="1" t="s">
        <v>805</v>
      </c>
      <c r="B796" s="1" t="str">
        <f>VLOOKUP(student_skills[[#This Row],[Student_ID]],student_data[],2,0)</f>
        <v>Civil</v>
      </c>
      <c r="C796" s="1">
        <v>3</v>
      </c>
      <c r="D796" s="1">
        <v>2</v>
      </c>
      <c r="E796" s="1">
        <v>8</v>
      </c>
      <c r="F796" s="1">
        <v>4</v>
      </c>
      <c r="G796" s="1">
        <v>9</v>
      </c>
    </row>
    <row r="797" spans="1:7" x14ac:dyDescent="0.2">
      <c r="A797" s="1" t="s">
        <v>806</v>
      </c>
      <c r="B797" s="1" t="str">
        <f>VLOOKUP(student_skills[[#This Row],[Student_ID]],student_data[],2,0)</f>
        <v>Electronics</v>
      </c>
      <c r="C797" s="1">
        <v>3</v>
      </c>
      <c r="D797" s="1">
        <v>8</v>
      </c>
      <c r="E797" s="1">
        <v>8</v>
      </c>
      <c r="F797" s="1">
        <v>7</v>
      </c>
      <c r="G797" s="1">
        <v>10</v>
      </c>
    </row>
    <row r="798" spans="1:7" x14ac:dyDescent="0.2">
      <c r="A798" s="1" t="s">
        <v>807</v>
      </c>
      <c r="B798" s="1" t="str">
        <f>VLOOKUP(student_skills[[#This Row],[Student_ID]],student_data[],2,0)</f>
        <v>Civil</v>
      </c>
      <c r="C798" s="1">
        <v>9</v>
      </c>
      <c r="D798" s="1">
        <v>2</v>
      </c>
      <c r="E798" s="1">
        <v>10</v>
      </c>
      <c r="F798" s="1">
        <v>2</v>
      </c>
      <c r="G798" s="1">
        <v>6</v>
      </c>
    </row>
    <row r="799" spans="1:7" x14ac:dyDescent="0.2">
      <c r="A799" s="1" t="s">
        <v>808</v>
      </c>
      <c r="B799" s="1" t="str">
        <f>VLOOKUP(student_skills[[#This Row],[Student_ID]],student_data[],2,0)</f>
        <v>Electronics</v>
      </c>
      <c r="C799" s="1">
        <v>7</v>
      </c>
      <c r="D799" s="1">
        <v>9</v>
      </c>
      <c r="E799" s="1">
        <v>6</v>
      </c>
      <c r="F799" s="1">
        <v>8</v>
      </c>
      <c r="G799" s="1">
        <v>10</v>
      </c>
    </row>
    <row r="800" spans="1:7" x14ac:dyDescent="0.2">
      <c r="A800" s="1" t="s">
        <v>809</v>
      </c>
      <c r="B800" s="1" t="str">
        <f>VLOOKUP(student_skills[[#This Row],[Student_ID]],student_data[],2,0)</f>
        <v>Information Technology</v>
      </c>
      <c r="C800" s="1">
        <v>5</v>
      </c>
      <c r="D800" s="1">
        <v>2</v>
      </c>
      <c r="E800" s="1">
        <v>7</v>
      </c>
      <c r="F800" s="1">
        <v>6</v>
      </c>
      <c r="G800" s="1">
        <v>5</v>
      </c>
    </row>
    <row r="801" spans="1:7" x14ac:dyDescent="0.2">
      <c r="A801" s="1" t="s">
        <v>810</v>
      </c>
      <c r="B801" s="1" t="str">
        <f>VLOOKUP(student_skills[[#This Row],[Student_ID]],student_data[],2,0)</f>
        <v>Electronics</v>
      </c>
      <c r="C801" s="1">
        <v>10</v>
      </c>
      <c r="D801" s="1">
        <v>9</v>
      </c>
      <c r="E801" s="1">
        <v>6</v>
      </c>
      <c r="F801" s="1">
        <v>3</v>
      </c>
      <c r="G801" s="1">
        <v>1</v>
      </c>
    </row>
    <row r="802" spans="1:7" x14ac:dyDescent="0.2">
      <c r="A802" s="1" t="s">
        <v>811</v>
      </c>
      <c r="B802" s="1" t="str">
        <f>VLOOKUP(student_skills[[#This Row],[Student_ID]],student_data[],2,0)</f>
        <v>Mechanical</v>
      </c>
      <c r="C802" s="1">
        <v>7</v>
      </c>
      <c r="D802" s="1">
        <v>7</v>
      </c>
      <c r="E802" s="1">
        <v>9</v>
      </c>
      <c r="F802" s="1">
        <v>9</v>
      </c>
      <c r="G802" s="1">
        <v>6</v>
      </c>
    </row>
    <row r="803" spans="1:7" x14ac:dyDescent="0.2">
      <c r="A803" s="1" t="s">
        <v>812</v>
      </c>
      <c r="B803" s="1" t="str">
        <f>VLOOKUP(student_skills[[#This Row],[Student_ID]],student_data[],2,0)</f>
        <v>Mechanical</v>
      </c>
      <c r="C803" s="1">
        <v>9</v>
      </c>
      <c r="D803" s="1">
        <v>8</v>
      </c>
      <c r="E803" s="1">
        <v>3</v>
      </c>
      <c r="F803" s="1">
        <v>5</v>
      </c>
      <c r="G803" s="1">
        <v>6</v>
      </c>
    </row>
    <row r="804" spans="1:7" x14ac:dyDescent="0.2">
      <c r="A804" s="1" t="s">
        <v>813</v>
      </c>
      <c r="B804" s="1" t="str">
        <f>VLOOKUP(student_skills[[#This Row],[Student_ID]],student_data[],2,0)</f>
        <v>Mechanical</v>
      </c>
      <c r="C804" s="1">
        <v>1</v>
      </c>
      <c r="D804" s="1">
        <v>2</v>
      </c>
      <c r="E804" s="1">
        <v>3</v>
      </c>
      <c r="F804" s="1">
        <v>8</v>
      </c>
      <c r="G804" s="1">
        <v>3</v>
      </c>
    </row>
    <row r="805" spans="1:7" x14ac:dyDescent="0.2">
      <c r="A805" s="1" t="s">
        <v>814</v>
      </c>
      <c r="B805" s="1" t="str">
        <f>VLOOKUP(student_skills[[#This Row],[Student_ID]],student_data[],2,0)</f>
        <v>Mechanical</v>
      </c>
      <c r="C805" s="1">
        <v>7</v>
      </c>
      <c r="D805" s="1">
        <v>7</v>
      </c>
      <c r="E805" s="1">
        <v>3</v>
      </c>
      <c r="F805" s="1">
        <v>7</v>
      </c>
      <c r="G805" s="1">
        <v>8</v>
      </c>
    </row>
    <row r="806" spans="1:7" x14ac:dyDescent="0.2">
      <c r="A806" s="1" t="s">
        <v>815</v>
      </c>
      <c r="B806" s="1" t="str">
        <f>VLOOKUP(student_skills[[#This Row],[Student_ID]],student_data[],2,0)</f>
        <v>Civil</v>
      </c>
      <c r="C806" s="1">
        <v>6</v>
      </c>
      <c r="D806" s="1">
        <v>6</v>
      </c>
      <c r="E806" s="1">
        <v>10</v>
      </c>
      <c r="F806" s="1">
        <v>8</v>
      </c>
      <c r="G806" s="1">
        <v>1</v>
      </c>
    </row>
    <row r="807" spans="1:7" x14ac:dyDescent="0.2">
      <c r="A807" s="1" t="s">
        <v>816</v>
      </c>
      <c r="B807" s="1" t="str">
        <f>VLOOKUP(student_skills[[#This Row],[Student_ID]],student_data[],2,0)</f>
        <v>Information Technology</v>
      </c>
      <c r="C807" s="1">
        <v>10</v>
      </c>
      <c r="D807" s="1">
        <v>4</v>
      </c>
      <c r="E807" s="1">
        <v>3</v>
      </c>
      <c r="F807" s="1">
        <v>7</v>
      </c>
      <c r="G807" s="1">
        <v>1</v>
      </c>
    </row>
    <row r="808" spans="1:7" x14ac:dyDescent="0.2">
      <c r="A808" s="1" t="s">
        <v>817</v>
      </c>
      <c r="B808" s="1" t="str">
        <f>VLOOKUP(student_skills[[#This Row],[Student_ID]],student_data[],2,0)</f>
        <v>Electronics</v>
      </c>
      <c r="C808" s="1">
        <v>9</v>
      </c>
      <c r="D808" s="1">
        <v>7</v>
      </c>
      <c r="E808" s="1">
        <v>9</v>
      </c>
      <c r="F808" s="1">
        <v>3</v>
      </c>
      <c r="G808" s="1">
        <v>6</v>
      </c>
    </row>
    <row r="809" spans="1:7" x14ac:dyDescent="0.2">
      <c r="A809" s="1" t="s">
        <v>818</v>
      </c>
      <c r="B809" s="1" t="str">
        <f>VLOOKUP(student_skills[[#This Row],[Student_ID]],student_data[],2,0)</f>
        <v>Electronics</v>
      </c>
      <c r="C809" s="1">
        <v>1</v>
      </c>
      <c r="D809" s="1">
        <v>4</v>
      </c>
      <c r="E809" s="1">
        <v>4</v>
      </c>
      <c r="F809" s="1">
        <v>2</v>
      </c>
      <c r="G809" s="1">
        <v>10</v>
      </c>
    </row>
    <row r="810" spans="1:7" x14ac:dyDescent="0.2">
      <c r="A810" s="1" t="s">
        <v>819</v>
      </c>
      <c r="B810" s="1" t="str">
        <f>VLOOKUP(student_skills[[#This Row],[Student_ID]],student_data[],2,0)</f>
        <v>Mechanical</v>
      </c>
      <c r="C810" s="1">
        <v>4</v>
      </c>
      <c r="D810" s="1">
        <v>2</v>
      </c>
      <c r="E810" s="1">
        <v>7</v>
      </c>
      <c r="F810" s="1">
        <v>7</v>
      </c>
      <c r="G810" s="1">
        <v>1</v>
      </c>
    </row>
    <row r="811" spans="1:7" x14ac:dyDescent="0.2">
      <c r="A811" s="1" t="s">
        <v>820</v>
      </c>
      <c r="B811" s="1" t="str">
        <f>VLOOKUP(student_skills[[#This Row],[Student_ID]],student_data[],2,0)</f>
        <v>Mechanical</v>
      </c>
      <c r="C811" s="1">
        <v>9</v>
      </c>
      <c r="D811" s="1">
        <v>10</v>
      </c>
      <c r="E811" s="1">
        <v>9</v>
      </c>
      <c r="F811" s="1">
        <v>3</v>
      </c>
      <c r="G811" s="1">
        <v>6</v>
      </c>
    </row>
    <row r="812" spans="1:7" x14ac:dyDescent="0.2">
      <c r="A812" s="1" t="s">
        <v>821</v>
      </c>
      <c r="B812" s="1" t="str">
        <f>VLOOKUP(student_skills[[#This Row],[Student_ID]],student_data[],2,0)</f>
        <v>Computer Science</v>
      </c>
      <c r="C812" s="1">
        <v>4</v>
      </c>
      <c r="D812" s="1">
        <v>7</v>
      </c>
      <c r="E812" s="1">
        <v>7</v>
      </c>
      <c r="F812" s="1">
        <v>3</v>
      </c>
      <c r="G812" s="1">
        <v>1</v>
      </c>
    </row>
    <row r="813" spans="1:7" x14ac:dyDescent="0.2">
      <c r="A813" s="1" t="s">
        <v>822</v>
      </c>
      <c r="B813" s="1" t="str">
        <f>VLOOKUP(student_skills[[#This Row],[Student_ID]],student_data[],2,0)</f>
        <v>Information Technology</v>
      </c>
      <c r="C813" s="1">
        <v>10</v>
      </c>
      <c r="D813" s="1">
        <v>8</v>
      </c>
      <c r="E813" s="1">
        <v>9</v>
      </c>
      <c r="F813" s="1">
        <v>2</v>
      </c>
      <c r="G813" s="1">
        <v>6</v>
      </c>
    </row>
    <row r="814" spans="1:7" x14ac:dyDescent="0.2">
      <c r="A814" s="1" t="s">
        <v>823</v>
      </c>
      <c r="B814" s="1" t="str">
        <f>VLOOKUP(student_skills[[#This Row],[Student_ID]],student_data[],2,0)</f>
        <v>Civil</v>
      </c>
      <c r="C814" s="1">
        <v>3</v>
      </c>
      <c r="D814" s="1">
        <v>2</v>
      </c>
      <c r="E814" s="1">
        <v>3</v>
      </c>
      <c r="F814" s="1">
        <v>4</v>
      </c>
      <c r="G814" s="1">
        <v>3</v>
      </c>
    </row>
    <row r="815" spans="1:7" x14ac:dyDescent="0.2">
      <c r="A815" s="1" t="s">
        <v>824</v>
      </c>
      <c r="B815" s="1" t="str">
        <f>VLOOKUP(student_skills[[#This Row],[Student_ID]],student_data[],2,0)</f>
        <v>Electronics</v>
      </c>
      <c r="C815" s="1">
        <v>9</v>
      </c>
      <c r="D815" s="1">
        <v>5</v>
      </c>
      <c r="E815" s="1">
        <v>4</v>
      </c>
      <c r="F815" s="1">
        <v>8</v>
      </c>
      <c r="G815" s="1">
        <v>8</v>
      </c>
    </row>
    <row r="816" spans="1:7" x14ac:dyDescent="0.2">
      <c r="A816" s="1" t="s">
        <v>825</v>
      </c>
      <c r="B816" s="1" t="str">
        <f>VLOOKUP(student_skills[[#This Row],[Student_ID]],student_data[],2,0)</f>
        <v>Computer Science</v>
      </c>
      <c r="C816" s="1">
        <v>2</v>
      </c>
      <c r="D816" s="1">
        <v>1</v>
      </c>
      <c r="E816" s="1">
        <v>8</v>
      </c>
      <c r="F816" s="1">
        <v>1</v>
      </c>
      <c r="G816" s="1">
        <v>6</v>
      </c>
    </row>
    <row r="817" spans="1:7" x14ac:dyDescent="0.2">
      <c r="A817" s="1" t="s">
        <v>826</v>
      </c>
      <c r="B817" s="1" t="str">
        <f>VLOOKUP(student_skills[[#This Row],[Student_ID]],student_data[],2,0)</f>
        <v>Computer Science</v>
      </c>
      <c r="C817" s="1">
        <v>4</v>
      </c>
      <c r="D817" s="1">
        <v>7</v>
      </c>
      <c r="E817" s="1">
        <v>6</v>
      </c>
      <c r="F817" s="1">
        <v>1</v>
      </c>
      <c r="G817" s="1">
        <v>1</v>
      </c>
    </row>
    <row r="818" spans="1:7" x14ac:dyDescent="0.2">
      <c r="A818" s="1" t="s">
        <v>827</v>
      </c>
      <c r="B818" s="1" t="str">
        <f>VLOOKUP(student_skills[[#This Row],[Student_ID]],student_data[],2,0)</f>
        <v>Electronics</v>
      </c>
      <c r="C818" s="1">
        <v>6</v>
      </c>
      <c r="D818" s="1">
        <v>8</v>
      </c>
      <c r="E818" s="1">
        <v>5</v>
      </c>
      <c r="F818" s="1">
        <v>5</v>
      </c>
      <c r="G818" s="1">
        <v>5</v>
      </c>
    </row>
    <row r="819" spans="1:7" x14ac:dyDescent="0.2">
      <c r="A819" s="1" t="s">
        <v>828</v>
      </c>
      <c r="B819" s="1" t="str">
        <f>VLOOKUP(student_skills[[#This Row],[Student_ID]],student_data[],2,0)</f>
        <v>Civil</v>
      </c>
      <c r="C819" s="1">
        <v>2</v>
      </c>
      <c r="D819" s="1">
        <v>6</v>
      </c>
      <c r="E819" s="1">
        <v>4</v>
      </c>
      <c r="F819" s="1">
        <v>5</v>
      </c>
      <c r="G819" s="1">
        <v>8</v>
      </c>
    </row>
    <row r="820" spans="1:7" x14ac:dyDescent="0.2">
      <c r="A820" s="1" t="s">
        <v>829</v>
      </c>
      <c r="B820" s="1" t="str">
        <f>VLOOKUP(student_skills[[#This Row],[Student_ID]],student_data[],2,0)</f>
        <v>Computer Science</v>
      </c>
      <c r="C820" s="1">
        <v>8</v>
      </c>
      <c r="D820" s="1">
        <v>5</v>
      </c>
      <c r="E820" s="1">
        <v>8</v>
      </c>
      <c r="F820" s="1">
        <v>1</v>
      </c>
      <c r="G820" s="1">
        <v>3</v>
      </c>
    </row>
    <row r="821" spans="1:7" x14ac:dyDescent="0.2">
      <c r="A821" s="1" t="s">
        <v>830</v>
      </c>
      <c r="B821" s="1" t="str">
        <f>VLOOKUP(student_skills[[#This Row],[Student_ID]],student_data[],2,0)</f>
        <v>Computer Science</v>
      </c>
      <c r="C821" s="1">
        <v>8</v>
      </c>
      <c r="D821" s="1">
        <v>6</v>
      </c>
      <c r="E821" s="1">
        <v>1</v>
      </c>
      <c r="F821" s="1">
        <v>6</v>
      </c>
      <c r="G821" s="1">
        <v>6</v>
      </c>
    </row>
    <row r="822" spans="1:7" x14ac:dyDescent="0.2">
      <c r="A822" s="1" t="s">
        <v>831</v>
      </c>
      <c r="B822" s="1" t="str">
        <f>VLOOKUP(student_skills[[#This Row],[Student_ID]],student_data[],2,0)</f>
        <v>Information Technology</v>
      </c>
      <c r="C822" s="1">
        <v>1</v>
      </c>
      <c r="D822" s="1">
        <v>2</v>
      </c>
      <c r="E822" s="1">
        <v>9</v>
      </c>
      <c r="F822" s="1">
        <v>1</v>
      </c>
      <c r="G822" s="1">
        <v>5</v>
      </c>
    </row>
    <row r="823" spans="1:7" x14ac:dyDescent="0.2">
      <c r="A823" s="1" t="s">
        <v>832</v>
      </c>
      <c r="B823" s="1" t="str">
        <f>VLOOKUP(student_skills[[#This Row],[Student_ID]],student_data[],2,0)</f>
        <v>Civil</v>
      </c>
      <c r="C823" s="1">
        <v>3</v>
      </c>
      <c r="D823" s="1">
        <v>1</v>
      </c>
      <c r="E823" s="1">
        <v>1</v>
      </c>
      <c r="F823" s="1">
        <v>5</v>
      </c>
      <c r="G823" s="1">
        <v>6</v>
      </c>
    </row>
    <row r="824" spans="1:7" x14ac:dyDescent="0.2">
      <c r="A824" s="1" t="s">
        <v>833</v>
      </c>
      <c r="B824" s="1" t="str">
        <f>VLOOKUP(student_skills[[#This Row],[Student_ID]],student_data[],2,0)</f>
        <v>Computer Science</v>
      </c>
      <c r="C824" s="1">
        <v>10</v>
      </c>
      <c r="D824" s="1">
        <v>7</v>
      </c>
      <c r="E824" s="1">
        <v>8</v>
      </c>
      <c r="F824" s="1">
        <v>9</v>
      </c>
      <c r="G824" s="1">
        <v>10</v>
      </c>
    </row>
    <row r="825" spans="1:7" x14ac:dyDescent="0.2">
      <c r="A825" s="1" t="s">
        <v>834</v>
      </c>
      <c r="B825" s="1" t="str">
        <f>VLOOKUP(student_skills[[#This Row],[Student_ID]],student_data[],2,0)</f>
        <v>Civil</v>
      </c>
      <c r="C825" s="1">
        <v>9</v>
      </c>
      <c r="D825" s="1">
        <v>7</v>
      </c>
      <c r="E825" s="1">
        <v>4</v>
      </c>
      <c r="F825" s="1">
        <v>5</v>
      </c>
      <c r="G825" s="1">
        <v>1</v>
      </c>
    </row>
    <row r="826" spans="1:7" x14ac:dyDescent="0.2">
      <c r="A826" s="1" t="s">
        <v>835</v>
      </c>
      <c r="B826" s="1" t="str">
        <f>VLOOKUP(student_skills[[#This Row],[Student_ID]],student_data[],2,0)</f>
        <v>Electronics</v>
      </c>
      <c r="C826" s="1">
        <v>5</v>
      </c>
      <c r="D826" s="1">
        <v>10</v>
      </c>
      <c r="E826" s="1">
        <v>9</v>
      </c>
      <c r="F826" s="1">
        <v>6</v>
      </c>
      <c r="G826" s="1">
        <v>7</v>
      </c>
    </row>
    <row r="827" spans="1:7" x14ac:dyDescent="0.2">
      <c r="A827" s="1" t="s">
        <v>836</v>
      </c>
      <c r="B827" s="1" t="str">
        <f>VLOOKUP(student_skills[[#This Row],[Student_ID]],student_data[],2,0)</f>
        <v>Mechanical</v>
      </c>
      <c r="C827" s="1">
        <v>6</v>
      </c>
      <c r="D827" s="1">
        <v>10</v>
      </c>
      <c r="E827" s="1">
        <v>5</v>
      </c>
      <c r="F827" s="1">
        <v>8</v>
      </c>
      <c r="G827" s="1">
        <v>9</v>
      </c>
    </row>
    <row r="828" spans="1:7" x14ac:dyDescent="0.2">
      <c r="A828" s="1" t="s">
        <v>837</v>
      </c>
      <c r="B828" s="1" t="str">
        <f>VLOOKUP(student_skills[[#This Row],[Student_ID]],student_data[],2,0)</f>
        <v>Computer Science</v>
      </c>
      <c r="C828" s="1">
        <v>4</v>
      </c>
      <c r="D828" s="1">
        <v>2</v>
      </c>
      <c r="E828" s="1">
        <v>3</v>
      </c>
      <c r="F828" s="1">
        <v>1</v>
      </c>
      <c r="G828" s="1">
        <v>2</v>
      </c>
    </row>
    <row r="829" spans="1:7" x14ac:dyDescent="0.2">
      <c r="A829" s="1" t="s">
        <v>838</v>
      </c>
      <c r="B829" s="1" t="str">
        <f>VLOOKUP(student_skills[[#This Row],[Student_ID]],student_data[],2,0)</f>
        <v>Information Technology</v>
      </c>
      <c r="C829" s="1">
        <v>10</v>
      </c>
      <c r="D829" s="1">
        <v>2</v>
      </c>
      <c r="E829" s="1">
        <v>9</v>
      </c>
      <c r="F829" s="1">
        <v>2</v>
      </c>
      <c r="G829" s="1">
        <v>10</v>
      </c>
    </row>
    <row r="830" spans="1:7" x14ac:dyDescent="0.2">
      <c r="A830" s="1" t="s">
        <v>839</v>
      </c>
      <c r="B830" s="1" t="str">
        <f>VLOOKUP(student_skills[[#This Row],[Student_ID]],student_data[],2,0)</f>
        <v>Electronics</v>
      </c>
      <c r="C830" s="1">
        <v>2</v>
      </c>
      <c r="D830" s="1">
        <v>1</v>
      </c>
      <c r="E830" s="1">
        <v>9</v>
      </c>
      <c r="F830" s="1">
        <v>9</v>
      </c>
      <c r="G830" s="1">
        <v>5</v>
      </c>
    </row>
    <row r="831" spans="1:7" x14ac:dyDescent="0.2">
      <c r="A831" s="1" t="s">
        <v>840</v>
      </c>
      <c r="B831" s="1" t="str">
        <f>VLOOKUP(student_skills[[#This Row],[Student_ID]],student_data[],2,0)</f>
        <v>Civil</v>
      </c>
      <c r="C831" s="1">
        <v>8</v>
      </c>
      <c r="D831" s="1">
        <v>10</v>
      </c>
      <c r="E831" s="1">
        <v>4</v>
      </c>
      <c r="F831" s="1">
        <v>3</v>
      </c>
      <c r="G831" s="1">
        <v>10</v>
      </c>
    </row>
    <row r="832" spans="1:7" x14ac:dyDescent="0.2">
      <c r="A832" s="1" t="s">
        <v>841</v>
      </c>
      <c r="B832" s="1" t="str">
        <f>VLOOKUP(student_skills[[#This Row],[Student_ID]],student_data[],2,0)</f>
        <v>Electronics</v>
      </c>
      <c r="C832" s="1">
        <v>6</v>
      </c>
      <c r="D832" s="1">
        <v>8</v>
      </c>
      <c r="E832" s="1">
        <v>4</v>
      </c>
      <c r="F832" s="1">
        <v>6</v>
      </c>
      <c r="G832" s="1">
        <v>4</v>
      </c>
    </row>
    <row r="833" spans="1:7" x14ac:dyDescent="0.2">
      <c r="A833" s="1" t="s">
        <v>842</v>
      </c>
      <c r="B833" s="1" t="str">
        <f>VLOOKUP(student_skills[[#This Row],[Student_ID]],student_data[],2,0)</f>
        <v>Computer Science</v>
      </c>
      <c r="C833" s="1">
        <v>5</v>
      </c>
      <c r="D833" s="1">
        <v>8</v>
      </c>
      <c r="E833" s="1">
        <v>8</v>
      </c>
      <c r="F833" s="1">
        <v>5</v>
      </c>
      <c r="G833" s="1">
        <v>6</v>
      </c>
    </row>
    <row r="834" spans="1:7" x14ac:dyDescent="0.2">
      <c r="A834" s="1" t="s">
        <v>843</v>
      </c>
      <c r="B834" s="1" t="str">
        <f>VLOOKUP(student_skills[[#This Row],[Student_ID]],student_data[],2,0)</f>
        <v>Civil</v>
      </c>
      <c r="C834" s="1">
        <v>9</v>
      </c>
      <c r="D834" s="1">
        <v>1</v>
      </c>
      <c r="E834" s="1">
        <v>2</v>
      </c>
      <c r="F834" s="1">
        <v>2</v>
      </c>
      <c r="G834" s="1">
        <v>6</v>
      </c>
    </row>
    <row r="835" spans="1:7" x14ac:dyDescent="0.2">
      <c r="A835" s="1" t="s">
        <v>844</v>
      </c>
      <c r="B835" s="1" t="str">
        <f>VLOOKUP(student_skills[[#This Row],[Student_ID]],student_data[],2,0)</f>
        <v>Mechanical</v>
      </c>
      <c r="C835" s="1">
        <v>1</v>
      </c>
      <c r="D835" s="1">
        <v>8</v>
      </c>
      <c r="E835" s="1">
        <v>9</v>
      </c>
      <c r="F835" s="1">
        <v>7</v>
      </c>
      <c r="G835" s="1">
        <v>2</v>
      </c>
    </row>
    <row r="836" spans="1:7" x14ac:dyDescent="0.2">
      <c r="A836" s="1" t="s">
        <v>845</v>
      </c>
      <c r="B836" s="1" t="str">
        <f>VLOOKUP(student_skills[[#This Row],[Student_ID]],student_data[],2,0)</f>
        <v>Electronics</v>
      </c>
      <c r="C836" s="1">
        <v>5</v>
      </c>
      <c r="D836" s="1">
        <v>9</v>
      </c>
      <c r="E836" s="1">
        <v>6</v>
      </c>
      <c r="F836" s="1">
        <v>4</v>
      </c>
      <c r="G836" s="1">
        <v>2</v>
      </c>
    </row>
    <row r="837" spans="1:7" x14ac:dyDescent="0.2">
      <c r="A837" s="1" t="s">
        <v>846</v>
      </c>
      <c r="B837" s="1" t="str">
        <f>VLOOKUP(student_skills[[#This Row],[Student_ID]],student_data[],2,0)</f>
        <v>Computer Science</v>
      </c>
      <c r="C837" s="1">
        <v>6</v>
      </c>
      <c r="D837" s="1">
        <v>4</v>
      </c>
      <c r="E837" s="1">
        <v>9</v>
      </c>
      <c r="F837" s="1">
        <v>1</v>
      </c>
      <c r="G837" s="1">
        <v>4</v>
      </c>
    </row>
    <row r="838" spans="1:7" x14ac:dyDescent="0.2">
      <c r="A838" s="1" t="s">
        <v>847</v>
      </c>
      <c r="B838" s="1" t="str">
        <f>VLOOKUP(student_skills[[#This Row],[Student_ID]],student_data[],2,0)</f>
        <v>Information Technology</v>
      </c>
      <c r="C838" s="1">
        <v>5</v>
      </c>
      <c r="D838" s="1">
        <v>1</v>
      </c>
      <c r="E838" s="1">
        <v>8</v>
      </c>
      <c r="F838" s="1">
        <v>4</v>
      </c>
      <c r="G838" s="1">
        <v>1</v>
      </c>
    </row>
    <row r="839" spans="1:7" x14ac:dyDescent="0.2">
      <c r="A839" s="1" t="s">
        <v>848</v>
      </c>
      <c r="B839" s="1" t="str">
        <f>VLOOKUP(student_skills[[#This Row],[Student_ID]],student_data[],2,0)</f>
        <v>Civil</v>
      </c>
      <c r="C839" s="1">
        <v>6</v>
      </c>
      <c r="D839" s="1">
        <v>1</v>
      </c>
      <c r="E839" s="1">
        <v>7</v>
      </c>
      <c r="F839" s="1">
        <v>6</v>
      </c>
      <c r="G839" s="1">
        <v>9</v>
      </c>
    </row>
    <row r="840" spans="1:7" x14ac:dyDescent="0.2">
      <c r="A840" s="1" t="s">
        <v>849</v>
      </c>
      <c r="B840" s="1" t="str">
        <f>VLOOKUP(student_skills[[#This Row],[Student_ID]],student_data[],2,0)</f>
        <v>Electronics</v>
      </c>
      <c r="C840" s="1">
        <v>6</v>
      </c>
      <c r="D840" s="1">
        <v>3</v>
      </c>
      <c r="E840" s="1">
        <v>1</v>
      </c>
      <c r="F840" s="1">
        <v>7</v>
      </c>
      <c r="G840" s="1">
        <v>7</v>
      </c>
    </row>
    <row r="841" spans="1:7" x14ac:dyDescent="0.2">
      <c r="A841" s="1" t="s">
        <v>850</v>
      </c>
      <c r="B841" s="1" t="str">
        <f>VLOOKUP(student_skills[[#This Row],[Student_ID]],student_data[],2,0)</f>
        <v>Electronics</v>
      </c>
      <c r="C841" s="1">
        <v>7</v>
      </c>
      <c r="D841" s="1">
        <v>5</v>
      </c>
      <c r="E841" s="1">
        <v>3</v>
      </c>
      <c r="F841" s="1">
        <v>7</v>
      </c>
      <c r="G841" s="1">
        <v>7</v>
      </c>
    </row>
    <row r="842" spans="1:7" x14ac:dyDescent="0.2">
      <c r="A842" s="1" t="s">
        <v>851</v>
      </c>
      <c r="B842" s="1" t="str">
        <f>VLOOKUP(student_skills[[#This Row],[Student_ID]],student_data[],2,0)</f>
        <v>Mechanical</v>
      </c>
      <c r="C842" s="1">
        <v>4</v>
      </c>
      <c r="D842" s="1">
        <v>5</v>
      </c>
      <c r="E842" s="1">
        <v>2</v>
      </c>
      <c r="F842" s="1">
        <v>7</v>
      </c>
      <c r="G842" s="1">
        <v>3</v>
      </c>
    </row>
    <row r="843" spans="1:7" x14ac:dyDescent="0.2">
      <c r="A843" s="1" t="s">
        <v>852</v>
      </c>
      <c r="B843" s="1" t="str">
        <f>VLOOKUP(student_skills[[#This Row],[Student_ID]],student_data[],2,0)</f>
        <v>Mechanical</v>
      </c>
      <c r="C843" s="1">
        <v>8</v>
      </c>
      <c r="D843" s="1">
        <v>9</v>
      </c>
      <c r="E843" s="1">
        <v>5</v>
      </c>
      <c r="F843" s="1">
        <v>3</v>
      </c>
      <c r="G843" s="1">
        <v>3</v>
      </c>
    </row>
    <row r="844" spans="1:7" x14ac:dyDescent="0.2">
      <c r="A844" s="1" t="s">
        <v>853</v>
      </c>
      <c r="B844" s="1" t="str">
        <f>VLOOKUP(student_skills[[#This Row],[Student_ID]],student_data[],2,0)</f>
        <v>Information Technology</v>
      </c>
      <c r="C844" s="1">
        <v>7</v>
      </c>
      <c r="D844" s="1">
        <v>10</v>
      </c>
      <c r="E844" s="1">
        <v>5</v>
      </c>
      <c r="F844" s="1">
        <v>6</v>
      </c>
      <c r="G844" s="1">
        <v>1</v>
      </c>
    </row>
    <row r="845" spans="1:7" x14ac:dyDescent="0.2">
      <c r="A845" s="1" t="s">
        <v>854</v>
      </c>
      <c r="B845" s="1" t="str">
        <f>VLOOKUP(student_skills[[#This Row],[Student_ID]],student_data[],2,0)</f>
        <v>Information Technology</v>
      </c>
      <c r="C845" s="1">
        <v>9</v>
      </c>
      <c r="D845" s="1">
        <v>2</v>
      </c>
      <c r="E845" s="1">
        <v>5</v>
      </c>
      <c r="F845" s="1">
        <v>8</v>
      </c>
      <c r="G845" s="1">
        <v>3</v>
      </c>
    </row>
    <row r="846" spans="1:7" x14ac:dyDescent="0.2">
      <c r="A846" s="1" t="s">
        <v>855</v>
      </c>
      <c r="B846" s="1" t="str">
        <f>VLOOKUP(student_skills[[#This Row],[Student_ID]],student_data[],2,0)</f>
        <v>Computer Science</v>
      </c>
      <c r="C846" s="1">
        <v>7</v>
      </c>
      <c r="D846" s="1">
        <v>2</v>
      </c>
      <c r="E846" s="1">
        <v>4</v>
      </c>
      <c r="F846" s="1">
        <v>4</v>
      </c>
      <c r="G846" s="1">
        <v>3</v>
      </c>
    </row>
    <row r="847" spans="1:7" x14ac:dyDescent="0.2">
      <c r="A847" s="1" t="s">
        <v>856</v>
      </c>
      <c r="B847" s="1" t="str">
        <f>VLOOKUP(student_skills[[#This Row],[Student_ID]],student_data[],2,0)</f>
        <v>Computer Science</v>
      </c>
      <c r="C847" s="1">
        <v>3</v>
      </c>
      <c r="D847" s="1">
        <v>6</v>
      </c>
      <c r="E847" s="1">
        <v>5</v>
      </c>
      <c r="F847" s="1">
        <v>8</v>
      </c>
      <c r="G847" s="1">
        <v>4</v>
      </c>
    </row>
    <row r="848" spans="1:7" x14ac:dyDescent="0.2">
      <c r="A848" s="1" t="s">
        <v>857</v>
      </c>
      <c r="B848" s="1" t="str">
        <f>VLOOKUP(student_skills[[#This Row],[Student_ID]],student_data[],2,0)</f>
        <v>Information Technology</v>
      </c>
      <c r="C848" s="1">
        <v>3</v>
      </c>
      <c r="D848" s="1">
        <v>9</v>
      </c>
      <c r="E848" s="1">
        <v>3</v>
      </c>
      <c r="F848" s="1">
        <v>2</v>
      </c>
      <c r="G848" s="1">
        <v>4</v>
      </c>
    </row>
    <row r="849" spans="1:7" x14ac:dyDescent="0.2">
      <c r="A849" s="1" t="s">
        <v>858</v>
      </c>
      <c r="B849" s="1" t="str">
        <f>VLOOKUP(student_skills[[#This Row],[Student_ID]],student_data[],2,0)</f>
        <v>Information Technology</v>
      </c>
      <c r="C849" s="1">
        <v>8</v>
      </c>
      <c r="D849" s="1">
        <v>1</v>
      </c>
      <c r="E849" s="1">
        <v>1</v>
      </c>
      <c r="F849" s="1">
        <v>10</v>
      </c>
      <c r="G849" s="1">
        <v>3</v>
      </c>
    </row>
    <row r="850" spans="1:7" x14ac:dyDescent="0.2">
      <c r="A850" s="1" t="s">
        <v>859</v>
      </c>
      <c r="B850" s="1" t="str">
        <f>VLOOKUP(student_skills[[#This Row],[Student_ID]],student_data[],2,0)</f>
        <v>Civil</v>
      </c>
      <c r="C850" s="1">
        <v>5</v>
      </c>
      <c r="D850" s="1">
        <v>9</v>
      </c>
      <c r="E850" s="1">
        <v>5</v>
      </c>
      <c r="F850" s="1">
        <v>9</v>
      </c>
      <c r="G850" s="1">
        <v>10</v>
      </c>
    </row>
    <row r="851" spans="1:7" x14ac:dyDescent="0.2">
      <c r="A851" s="1" t="s">
        <v>860</v>
      </c>
      <c r="B851" s="1" t="str">
        <f>VLOOKUP(student_skills[[#This Row],[Student_ID]],student_data[],2,0)</f>
        <v>Mechanical</v>
      </c>
      <c r="C851" s="1">
        <v>4</v>
      </c>
      <c r="D851" s="1">
        <v>9</v>
      </c>
      <c r="E851" s="1">
        <v>9</v>
      </c>
      <c r="F851" s="1">
        <v>9</v>
      </c>
      <c r="G851" s="1">
        <v>8</v>
      </c>
    </row>
    <row r="852" spans="1:7" x14ac:dyDescent="0.2">
      <c r="A852" s="1" t="s">
        <v>861</v>
      </c>
      <c r="B852" s="1" t="str">
        <f>VLOOKUP(student_skills[[#This Row],[Student_ID]],student_data[],2,0)</f>
        <v>Computer Science</v>
      </c>
      <c r="C852" s="1">
        <v>8</v>
      </c>
      <c r="D852" s="1">
        <v>9</v>
      </c>
      <c r="E852" s="1">
        <v>9</v>
      </c>
      <c r="F852" s="1">
        <v>8</v>
      </c>
      <c r="G852" s="1">
        <v>8</v>
      </c>
    </row>
    <row r="853" spans="1:7" x14ac:dyDescent="0.2">
      <c r="A853" s="1" t="s">
        <v>862</v>
      </c>
      <c r="B853" s="1" t="str">
        <f>VLOOKUP(student_skills[[#This Row],[Student_ID]],student_data[],2,0)</f>
        <v>Mechanical</v>
      </c>
      <c r="C853" s="1">
        <v>6</v>
      </c>
      <c r="D853" s="1">
        <v>5</v>
      </c>
      <c r="E853" s="1">
        <v>4</v>
      </c>
      <c r="F853" s="1">
        <v>10</v>
      </c>
      <c r="G853" s="1">
        <v>1</v>
      </c>
    </row>
    <row r="854" spans="1:7" x14ac:dyDescent="0.2">
      <c r="A854" s="1" t="s">
        <v>863</v>
      </c>
      <c r="B854" s="1" t="str">
        <f>VLOOKUP(student_skills[[#This Row],[Student_ID]],student_data[],2,0)</f>
        <v>Mechanical</v>
      </c>
      <c r="C854" s="1">
        <v>2</v>
      </c>
      <c r="D854" s="1">
        <v>9</v>
      </c>
      <c r="E854" s="1">
        <v>3</v>
      </c>
      <c r="F854" s="1">
        <v>10</v>
      </c>
      <c r="G854" s="1">
        <v>7</v>
      </c>
    </row>
    <row r="855" spans="1:7" x14ac:dyDescent="0.2">
      <c r="A855" s="1" t="s">
        <v>864</v>
      </c>
      <c r="B855" s="1" t="str">
        <f>VLOOKUP(student_skills[[#This Row],[Student_ID]],student_data[],2,0)</f>
        <v>Information Technology</v>
      </c>
      <c r="C855" s="1">
        <v>4</v>
      </c>
      <c r="D855" s="1">
        <v>4</v>
      </c>
      <c r="E855" s="1">
        <v>1</v>
      </c>
      <c r="F855" s="1">
        <v>1</v>
      </c>
      <c r="G855" s="1">
        <v>2</v>
      </c>
    </row>
    <row r="856" spans="1:7" x14ac:dyDescent="0.2">
      <c r="A856" s="1" t="s">
        <v>865</v>
      </c>
      <c r="B856" s="1" t="str">
        <f>VLOOKUP(student_skills[[#This Row],[Student_ID]],student_data[],2,0)</f>
        <v>Civil</v>
      </c>
      <c r="C856" s="1">
        <v>4</v>
      </c>
      <c r="D856" s="1">
        <v>2</v>
      </c>
      <c r="E856" s="1">
        <v>2</v>
      </c>
      <c r="F856" s="1">
        <v>2</v>
      </c>
      <c r="G856" s="1">
        <v>1</v>
      </c>
    </row>
    <row r="857" spans="1:7" x14ac:dyDescent="0.2">
      <c r="A857" s="1" t="s">
        <v>866</v>
      </c>
      <c r="B857" s="1" t="str">
        <f>VLOOKUP(student_skills[[#This Row],[Student_ID]],student_data[],2,0)</f>
        <v>Electronics</v>
      </c>
      <c r="C857" s="1">
        <v>6</v>
      </c>
      <c r="D857" s="1">
        <v>6</v>
      </c>
      <c r="E857" s="1">
        <v>8</v>
      </c>
      <c r="F857" s="1">
        <v>6</v>
      </c>
      <c r="G857" s="1">
        <v>3</v>
      </c>
    </row>
    <row r="858" spans="1:7" x14ac:dyDescent="0.2">
      <c r="A858" s="1" t="s">
        <v>867</v>
      </c>
      <c r="B858" s="1" t="str">
        <f>VLOOKUP(student_skills[[#This Row],[Student_ID]],student_data[],2,0)</f>
        <v>Civil</v>
      </c>
      <c r="C858" s="1">
        <v>6</v>
      </c>
      <c r="D858" s="1">
        <v>4</v>
      </c>
      <c r="E858" s="1">
        <v>1</v>
      </c>
      <c r="F858" s="1">
        <v>10</v>
      </c>
      <c r="G858" s="1">
        <v>4</v>
      </c>
    </row>
    <row r="859" spans="1:7" x14ac:dyDescent="0.2">
      <c r="A859" s="1" t="s">
        <v>868</v>
      </c>
      <c r="B859" s="1" t="str">
        <f>VLOOKUP(student_skills[[#This Row],[Student_ID]],student_data[],2,0)</f>
        <v>Civil</v>
      </c>
      <c r="C859" s="1">
        <v>1</v>
      </c>
      <c r="D859" s="1">
        <v>6</v>
      </c>
      <c r="E859" s="1">
        <v>8</v>
      </c>
      <c r="F859" s="1">
        <v>5</v>
      </c>
      <c r="G859" s="1">
        <v>6</v>
      </c>
    </row>
    <row r="860" spans="1:7" x14ac:dyDescent="0.2">
      <c r="A860" s="1" t="s">
        <v>869</v>
      </c>
      <c r="B860" s="1" t="str">
        <f>VLOOKUP(student_skills[[#This Row],[Student_ID]],student_data[],2,0)</f>
        <v>Mechanical</v>
      </c>
      <c r="C860" s="1">
        <v>8</v>
      </c>
      <c r="D860" s="1">
        <v>3</v>
      </c>
      <c r="E860" s="1">
        <v>7</v>
      </c>
      <c r="F860" s="1">
        <v>9</v>
      </c>
      <c r="G860" s="1">
        <v>10</v>
      </c>
    </row>
    <row r="861" spans="1:7" x14ac:dyDescent="0.2">
      <c r="A861" s="1" t="s">
        <v>870</v>
      </c>
      <c r="B861" s="1" t="str">
        <f>VLOOKUP(student_skills[[#This Row],[Student_ID]],student_data[],2,0)</f>
        <v>Civil</v>
      </c>
      <c r="C861" s="1">
        <v>6</v>
      </c>
      <c r="D861" s="1">
        <v>6</v>
      </c>
      <c r="E861" s="1">
        <v>8</v>
      </c>
      <c r="F861" s="1">
        <v>5</v>
      </c>
      <c r="G861" s="1">
        <v>5</v>
      </c>
    </row>
    <row r="862" spans="1:7" x14ac:dyDescent="0.2">
      <c r="A862" s="1" t="s">
        <v>871</v>
      </c>
      <c r="B862" s="1" t="str">
        <f>VLOOKUP(student_skills[[#This Row],[Student_ID]],student_data[],2,0)</f>
        <v>Computer Science</v>
      </c>
      <c r="C862" s="1">
        <v>3</v>
      </c>
      <c r="D862" s="1">
        <v>2</v>
      </c>
      <c r="E862" s="1">
        <v>6</v>
      </c>
      <c r="F862" s="1">
        <v>2</v>
      </c>
      <c r="G862" s="1">
        <v>4</v>
      </c>
    </row>
    <row r="863" spans="1:7" x14ac:dyDescent="0.2">
      <c r="A863" s="1" t="s">
        <v>872</v>
      </c>
      <c r="B863" s="1" t="str">
        <f>VLOOKUP(student_skills[[#This Row],[Student_ID]],student_data[],2,0)</f>
        <v>Mechanical</v>
      </c>
      <c r="C863" s="1">
        <v>9</v>
      </c>
      <c r="D863" s="1">
        <v>2</v>
      </c>
      <c r="E863" s="1">
        <v>9</v>
      </c>
      <c r="F863" s="1">
        <v>10</v>
      </c>
      <c r="G863" s="1">
        <v>8</v>
      </c>
    </row>
    <row r="864" spans="1:7" x14ac:dyDescent="0.2">
      <c r="A864" s="1" t="s">
        <v>873</v>
      </c>
      <c r="B864" s="1" t="str">
        <f>VLOOKUP(student_skills[[#This Row],[Student_ID]],student_data[],2,0)</f>
        <v>Computer Science</v>
      </c>
      <c r="C864" s="1">
        <v>2</v>
      </c>
      <c r="D864" s="1">
        <v>9</v>
      </c>
      <c r="E864" s="1">
        <v>3</v>
      </c>
      <c r="F864" s="1">
        <v>4</v>
      </c>
      <c r="G864" s="1">
        <v>4</v>
      </c>
    </row>
    <row r="865" spans="1:7" x14ac:dyDescent="0.2">
      <c r="A865" s="1" t="s">
        <v>874</v>
      </c>
      <c r="B865" s="1" t="str">
        <f>VLOOKUP(student_skills[[#This Row],[Student_ID]],student_data[],2,0)</f>
        <v>Electronics</v>
      </c>
      <c r="C865" s="1">
        <v>8</v>
      </c>
      <c r="D865" s="1">
        <v>7</v>
      </c>
      <c r="E865" s="1">
        <v>10</v>
      </c>
      <c r="F865" s="1">
        <v>9</v>
      </c>
      <c r="G865" s="1">
        <v>10</v>
      </c>
    </row>
    <row r="866" spans="1:7" x14ac:dyDescent="0.2">
      <c r="A866" s="1" t="s">
        <v>875</v>
      </c>
      <c r="B866" s="1" t="str">
        <f>VLOOKUP(student_skills[[#This Row],[Student_ID]],student_data[],2,0)</f>
        <v>Mechanical</v>
      </c>
      <c r="C866" s="1">
        <v>10</v>
      </c>
      <c r="D866" s="1">
        <v>3</v>
      </c>
      <c r="E866" s="1">
        <v>4</v>
      </c>
      <c r="F866" s="1">
        <v>1</v>
      </c>
      <c r="G866" s="1">
        <v>2</v>
      </c>
    </row>
    <row r="867" spans="1:7" x14ac:dyDescent="0.2">
      <c r="A867" s="1" t="s">
        <v>876</v>
      </c>
      <c r="B867" s="1" t="str">
        <f>VLOOKUP(student_skills[[#This Row],[Student_ID]],student_data[],2,0)</f>
        <v>Electronics</v>
      </c>
      <c r="C867" s="1">
        <v>3</v>
      </c>
      <c r="D867" s="1">
        <v>1</v>
      </c>
      <c r="E867" s="1">
        <v>6</v>
      </c>
      <c r="F867" s="1">
        <v>1</v>
      </c>
      <c r="G867" s="1">
        <v>3</v>
      </c>
    </row>
    <row r="868" spans="1:7" x14ac:dyDescent="0.2">
      <c r="A868" s="1" t="s">
        <v>877</v>
      </c>
      <c r="B868" s="1" t="str">
        <f>VLOOKUP(student_skills[[#This Row],[Student_ID]],student_data[],2,0)</f>
        <v>Mechanical</v>
      </c>
      <c r="C868" s="1">
        <v>5</v>
      </c>
      <c r="D868" s="1">
        <v>8</v>
      </c>
      <c r="E868" s="1">
        <v>8</v>
      </c>
      <c r="F868" s="1">
        <v>7</v>
      </c>
      <c r="G868" s="1">
        <v>6</v>
      </c>
    </row>
    <row r="869" spans="1:7" x14ac:dyDescent="0.2">
      <c r="A869" s="1" t="s">
        <v>878</v>
      </c>
      <c r="B869" s="1" t="str">
        <f>VLOOKUP(student_skills[[#This Row],[Student_ID]],student_data[],2,0)</f>
        <v>Information Technology</v>
      </c>
      <c r="C869" s="1">
        <v>6</v>
      </c>
      <c r="D869" s="1">
        <v>6</v>
      </c>
      <c r="E869" s="1">
        <v>5</v>
      </c>
      <c r="F869" s="1">
        <v>3</v>
      </c>
      <c r="G869" s="1">
        <v>8</v>
      </c>
    </row>
    <row r="870" spans="1:7" x14ac:dyDescent="0.2">
      <c r="A870" s="1" t="s">
        <v>879</v>
      </c>
      <c r="B870" s="1" t="str">
        <f>VLOOKUP(student_skills[[#This Row],[Student_ID]],student_data[],2,0)</f>
        <v>Civil</v>
      </c>
      <c r="C870" s="1">
        <v>10</v>
      </c>
      <c r="D870" s="1">
        <v>7</v>
      </c>
      <c r="E870" s="1">
        <v>3</v>
      </c>
      <c r="F870" s="1">
        <v>10</v>
      </c>
      <c r="G870" s="1">
        <v>8</v>
      </c>
    </row>
    <row r="871" spans="1:7" x14ac:dyDescent="0.2">
      <c r="A871" s="1" t="s">
        <v>880</v>
      </c>
      <c r="B871" s="1" t="str">
        <f>VLOOKUP(student_skills[[#This Row],[Student_ID]],student_data[],2,0)</f>
        <v>Information Technology</v>
      </c>
      <c r="C871" s="1">
        <v>6</v>
      </c>
      <c r="D871" s="1">
        <v>9</v>
      </c>
      <c r="E871" s="1">
        <v>6</v>
      </c>
      <c r="F871" s="1">
        <v>2</v>
      </c>
      <c r="G871" s="1">
        <v>9</v>
      </c>
    </row>
    <row r="872" spans="1:7" x14ac:dyDescent="0.2">
      <c r="A872" s="1" t="s">
        <v>881</v>
      </c>
      <c r="B872" s="1" t="str">
        <f>VLOOKUP(student_skills[[#This Row],[Student_ID]],student_data[],2,0)</f>
        <v>Electronics</v>
      </c>
      <c r="C872" s="1">
        <v>4</v>
      </c>
      <c r="D872" s="1">
        <v>5</v>
      </c>
      <c r="E872" s="1">
        <v>4</v>
      </c>
      <c r="F872" s="1">
        <v>9</v>
      </c>
      <c r="G872" s="1">
        <v>7</v>
      </c>
    </row>
    <row r="873" spans="1:7" x14ac:dyDescent="0.2">
      <c r="A873" s="1" t="s">
        <v>882</v>
      </c>
      <c r="B873" s="1" t="str">
        <f>VLOOKUP(student_skills[[#This Row],[Student_ID]],student_data[],2,0)</f>
        <v>Civil</v>
      </c>
      <c r="C873" s="1">
        <v>3</v>
      </c>
      <c r="D873" s="1">
        <v>1</v>
      </c>
      <c r="E873" s="1">
        <v>9</v>
      </c>
      <c r="F873" s="1">
        <v>3</v>
      </c>
      <c r="G873" s="1">
        <v>2</v>
      </c>
    </row>
    <row r="874" spans="1:7" x14ac:dyDescent="0.2">
      <c r="A874" s="1" t="s">
        <v>883</v>
      </c>
      <c r="B874" s="1" t="str">
        <f>VLOOKUP(student_skills[[#This Row],[Student_ID]],student_data[],2,0)</f>
        <v>Mechanical</v>
      </c>
      <c r="C874" s="1">
        <v>4</v>
      </c>
      <c r="D874" s="1">
        <v>10</v>
      </c>
      <c r="E874" s="1">
        <v>3</v>
      </c>
      <c r="F874" s="1">
        <v>2</v>
      </c>
      <c r="G874" s="1">
        <v>8</v>
      </c>
    </row>
    <row r="875" spans="1:7" x14ac:dyDescent="0.2">
      <c r="A875" s="1" t="s">
        <v>884</v>
      </c>
      <c r="B875" s="1" t="str">
        <f>VLOOKUP(student_skills[[#This Row],[Student_ID]],student_data[],2,0)</f>
        <v>Civil</v>
      </c>
      <c r="C875" s="1">
        <v>1</v>
      </c>
      <c r="D875" s="1">
        <v>7</v>
      </c>
      <c r="E875" s="1">
        <v>4</v>
      </c>
      <c r="F875" s="1">
        <v>8</v>
      </c>
      <c r="G875" s="1">
        <v>7</v>
      </c>
    </row>
    <row r="876" spans="1:7" x14ac:dyDescent="0.2">
      <c r="A876" s="1" t="s">
        <v>885</v>
      </c>
      <c r="B876" s="1" t="str">
        <f>VLOOKUP(student_skills[[#This Row],[Student_ID]],student_data[],2,0)</f>
        <v>Computer Science</v>
      </c>
      <c r="C876" s="1">
        <v>4</v>
      </c>
      <c r="D876" s="1">
        <v>5</v>
      </c>
      <c r="E876" s="1">
        <v>7</v>
      </c>
      <c r="F876" s="1">
        <v>10</v>
      </c>
      <c r="G876" s="1">
        <v>8</v>
      </c>
    </row>
    <row r="877" spans="1:7" x14ac:dyDescent="0.2">
      <c r="A877" s="1" t="s">
        <v>886</v>
      </c>
      <c r="B877" s="1" t="str">
        <f>VLOOKUP(student_skills[[#This Row],[Student_ID]],student_data[],2,0)</f>
        <v>Civil</v>
      </c>
      <c r="C877" s="1">
        <v>1</v>
      </c>
      <c r="D877" s="1">
        <v>3</v>
      </c>
      <c r="E877" s="1">
        <v>7</v>
      </c>
      <c r="F877" s="1">
        <v>6</v>
      </c>
      <c r="G877" s="1">
        <v>3</v>
      </c>
    </row>
    <row r="878" spans="1:7" x14ac:dyDescent="0.2">
      <c r="A878" s="1" t="s">
        <v>887</v>
      </c>
      <c r="B878" s="1" t="str">
        <f>VLOOKUP(student_skills[[#This Row],[Student_ID]],student_data[],2,0)</f>
        <v>Computer Science</v>
      </c>
      <c r="C878" s="1">
        <v>1</v>
      </c>
      <c r="D878" s="1">
        <v>9</v>
      </c>
      <c r="E878" s="1">
        <v>4</v>
      </c>
      <c r="F878" s="1">
        <v>6</v>
      </c>
      <c r="G878" s="1">
        <v>7</v>
      </c>
    </row>
    <row r="879" spans="1:7" x14ac:dyDescent="0.2">
      <c r="A879" s="1" t="s">
        <v>888</v>
      </c>
      <c r="B879" s="1" t="str">
        <f>VLOOKUP(student_skills[[#This Row],[Student_ID]],student_data[],2,0)</f>
        <v>Civil</v>
      </c>
      <c r="C879" s="1">
        <v>10</v>
      </c>
      <c r="D879" s="1">
        <v>1</v>
      </c>
      <c r="E879" s="1">
        <v>6</v>
      </c>
      <c r="F879" s="1">
        <v>10</v>
      </c>
      <c r="G879" s="1">
        <v>10</v>
      </c>
    </row>
    <row r="880" spans="1:7" x14ac:dyDescent="0.2">
      <c r="A880" s="1" t="s">
        <v>889</v>
      </c>
      <c r="B880" s="1" t="str">
        <f>VLOOKUP(student_skills[[#This Row],[Student_ID]],student_data[],2,0)</f>
        <v>Computer Science</v>
      </c>
      <c r="C880" s="1">
        <v>6</v>
      </c>
      <c r="D880" s="1">
        <v>1</v>
      </c>
      <c r="E880" s="1">
        <v>3</v>
      </c>
      <c r="F880" s="1">
        <v>7</v>
      </c>
      <c r="G880" s="1">
        <v>9</v>
      </c>
    </row>
    <row r="881" spans="1:7" x14ac:dyDescent="0.2">
      <c r="A881" s="1" t="s">
        <v>890</v>
      </c>
      <c r="B881" s="1" t="str">
        <f>VLOOKUP(student_skills[[#This Row],[Student_ID]],student_data[],2,0)</f>
        <v>Electronics</v>
      </c>
      <c r="C881" s="1">
        <v>5</v>
      </c>
      <c r="D881" s="1">
        <v>1</v>
      </c>
      <c r="E881" s="1">
        <v>6</v>
      </c>
      <c r="F881" s="1">
        <v>7</v>
      </c>
      <c r="G881" s="1">
        <v>3</v>
      </c>
    </row>
    <row r="882" spans="1:7" x14ac:dyDescent="0.2">
      <c r="A882" s="1" t="s">
        <v>891</v>
      </c>
      <c r="B882" s="1" t="str">
        <f>VLOOKUP(student_skills[[#This Row],[Student_ID]],student_data[],2,0)</f>
        <v>Information Technology</v>
      </c>
      <c r="C882" s="1">
        <v>4</v>
      </c>
      <c r="D882" s="1">
        <v>3</v>
      </c>
      <c r="E882" s="1">
        <v>2</v>
      </c>
      <c r="F882" s="1">
        <v>6</v>
      </c>
      <c r="G882" s="1">
        <v>10</v>
      </c>
    </row>
    <row r="883" spans="1:7" x14ac:dyDescent="0.2">
      <c r="A883" s="1" t="s">
        <v>892</v>
      </c>
      <c r="B883" s="1" t="str">
        <f>VLOOKUP(student_skills[[#This Row],[Student_ID]],student_data[],2,0)</f>
        <v>Mechanical</v>
      </c>
      <c r="C883" s="1">
        <v>3</v>
      </c>
      <c r="D883" s="1">
        <v>6</v>
      </c>
      <c r="E883" s="1">
        <v>8</v>
      </c>
      <c r="F883" s="1">
        <v>4</v>
      </c>
      <c r="G883" s="1">
        <v>6</v>
      </c>
    </row>
    <row r="884" spans="1:7" x14ac:dyDescent="0.2">
      <c r="A884" s="1" t="s">
        <v>893</v>
      </c>
      <c r="B884" s="1" t="str">
        <f>VLOOKUP(student_skills[[#This Row],[Student_ID]],student_data[],2,0)</f>
        <v>Civil</v>
      </c>
      <c r="C884" s="1">
        <v>1</v>
      </c>
      <c r="D884" s="1">
        <v>10</v>
      </c>
      <c r="E884" s="1">
        <v>2</v>
      </c>
      <c r="F884" s="1">
        <v>9</v>
      </c>
      <c r="G884" s="1">
        <v>2</v>
      </c>
    </row>
    <row r="885" spans="1:7" x14ac:dyDescent="0.2">
      <c r="A885" s="1" t="s">
        <v>894</v>
      </c>
      <c r="B885" s="1" t="str">
        <f>VLOOKUP(student_skills[[#This Row],[Student_ID]],student_data[],2,0)</f>
        <v>Information Technology</v>
      </c>
      <c r="C885" s="1">
        <v>6</v>
      </c>
      <c r="D885" s="1">
        <v>3</v>
      </c>
      <c r="E885" s="1">
        <v>7</v>
      </c>
      <c r="F885" s="1">
        <v>6</v>
      </c>
      <c r="G885" s="1">
        <v>2</v>
      </c>
    </row>
    <row r="886" spans="1:7" x14ac:dyDescent="0.2">
      <c r="A886" s="1" t="s">
        <v>895</v>
      </c>
      <c r="B886" s="1" t="str">
        <f>VLOOKUP(student_skills[[#This Row],[Student_ID]],student_data[],2,0)</f>
        <v>Mechanical</v>
      </c>
      <c r="C886" s="1">
        <v>2</v>
      </c>
      <c r="D886" s="1">
        <v>8</v>
      </c>
      <c r="E886" s="1">
        <v>9</v>
      </c>
      <c r="F886" s="1">
        <v>4</v>
      </c>
      <c r="G886" s="1">
        <v>5</v>
      </c>
    </row>
    <row r="887" spans="1:7" x14ac:dyDescent="0.2">
      <c r="A887" s="1" t="s">
        <v>896</v>
      </c>
      <c r="B887" s="1" t="str">
        <f>VLOOKUP(student_skills[[#This Row],[Student_ID]],student_data[],2,0)</f>
        <v>Mechanical</v>
      </c>
      <c r="C887" s="1">
        <v>8</v>
      </c>
      <c r="D887" s="1">
        <v>10</v>
      </c>
      <c r="E887" s="1">
        <v>1</v>
      </c>
      <c r="F887" s="1">
        <v>3</v>
      </c>
      <c r="G887" s="1">
        <v>5</v>
      </c>
    </row>
    <row r="888" spans="1:7" x14ac:dyDescent="0.2">
      <c r="A888" s="1" t="s">
        <v>897</v>
      </c>
      <c r="B888" s="1" t="str">
        <f>VLOOKUP(student_skills[[#This Row],[Student_ID]],student_data[],2,0)</f>
        <v>Computer Science</v>
      </c>
      <c r="C888" s="1">
        <v>10</v>
      </c>
      <c r="D888" s="1">
        <v>2</v>
      </c>
      <c r="E888" s="1">
        <v>8</v>
      </c>
      <c r="F888" s="1">
        <v>4</v>
      </c>
      <c r="G888" s="1">
        <v>7</v>
      </c>
    </row>
    <row r="889" spans="1:7" x14ac:dyDescent="0.2">
      <c r="A889" s="1" t="s">
        <v>898</v>
      </c>
      <c r="B889" s="1" t="str">
        <f>VLOOKUP(student_skills[[#This Row],[Student_ID]],student_data[],2,0)</f>
        <v>Electronics</v>
      </c>
      <c r="C889" s="1">
        <v>5</v>
      </c>
      <c r="D889" s="1">
        <v>9</v>
      </c>
      <c r="E889" s="1">
        <v>7</v>
      </c>
      <c r="F889" s="1">
        <v>3</v>
      </c>
      <c r="G889" s="1">
        <v>2</v>
      </c>
    </row>
    <row r="890" spans="1:7" x14ac:dyDescent="0.2">
      <c r="A890" s="1" t="s">
        <v>899</v>
      </c>
      <c r="B890" s="1" t="str">
        <f>VLOOKUP(student_skills[[#This Row],[Student_ID]],student_data[],2,0)</f>
        <v>Electronics</v>
      </c>
      <c r="C890" s="1">
        <v>7</v>
      </c>
      <c r="D890" s="1">
        <v>3</v>
      </c>
      <c r="E890" s="1">
        <v>6</v>
      </c>
      <c r="F890" s="1">
        <v>2</v>
      </c>
      <c r="G890" s="1">
        <v>7</v>
      </c>
    </row>
    <row r="891" spans="1:7" x14ac:dyDescent="0.2">
      <c r="A891" s="1" t="s">
        <v>900</v>
      </c>
      <c r="B891" s="1" t="str">
        <f>VLOOKUP(student_skills[[#This Row],[Student_ID]],student_data[],2,0)</f>
        <v>Information Technology</v>
      </c>
      <c r="C891" s="1">
        <v>10</v>
      </c>
      <c r="D891" s="1">
        <v>5</v>
      </c>
      <c r="E891" s="1">
        <v>6</v>
      </c>
      <c r="F891" s="1">
        <v>5</v>
      </c>
      <c r="G891" s="1">
        <v>5</v>
      </c>
    </row>
    <row r="892" spans="1:7" x14ac:dyDescent="0.2">
      <c r="A892" s="1" t="s">
        <v>901</v>
      </c>
      <c r="B892" s="1" t="str">
        <f>VLOOKUP(student_skills[[#This Row],[Student_ID]],student_data[],2,0)</f>
        <v>Electronics</v>
      </c>
      <c r="C892" s="1">
        <v>2</v>
      </c>
      <c r="D892" s="1">
        <v>10</v>
      </c>
      <c r="E892" s="1">
        <v>6</v>
      </c>
      <c r="F892" s="1">
        <v>2</v>
      </c>
      <c r="G892" s="1">
        <v>6</v>
      </c>
    </row>
    <row r="893" spans="1:7" x14ac:dyDescent="0.2">
      <c r="A893" s="1" t="s">
        <v>902</v>
      </c>
      <c r="B893" s="1" t="str">
        <f>VLOOKUP(student_skills[[#This Row],[Student_ID]],student_data[],2,0)</f>
        <v>Civil</v>
      </c>
      <c r="C893" s="1">
        <v>8</v>
      </c>
      <c r="D893" s="1">
        <v>8</v>
      </c>
      <c r="E893" s="1">
        <v>9</v>
      </c>
      <c r="F893" s="1">
        <v>6</v>
      </c>
      <c r="G893" s="1">
        <v>8</v>
      </c>
    </row>
    <row r="894" spans="1:7" x14ac:dyDescent="0.2">
      <c r="A894" s="1" t="s">
        <v>903</v>
      </c>
      <c r="B894" s="1" t="str">
        <f>VLOOKUP(student_skills[[#This Row],[Student_ID]],student_data[],2,0)</f>
        <v>Electronics</v>
      </c>
      <c r="C894" s="1">
        <v>2</v>
      </c>
      <c r="D894" s="1">
        <v>2</v>
      </c>
      <c r="E894" s="1">
        <v>2</v>
      </c>
      <c r="F894" s="1">
        <v>3</v>
      </c>
      <c r="G894" s="1">
        <v>10</v>
      </c>
    </row>
    <row r="895" spans="1:7" x14ac:dyDescent="0.2">
      <c r="A895" s="1" t="s">
        <v>904</v>
      </c>
      <c r="B895" s="1" t="str">
        <f>VLOOKUP(student_skills[[#This Row],[Student_ID]],student_data[],2,0)</f>
        <v>Information Technology</v>
      </c>
      <c r="C895" s="1">
        <v>4</v>
      </c>
      <c r="D895" s="1">
        <v>6</v>
      </c>
      <c r="E895" s="1">
        <v>1</v>
      </c>
      <c r="F895" s="1">
        <v>6</v>
      </c>
      <c r="G895" s="1">
        <v>4</v>
      </c>
    </row>
    <row r="896" spans="1:7" x14ac:dyDescent="0.2">
      <c r="A896" s="1" t="s">
        <v>905</v>
      </c>
      <c r="B896" s="1" t="str">
        <f>VLOOKUP(student_skills[[#This Row],[Student_ID]],student_data[],2,0)</f>
        <v>Electronics</v>
      </c>
      <c r="C896" s="1">
        <v>1</v>
      </c>
      <c r="D896" s="1">
        <v>5</v>
      </c>
      <c r="E896" s="1">
        <v>6</v>
      </c>
      <c r="F896" s="1">
        <v>10</v>
      </c>
      <c r="G896" s="1">
        <v>7</v>
      </c>
    </row>
    <row r="897" spans="1:7" x14ac:dyDescent="0.2">
      <c r="A897" s="1" t="s">
        <v>906</v>
      </c>
      <c r="B897" s="1" t="str">
        <f>VLOOKUP(student_skills[[#This Row],[Student_ID]],student_data[],2,0)</f>
        <v>Civil</v>
      </c>
      <c r="C897" s="1">
        <v>5</v>
      </c>
      <c r="D897" s="1">
        <v>10</v>
      </c>
      <c r="E897" s="1">
        <v>10</v>
      </c>
      <c r="F897" s="1">
        <v>9</v>
      </c>
      <c r="G897" s="1">
        <v>6</v>
      </c>
    </row>
    <row r="898" spans="1:7" x14ac:dyDescent="0.2">
      <c r="A898" s="1" t="s">
        <v>907</v>
      </c>
      <c r="B898" s="1" t="str">
        <f>VLOOKUP(student_skills[[#This Row],[Student_ID]],student_data[],2,0)</f>
        <v>Computer Science</v>
      </c>
      <c r="C898" s="1">
        <v>9</v>
      </c>
      <c r="D898" s="1">
        <v>9</v>
      </c>
      <c r="E898" s="1">
        <v>8</v>
      </c>
      <c r="F898" s="1">
        <v>1</v>
      </c>
      <c r="G898" s="1">
        <v>10</v>
      </c>
    </row>
    <row r="899" spans="1:7" x14ac:dyDescent="0.2">
      <c r="A899" s="1" t="s">
        <v>908</v>
      </c>
      <c r="B899" s="1" t="str">
        <f>VLOOKUP(student_skills[[#This Row],[Student_ID]],student_data[],2,0)</f>
        <v>Information Technology</v>
      </c>
      <c r="C899" s="1">
        <v>1</v>
      </c>
      <c r="D899" s="1">
        <v>5</v>
      </c>
      <c r="E899" s="1">
        <v>3</v>
      </c>
      <c r="F899" s="1">
        <v>6</v>
      </c>
      <c r="G899" s="1">
        <v>2</v>
      </c>
    </row>
    <row r="900" spans="1:7" x14ac:dyDescent="0.2">
      <c r="A900" s="1" t="s">
        <v>909</v>
      </c>
      <c r="B900" s="1" t="str">
        <f>VLOOKUP(student_skills[[#This Row],[Student_ID]],student_data[],2,0)</f>
        <v>Computer Science</v>
      </c>
      <c r="C900" s="1">
        <v>9</v>
      </c>
      <c r="D900" s="1">
        <v>2</v>
      </c>
      <c r="E900" s="1">
        <v>10</v>
      </c>
      <c r="F900" s="1">
        <v>9</v>
      </c>
      <c r="G900" s="1">
        <v>8</v>
      </c>
    </row>
    <row r="901" spans="1:7" x14ac:dyDescent="0.2">
      <c r="A901" s="1" t="s">
        <v>910</v>
      </c>
      <c r="B901" s="1" t="str">
        <f>VLOOKUP(student_skills[[#This Row],[Student_ID]],student_data[],2,0)</f>
        <v>Computer Science</v>
      </c>
      <c r="C901" s="1">
        <v>8</v>
      </c>
      <c r="D901" s="1">
        <v>5</v>
      </c>
      <c r="E901" s="1">
        <v>1</v>
      </c>
      <c r="F901" s="1">
        <v>4</v>
      </c>
      <c r="G901" s="1">
        <v>10</v>
      </c>
    </row>
    <row r="902" spans="1:7" x14ac:dyDescent="0.2">
      <c r="A902" s="1" t="s">
        <v>911</v>
      </c>
      <c r="B902" s="1" t="str">
        <f>VLOOKUP(student_skills[[#This Row],[Student_ID]],student_data[],2,0)</f>
        <v>Computer Science</v>
      </c>
      <c r="C902" s="1">
        <v>6</v>
      </c>
      <c r="D902" s="1">
        <v>4</v>
      </c>
      <c r="E902" s="1">
        <v>9</v>
      </c>
      <c r="F902" s="1">
        <v>2</v>
      </c>
      <c r="G902" s="1">
        <v>9</v>
      </c>
    </row>
    <row r="903" spans="1:7" x14ac:dyDescent="0.2">
      <c r="A903" s="1" t="s">
        <v>912</v>
      </c>
      <c r="B903" s="1" t="str">
        <f>VLOOKUP(student_skills[[#This Row],[Student_ID]],student_data[],2,0)</f>
        <v>Mechanical</v>
      </c>
      <c r="C903" s="1">
        <v>7</v>
      </c>
      <c r="D903" s="1">
        <v>7</v>
      </c>
      <c r="E903" s="1">
        <v>1</v>
      </c>
      <c r="F903" s="1">
        <v>4</v>
      </c>
      <c r="G903" s="1">
        <v>5</v>
      </c>
    </row>
    <row r="904" spans="1:7" x14ac:dyDescent="0.2">
      <c r="A904" s="1" t="s">
        <v>913</v>
      </c>
      <c r="B904" s="1" t="str">
        <f>VLOOKUP(student_skills[[#This Row],[Student_ID]],student_data[],2,0)</f>
        <v>Mechanical</v>
      </c>
      <c r="C904" s="1">
        <v>3</v>
      </c>
      <c r="D904" s="1">
        <v>6</v>
      </c>
      <c r="E904" s="1">
        <v>3</v>
      </c>
      <c r="F904" s="1">
        <v>1</v>
      </c>
      <c r="G904" s="1">
        <v>10</v>
      </c>
    </row>
    <row r="905" spans="1:7" x14ac:dyDescent="0.2">
      <c r="A905" s="1" t="s">
        <v>914</v>
      </c>
      <c r="B905" s="1" t="str">
        <f>VLOOKUP(student_skills[[#This Row],[Student_ID]],student_data[],2,0)</f>
        <v>Computer Science</v>
      </c>
      <c r="C905" s="1">
        <v>1</v>
      </c>
      <c r="D905" s="1">
        <v>2</v>
      </c>
      <c r="E905" s="1">
        <v>8</v>
      </c>
      <c r="F905" s="1">
        <v>3</v>
      </c>
      <c r="G905" s="1">
        <v>4</v>
      </c>
    </row>
    <row r="906" spans="1:7" x14ac:dyDescent="0.2">
      <c r="A906" s="1" t="s">
        <v>915</v>
      </c>
      <c r="B906" s="1" t="str">
        <f>VLOOKUP(student_skills[[#This Row],[Student_ID]],student_data[],2,0)</f>
        <v>Information Technology</v>
      </c>
      <c r="C906" s="1">
        <v>5</v>
      </c>
      <c r="D906" s="1">
        <v>5</v>
      </c>
      <c r="E906" s="1">
        <v>3</v>
      </c>
      <c r="F906" s="1">
        <v>10</v>
      </c>
      <c r="G906" s="1">
        <v>6</v>
      </c>
    </row>
    <row r="907" spans="1:7" x14ac:dyDescent="0.2">
      <c r="A907" s="1" t="s">
        <v>916</v>
      </c>
      <c r="B907" s="1" t="str">
        <f>VLOOKUP(student_skills[[#This Row],[Student_ID]],student_data[],2,0)</f>
        <v>Civil</v>
      </c>
      <c r="C907" s="1">
        <v>2</v>
      </c>
      <c r="D907" s="1">
        <v>7</v>
      </c>
      <c r="E907" s="1">
        <v>4</v>
      </c>
      <c r="F907" s="1">
        <v>9</v>
      </c>
      <c r="G907" s="1">
        <v>8</v>
      </c>
    </row>
    <row r="908" spans="1:7" x14ac:dyDescent="0.2">
      <c r="A908" s="1" t="s">
        <v>917</v>
      </c>
      <c r="B908" s="1" t="str">
        <f>VLOOKUP(student_skills[[#This Row],[Student_ID]],student_data[],2,0)</f>
        <v>Civil</v>
      </c>
      <c r="C908" s="1">
        <v>5</v>
      </c>
      <c r="D908" s="1">
        <v>7</v>
      </c>
      <c r="E908" s="1">
        <v>8</v>
      </c>
      <c r="F908" s="1">
        <v>10</v>
      </c>
      <c r="G908" s="1">
        <v>3</v>
      </c>
    </row>
    <row r="909" spans="1:7" x14ac:dyDescent="0.2">
      <c r="A909" s="1" t="s">
        <v>918</v>
      </c>
      <c r="B909" s="1" t="str">
        <f>VLOOKUP(student_skills[[#This Row],[Student_ID]],student_data[],2,0)</f>
        <v>Electronics</v>
      </c>
      <c r="C909" s="1">
        <v>8</v>
      </c>
      <c r="D909" s="1">
        <v>5</v>
      </c>
      <c r="E909" s="1">
        <v>1</v>
      </c>
      <c r="F909" s="1">
        <v>5</v>
      </c>
      <c r="G909" s="1">
        <v>10</v>
      </c>
    </row>
    <row r="910" spans="1:7" x14ac:dyDescent="0.2">
      <c r="A910" s="1" t="s">
        <v>919</v>
      </c>
      <c r="B910" s="1" t="str">
        <f>VLOOKUP(student_skills[[#This Row],[Student_ID]],student_data[],2,0)</f>
        <v>Information Technology</v>
      </c>
      <c r="C910" s="1">
        <v>9</v>
      </c>
      <c r="D910" s="1">
        <v>9</v>
      </c>
      <c r="E910" s="1">
        <v>6</v>
      </c>
      <c r="F910" s="1">
        <v>6</v>
      </c>
      <c r="G910" s="1">
        <v>1</v>
      </c>
    </row>
    <row r="911" spans="1:7" x14ac:dyDescent="0.2">
      <c r="A911" s="1" t="s">
        <v>920</v>
      </c>
      <c r="B911" s="1" t="str">
        <f>VLOOKUP(student_skills[[#This Row],[Student_ID]],student_data[],2,0)</f>
        <v>Mechanical</v>
      </c>
      <c r="C911" s="1">
        <v>2</v>
      </c>
      <c r="D911" s="1">
        <v>4</v>
      </c>
      <c r="E911" s="1">
        <v>1</v>
      </c>
      <c r="F911" s="1">
        <v>3</v>
      </c>
      <c r="G911" s="1">
        <v>4</v>
      </c>
    </row>
    <row r="912" spans="1:7" x14ac:dyDescent="0.2">
      <c r="A912" s="1" t="s">
        <v>921</v>
      </c>
      <c r="B912" s="1" t="str">
        <f>VLOOKUP(student_skills[[#This Row],[Student_ID]],student_data[],2,0)</f>
        <v>Computer Science</v>
      </c>
      <c r="C912" s="1">
        <v>3</v>
      </c>
      <c r="D912" s="1">
        <v>3</v>
      </c>
      <c r="E912" s="1">
        <v>1</v>
      </c>
      <c r="F912" s="1">
        <v>5</v>
      </c>
      <c r="G912" s="1">
        <v>4</v>
      </c>
    </row>
    <row r="913" spans="1:7" x14ac:dyDescent="0.2">
      <c r="A913" s="1" t="s">
        <v>922</v>
      </c>
      <c r="B913" s="1" t="str">
        <f>VLOOKUP(student_skills[[#This Row],[Student_ID]],student_data[],2,0)</f>
        <v>Electronics</v>
      </c>
      <c r="C913" s="1">
        <v>3</v>
      </c>
      <c r="D913" s="1">
        <v>4</v>
      </c>
      <c r="E913" s="1">
        <v>8</v>
      </c>
      <c r="F913" s="1">
        <v>8</v>
      </c>
      <c r="G913" s="1">
        <v>1</v>
      </c>
    </row>
    <row r="914" spans="1:7" x14ac:dyDescent="0.2">
      <c r="A914" s="1" t="s">
        <v>923</v>
      </c>
      <c r="B914" s="1" t="str">
        <f>VLOOKUP(student_skills[[#This Row],[Student_ID]],student_data[],2,0)</f>
        <v>Civil</v>
      </c>
      <c r="C914" s="1">
        <v>1</v>
      </c>
      <c r="D914" s="1">
        <v>5</v>
      </c>
      <c r="E914" s="1">
        <v>4</v>
      </c>
      <c r="F914" s="1">
        <v>6</v>
      </c>
      <c r="G914" s="1">
        <v>9</v>
      </c>
    </row>
    <row r="915" spans="1:7" x14ac:dyDescent="0.2">
      <c r="A915" s="1" t="s">
        <v>924</v>
      </c>
      <c r="B915" s="1" t="str">
        <f>VLOOKUP(student_skills[[#This Row],[Student_ID]],student_data[],2,0)</f>
        <v>Mechanical</v>
      </c>
      <c r="C915" s="1">
        <v>8</v>
      </c>
      <c r="D915" s="1">
        <v>6</v>
      </c>
      <c r="E915" s="1">
        <v>1</v>
      </c>
      <c r="F915" s="1">
        <v>4</v>
      </c>
      <c r="G915" s="1">
        <v>3</v>
      </c>
    </row>
    <row r="916" spans="1:7" x14ac:dyDescent="0.2">
      <c r="A916" s="1" t="s">
        <v>925</v>
      </c>
      <c r="B916" s="1" t="str">
        <f>VLOOKUP(student_skills[[#This Row],[Student_ID]],student_data[],2,0)</f>
        <v>Mechanical</v>
      </c>
      <c r="C916" s="1">
        <v>6</v>
      </c>
      <c r="D916" s="1">
        <v>3</v>
      </c>
      <c r="E916" s="1">
        <v>10</v>
      </c>
      <c r="F916" s="1">
        <v>2</v>
      </c>
      <c r="G916" s="1">
        <v>5</v>
      </c>
    </row>
    <row r="917" spans="1:7" x14ac:dyDescent="0.2">
      <c r="A917" s="1" t="s">
        <v>926</v>
      </c>
      <c r="B917" s="1" t="str">
        <f>VLOOKUP(student_skills[[#This Row],[Student_ID]],student_data[],2,0)</f>
        <v>Computer Science</v>
      </c>
      <c r="C917" s="1">
        <v>8</v>
      </c>
      <c r="D917" s="1">
        <v>2</v>
      </c>
      <c r="E917" s="1">
        <v>7</v>
      </c>
      <c r="F917" s="1">
        <v>9</v>
      </c>
      <c r="G917" s="1">
        <v>6</v>
      </c>
    </row>
    <row r="918" spans="1:7" x14ac:dyDescent="0.2">
      <c r="A918" s="1" t="s">
        <v>927</v>
      </c>
      <c r="B918" s="1" t="str">
        <f>VLOOKUP(student_skills[[#This Row],[Student_ID]],student_data[],2,0)</f>
        <v>Civil</v>
      </c>
      <c r="C918" s="1">
        <v>9</v>
      </c>
      <c r="D918" s="1">
        <v>4</v>
      </c>
      <c r="E918" s="1">
        <v>5</v>
      </c>
      <c r="F918" s="1">
        <v>1</v>
      </c>
      <c r="G918" s="1">
        <v>8</v>
      </c>
    </row>
    <row r="919" spans="1:7" x14ac:dyDescent="0.2">
      <c r="A919" s="1" t="s">
        <v>928</v>
      </c>
      <c r="B919" s="1" t="str">
        <f>VLOOKUP(student_skills[[#This Row],[Student_ID]],student_data[],2,0)</f>
        <v>Information Technology</v>
      </c>
      <c r="C919" s="1">
        <v>5</v>
      </c>
      <c r="D919" s="1">
        <v>5</v>
      </c>
      <c r="E919" s="1">
        <v>5</v>
      </c>
      <c r="F919" s="1">
        <v>1</v>
      </c>
      <c r="G919" s="1">
        <v>6</v>
      </c>
    </row>
    <row r="920" spans="1:7" x14ac:dyDescent="0.2">
      <c r="A920" s="1" t="s">
        <v>929</v>
      </c>
      <c r="B920" s="1" t="str">
        <f>VLOOKUP(student_skills[[#This Row],[Student_ID]],student_data[],2,0)</f>
        <v>Mechanical</v>
      </c>
      <c r="C920" s="1">
        <v>3</v>
      </c>
      <c r="D920" s="1">
        <v>4</v>
      </c>
      <c r="E920" s="1">
        <v>1</v>
      </c>
      <c r="F920" s="1">
        <v>4</v>
      </c>
      <c r="G920" s="1">
        <v>3</v>
      </c>
    </row>
    <row r="921" spans="1:7" x14ac:dyDescent="0.2">
      <c r="A921" s="1" t="s">
        <v>930</v>
      </c>
      <c r="B921" s="1" t="str">
        <f>VLOOKUP(student_skills[[#This Row],[Student_ID]],student_data[],2,0)</f>
        <v>Computer Science</v>
      </c>
      <c r="C921" s="1">
        <v>5</v>
      </c>
      <c r="D921" s="1">
        <v>3</v>
      </c>
      <c r="E921" s="1">
        <v>10</v>
      </c>
      <c r="F921" s="1">
        <v>7</v>
      </c>
      <c r="G921" s="1">
        <v>6</v>
      </c>
    </row>
    <row r="922" spans="1:7" x14ac:dyDescent="0.2">
      <c r="A922" s="1" t="s">
        <v>931</v>
      </c>
      <c r="B922" s="1" t="str">
        <f>VLOOKUP(student_skills[[#This Row],[Student_ID]],student_data[],2,0)</f>
        <v>Information Technology</v>
      </c>
      <c r="C922" s="1">
        <v>5</v>
      </c>
      <c r="D922" s="1">
        <v>8</v>
      </c>
      <c r="E922" s="1">
        <v>6</v>
      </c>
      <c r="F922" s="1">
        <v>1</v>
      </c>
      <c r="G922" s="1">
        <v>1</v>
      </c>
    </row>
    <row r="923" spans="1:7" x14ac:dyDescent="0.2">
      <c r="A923" s="1" t="s">
        <v>932</v>
      </c>
      <c r="B923" s="1" t="str">
        <f>VLOOKUP(student_skills[[#This Row],[Student_ID]],student_data[],2,0)</f>
        <v>Civil</v>
      </c>
      <c r="C923" s="1">
        <v>5</v>
      </c>
      <c r="D923" s="1">
        <v>10</v>
      </c>
      <c r="E923" s="1">
        <v>9</v>
      </c>
      <c r="F923" s="1">
        <v>9</v>
      </c>
      <c r="G923" s="1">
        <v>4</v>
      </c>
    </row>
    <row r="924" spans="1:7" x14ac:dyDescent="0.2">
      <c r="A924" s="1" t="s">
        <v>933</v>
      </c>
      <c r="B924" s="1" t="str">
        <f>VLOOKUP(student_skills[[#This Row],[Student_ID]],student_data[],2,0)</f>
        <v>Mechanical</v>
      </c>
      <c r="C924" s="1">
        <v>3</v>
      </c>
      <c r="D924" s="1">
        <v>4</v>
      </c>
      <c r="E924" s="1">
        <v>9</v>
      </c>
      <c r="F924" s="1">
        <v>4</v>
      </c>
      <c r="G924" s="1">
        <v>6</v>
      </c>
    </row>
    <row r="925" spans="1:7" x14ac:dyDescent="0.2">
      <c r="A925" s="1" t="s">
        <v>934</v>
      </c>
      <c r="B925" s="1" t="str">
        <f>VLOOKUP(student_skills[[#This Row],[Student_ID]],student_data[],2,0)</f>
        <v>Information Technology</v>
      </c>
      <c r="C925" s="1">
        <v>10</v>
      </c>
      <c r="D925" s="1">
        <v>2</v>
      </c>
      <c r="E925" s="1">
        <v>8</v>
      </c>
      <c r="F925" s="1">
        <v>3</v>
      </c>
      <c r="G925" s="1">
        <v>7</v>
      </c>
    </row>
    <row r="926" spans="1:7" x14ac:dyDescent="0.2">
      <c r="A926" s="1" t="s">
        <v>935</v>
      </c>
      <c r="B926" s="1" t="str">
        <f>VLOOKUP(student_skills[[#This Row],[Student_ID]],student_data[],2,0)</f>
        <v>Information Technology</v>
      </c>
      <c r="C926" s="1">
        <v>4</v>
      </c>
      <c r="D926" s="1">
        <v>2</v>
      </c>
      <c r="E926" s="1">
        <v>5</v>
      </c>
      <c r="F926" s="1">
        <v>1</v>
      </c>
      <c r="G926" s="1">
        <v>10</v>
      </c>
    </row>
    <row r="927" spans="1:7" x14ac:dyDescent="0.2">
      <c r="A927" s="1" t="s">
        <v>936</v>
      </c>
      <c r="B927" s="1" t="str">
        <f>VLOOKUP(student_skills[[#This Row],[Student_ID]],student_data[],2,0)</f>
        <v>Information Technology</v>
      </c>
      <c r="C927" s="1">
        <v>9</v>
      </c>
      <c r="D927" s="1">
        <v>1</v>
      </c>
      <c r="E927" s="1">
        <v>1</v>
      </c>
      <c r="F927" s="1">
        <v>10</v>
      </c>
      <c r="G927" s="1">
        <v>3</v>
      </c>
    </row>
    <row r="928" spans="1:7" x14ac:dyDescent="0.2">
      <c r="A928" s="1" t="s">
        <v>937</v>
      </c>
      <c r="B928" s="1" t="str">
        <f>VLOOKUP(student_skills[[#This Row],[Student_ID]],student_data[],2,0)</f>
        <v>Mechanical</v>
      </c>
      <c r="C928" s="1">
        <v>10</v>
      </c>
      <c r="D928" s="1">
        <v>4</v>
      </c>
      <c r="E928" s="1">
        <v>9</v>
      </c>
      <c r="F928" s="1">
        <v>4</v>
      </c>
      <c r="G928" s="1">
        <v>9</v>
      </c>
    </row>
    <row r="929" spans="1:7" x14ac:dyDescent="0.2">
      <c r="A929" s="1" t="s">
        <v>938</v>
      </c>
      <c r="B929" s="1" t="str">
        <f>VLOOKUP(student_skills[[#This Row],[Student_ID]],student_data[],2,0)</f>
        <v>Mechanical</v>
      </c>
      <c r="C929" s="1">
        <v>9</v>
      </c>
      <c r="D929" s="1">
        <v>10</v>
      </c>
      <c r="E929" s="1">
        <v>1</v>
      </c>
      <c r="F929" s="1">
        <v>9</v>
      </c>
      <c r="G929" s="1">
        <v>7</v>
      </c>
    </row>
    <row r="930" spans="1:7" x14ac:dyDescent="0.2">
      <c r="A930" s="1" t="s">
        <v>939</v>
      </c>
      <c r="B930" s="1" t="str">
        <f>VLOOKUP(student_skills[[#This Row],[Student_ID]],student_data[],2,0)</f>
        <v>Electronics</v>
      </c>
      <c r="C930" s="1">
        <v>2</v>
      </c>
      <c r="D930" s="1">
        <v>9</v>
      </c>
      <c r="E930" s="1">
        <v>8</v>
      </c>
      <c r="F930" s="1">
        <v>10</v>
      </c>
      <c r="G930" s="1">
        <v>1</v>
      </c>
    </row>
    <row r="931" spans="1:7" x14ac:dyDescent="0.2">
      <c r="A931" s="1" t="s">
        <v>940</v>
      </c>
      <c r="B931" s="1" t="str">
        <f>VLOOKUP(student_skills[[#This Row],[Student_ID]],student_data[],2,0)</f>
        <v>Civil</v>
      </c>
      <c r="C931" s="1">
        <v>8</v>
      </c>
      <c r="D931" s="1">
        <v>7</v>
      </c>
      <c r="E931" s="1">
        <v>5</v>
      </c>
      <c r="F931" s="1">
        <v>6</v>
      </c>
      <c r="G931" s="1">
        <v>2</v>
      </c>
    </row>
    <row r="932" spans="1:7" x14ac:dyDescent="0.2">
      <c r="A932" s="1" t="s">
        <v>941</v>
      </c>
      <c r="B932" s="1" t="str">
        <f>VLOOKUP(student_skills[[#This Row],[Student_ID]],student_data[],2,0)</f>
        <v>Computer Science</v>
      </c>
      <c r="C932" s="1">
        <v>8</v>
      </c>
      <c r="D932" s="1">
        <v>10</v>
      </c>
      <c r="E932" s="1">
        <v>3</v>
      </c>
      <c r="F932" s="1">
        <v>6</v>
      </c>
      <c r="G932" s="1">
        <v>1</v>
      </c>
    </row>
    <row r="933" spans="1:7" x14ac:dyDescent="0.2">
      <c r="A933" s="1" t="s">
        <v>942</v>
      </c>
      <c r="B933" s="1" t="str">
        <f>VLOOKUP(student_skills[[#This Row],[Student_ID]],student_data[],2,0)</f>
        <v>Information Technology</v>
      </c>
      <c r="C933" s="1">
        <v>7</v>
      </c>
      <c r="D933" s="1">
        <v>7</v>
      </c>
      <c r="E933" s="1">
        <v>7</v>
      </c>
      <c r="F933" s="1">
        <v>1</v>
      </c>
      <c r="G933" s="1">
        <v>9</v>
      </c>
    </row>
    <row r="934" spans="1:7" x14ac:dyDescent="0.2">
      <c r="A934" s="1" t="s">
        <v>943</v>
      </c>
      <c r="B934" s="1" t="str">
        <f>VLOOKUP(student_skills[[#This Row],[Student_ID]],student_data[],2,0)</f>
        <v>Electronics</v>
      </c>
      <c r="C934" s="1">
        <v>8</v>
      </c>
      <c r="D934" s="1">
        <v>7</v>
      </c>
      <c r="E934" s="1">
        <v>7</v>
      </c>
      <c r="F934" s="1">
        <v>10</v>
      </c>
      <c r="G934" s="1">
        <v>9</v>
      </c>
    </row>
    <row r="935" spans="1:7" x14ac:dyDescent="0.2">
      <c r="A935" s="1" t="s">
        <v>944</v>
      </c>
      <c r="B935" s="1" t="str">
        <f>VLOOKUP(student_skills[[#This Row],[Student_ID]],student_data[],2,0)</f>
        <v>Computer Science</v>
      </c>
      <c r="C935" s="1">
        <v>3</v>
      </c>
      <c r="D935" s="1">
        <v>8</v>
      </c>
      <c r="E935" s="1">
        <v>9</v>
      </c>
      <c r="F935" s="1">
        <v>2</v>
      </c>
      <c r="G935" s="1">
        <v>7</v>
      </c>
    </row>
    <row r="936" spans="1:7" x14ac:dyDescent="0.2">
      <c r="A936" s="1" t="s">
        <v>945</v>
      </c>
      <c r="B936" s="1" t="str">
        <f>VLOOKUP(student_skills[[#This Row],[Student_ID]],student_data[],2,0)</f>
        <v>Electronics</v>
      </c>
      <c r="C936" s="1">
        <v>6</v>
      </c>
      <c r="D936" s="1">
        <v>1</v>
      </c>
      <c r="E936" s="1">
        <v>7</v>
      </c>
      <c r="F936" s="1">
        <v>6</v>
      </c>
      <c r="G936" s="1">
        <v>10</v>
      </c>
    </row>
    <row r="937" spans="1:7" x14ac:dyDescent="0.2">
      <c r="A937" s="1" t="s">
        <v>946</v>
      </c>
      <c r="B937" s="1" t="str">
        <f>VLOOKUP(student_skills[[#This Row],[Student_ID]],student_data[],2,0)</f>
        <v>Mechanical</v>
      </c>
      <c r="C937" s="1">
        <v>1</v>
      </c>
      <c r="D937" s="1">
        <v>10</v>
      </c>
      <c r="E937" s="1">
        <v>3</v>
      </c>
      <c r="F937" s="1">
        <v>2</v>
      </c>
      <c r="G937" s="1">
        <v>3</v>
      </c>
    </row>
    <row r="938" spans="1:7" x14ac:dyDescent="0.2">
      <c r="A938" s="1" t="s">
        <v>947</v>
      </c>
      <c r="B938" s="1" t="str">
        <f>VLOOKUP(student_skills[[#This Row],[Student_ID]],student_data[],2,0)</f>
        <v>Information Technology</v>
      </c>
      <c r="C938" s="1">
        <v>7</v>
      </c>
      <c r="D938" s="1">
        <v>10</v>
      </c>
      <c r="E938" s="1">
        <v>1</v>
      </c>
      <c r="F938" s="1">
        <v>3</v>
      </c>
      <c r="G938" s="1">
        <v>5</v>
      </c>
    </row>
    <row r="939" spans="1:7" x14ac:dyDescent="0.2">
      <c r="A939" s="1" t="s">
        <v>948</v>
      </c>
      <c r="B939" s="1" t="str">
        <f>VLOOKUP(student_skills[[#This Row],[Student_ID]],student_data[],2,0)</f>
        <v>Computer Science</v>
      </c>
      <c r="C939" s="1">
        <v>1</v>
      </c>
      <c r="D939" s="1">
        <v>8</v>
      </c>
      <c r="E939" s="1">
        <v>8</v>
      </c>
      <c r="F939" s="1">
        <v>4</v>
      </c>
      <c r="G939" s="1">
        <v>4</v>
      </c>
    </row>
    <row r="940" spans="1:7" x14ac:dyDescent="0.2">
      <c r="A940" s="1" t="s">
        <v>949</v>
      </c>
      <c r="B940" s="1" t="str">
        <f>VLOOKUP(student_skills[[#This Row],[Student_ID]],student_data[],2,0)</f>
        <v>Computer Science</v>
      </c>
      <c r="C940" s="1">
        <v>9</v>
      </c>
      <c r="D940" s="1">
        <v>4</v>
      </c>
      <c r="E940" s="1">
        <v>3</v>
      </c>
      <c r="F940" s="1">
        <v>5</v>
      </c>
      <c r="G940" s="1">
        <v>7</v>
      </c>
    </row>
    <row r="941" spans="1:7" x14ac:dyDescent="0.2">
      <c r="A941" s="1" t="s">
        <v>950</v>
      </c>
      <c r="B941" s="1" t="str">
        <f>VLOOKUP(student_skills[[#This Row],[Student_ID]],student_data[],2,0)</f>
        <v>Computer Science</v>
      </c>
      <c r="C941" s="1">
        <v>1</v>
      </c>
      <c r="D941" s="1">
        <v>4</v>
      </c>
      <c r="E941" s="1">
        <v>8</v>
      </c>
      <c r="F941" s="1">
        <v>9</v>
      </c>
      <c r="G941" s="1">
        <v>9</v>
      </c>
    </row>
    <row r="942" spans="1:7" x14ac:dyDescent="0.2">
      <c r="A942" s="1" t="s">
        <v>951</v>
      </c>
      <c r="B942" s="1" t="str">
        <f>VLOOKUP(student_skills[[#This Row],[Student_ID]],student_data[],2,0)</f>
        <v>Computer Science</v>
      </c>
      <c r="C942" s="1">
        <v>1</v>
      </c>
      <c r="D942" s="1">
        <v>4</v>
      </c>
      <c r="E942" s="1">
        <v>8</v>
      </c>
      <c r="F942" s="1">
        <v>4</v>
      </c>
      <c r="G942" s="1">
        <v>2</v>
      </c>
    </row>
    <row r="943" spans="1:7" x14ac:dyDescent="0.2">
      <c r="A943" s="1" t="s">
        <v>952</v>
      </c>
      <c r="B943" s="1" t="str">
        <f>VLOOKUP(student_skills[[#This Row],[Student_ID]],student_data[],2,0)</f>
        <v>Computer Science</v>
      </c>
      <c r="C943" s="1">
        <v>7</v>
      </c>
      <c r="D943" s="1">
        <v>6</v>
      </c>
      <c r="E943" s="1">
        <v>5</v>
      </c>
      <c r="F943" s="1">
        <v>9</v>
      </c>
      <c r="G943" s="1">
        <v>8</v>
      </c>
    </row>
    <row r="944" spans="1:7" x14ac:dyDescent="0.2">
      <c r="A944" s="1" t="s">
        <v>953</v>
      </c>
      <c r="B944" s="1" t="str">
        <f>VLOOKUP(student_skills[[#This Row],[Student_ID]],student_data[],2,0)</f>
        <v>Electronics</v>
      </c>
      <c r="C944" s="1">
        <v>2</v>
      </c>
      <c r="D944" s="1">
        <v>7</v>
      </c>
      <c r="E944" s="1">
        <v>1</v>
      </c>
      <c r="F944" s="1">
        <v>10</v>
      </c>
      <c r="G944" s="1">
        <v>9</v>
      </c>
    </row>
    <row r="945" spans="1:7" x14ac:dyDescent="0.2">
      <c r="A945" s="1" t="s">
        <v>954</v>
      </c>
      <c r="B945" s="1" t="str">
        <f>VLOOKUP(student_skills[[#This Row],[Student_ID]],student_data[],2,0)</f>
        <v>Information Technology</v>
      </c>
      <c r="C945" s="1">
        <v>5</v>
      </c>
      <c r="D945" s="1">
        <v>6</v>
      </c>
      <c r="E945" s="1">
        <v>10</v>
      </c>
      <c r="F945" s="1">
        <v>3</v>
      </c>
      <c r="G945" s="1">
        <v>10</v>
      </c>
    </row>
    <row r="946" spans="1:7" x14ac:dyDescent="0.2">
      <c r="A946" s="1" t="s">
        <v>955</v>
      </c>
      <c r="B946" s="1" t="str">
        <f>VLOOKUP(student_skills[[#This Row],[Student_ID]],student_data[],2,0)</f>
        <v>Mechanical</v>
      </c>
      <c r="C946" s="1">
        <v>8</v>
      </c>
      <c r="D946" s="1">
        <v>1</v>
      </c>
      <c r="E946" s="1">
        <v>7</v>
      </c>
      <c r="F946" s="1">
        <v>8</v>
      </c>
      <c r="G946" s="1">
        <v>10</v>
      </c>
    </row>
    <row r="947" spans="1:7" x14ac:dyDescent="0.2">
      <c r="A947" s="1" t="s">
        <v>956</v>
      </c>
      <c r="B947" s="1" t="str">
        <f>VLOOKUP(student_skills[[#This Row],[Student_ID]],student_data[],2,0)</f>
        <v>Mechanical</v>
      </c>
      <c r="C947" s="1">
        <v>8</v>
      </c>
      <c r="D947" s="1">
        <v>8</v>
      </c>
      <c r="E947" s="1">
        <v>10</v>
      </c>
      <c r="F947" s="1">
        <v>1</v>
      </c>
      <c r="G947" s="1">
        <v>9</v>
      </c>
    </row>
    <row r="948" spans="1:7" x14ac:dyDescent="0.2">
      <c r="A948" s="1" t="s">
        <v>957</v>
      </c>
      <c r="B948" s="1" t="str">
        <f>VLOOKUP(student_skills[[#This Row],[Student_ID]],student_data[],2,0)</f>
        <v>Mechanical</v>
      </c>
      <c r="C948" s="1">
        <v>3</v>
      </c>
      <c r="D948" s="1">
        <v>10</v>
      </c>
      <c r="E948" s="1">
        <v>5</v>
      </c>
      <c r="F948" s="1">
        <v>9</v>
      </c>
      <c r="G948" s="1">
        <v>10</v>
      </c>
    </row>
    <row r="949" spans="1:7" x14ac:dyDescent="0.2">
      <c r="A949" s="1" t="s">
        <v>958</v>
      </c>
      <c r="B949" s="1" t="str">
        <f>VLOOKUP(student_skills[[#This Row],[Student_ID]],student_data[],2,0)</f>
        <v>Mechanical</v>
      </c>
      <c r="C949" s="1">
        <v>7</v>
      </c>
      <c r="D949" s="1">
        <v>7</v>
      </c>
      <c r="E949" s="1">
        <v>8</v>
      </c>
      <c r="F949" s="1">
        <v>9</v>
      </c>
      <c r="G949" s="1">
        <v>7</v>
      </c>
    </row>
    <row r="950" spans="1:7" x14ac:dyDescent="0.2">
      <c r="A950" s="1" t="s">
        <v>959</v>
      </c>
      <c r="B950" s="1" t="str">
        <f>VLOOKUP(student_skills[[#This Row],[Student_ID]],student_data[],2,0)</f>
        <v>Electronics</v>
      </c>
      <c r="C950" s="1">
        <v>3</v>
      </c>
      <c r="D950" s="1">
        <v>6</v>
      </c>
      <c r="E950" s="1">
        <v>9</v>
      </c>
      <c r="F950" s="1">
        <v>10</v>
      </c>
      <c r="G950" s="1">
        <v>9</v>
      </c>
    </row>
    <row r="951" spans="1:7" x14ac:dyDescent="0.2">
      <c r="A951" s="1" t="s">
        <v>960</v>
      </c>
      <c r="B951" s="1" t="str">
        <f>VLOOKUP(student_skills[[#This Row],[Student_ID]],student_data[],2,0)</f>
        <v>Civil</v>
      </c>
      <c r="C951" s="1">
        <v>6</v>
      </c>
      <c r="D951" s="1">
        <v>6</v>
      </c>
      <c r="E951" s="1">
        <v>7</v>
      </c>
      <c r="F951" s="1">
        <v>2</v>
      </c>
      <c r="G951" s="1">
        <v>9</v>
      </c>
    </row>
    <row r="952" spans="1:7" x14ac:dyDescent="0.2">
      <c r="A952" s="1" t="s">
        <v>961</v>
      </c>
      <c r="B952" s="1" t="str">
        <f>VLOOKUP(student_skills[[#This Row],[Student_ID]],student_data[],2,0)</f>
        <v>Information Technology</v>
      </c>
      <c r="C952" s="1">
        <v>6</v>
      </c>
      <c r="D952" s="1">
        <v>5</v>
      </c>
      <c r="E952" s="1">
        <v>7</v>
      </c>
      <c r="F952" s="1">
        <v>4</v>
      </c>
      <c r="G952" s="1">
        <v>3</v>
      </c>
    </row>
    <row r="953" spans="1:7" x14ac:dyDescent="0.2">
      <c r="A953" s="1" t="s">
        <v>962</v>
      </c>
      <c r="B953" s="1" t="str">
        <f>VLOOKUP(student_skills[[#This Row],[Student_ID]],student_data[],2,0)</f>
        <v>Computer Science</v>
      </c>
      <c r="C953" s="1">
        <v>3</v>
      </c>
      <c r="D953" s="1">
        <v>6</v>
      </c>
      <c r="E953" s="1">
        <v>1</v>
      </c>
      <c r="F953" s="1">
        <v>8</v>
      </c>
      <c r="G953" s="1">
        <v>4</v>
      </c>
    </row>
    <row r="954" spans="1:7" x14ac:dyDescent="0.2">
      <c r="A954" s="1" t="s">
        <v>963</v>
      </c>
      <c r="B954" s="1" t="str">
        <f>VLOOKUP(student_skills[[#This Row],[Student_ID]],student_data[],2,0)</f>
        <v>Civil</v>
      </c>
      <c r="C954" s="1">
        <v>7</v>
      </c>
      <c r="D954" s="1">
        <v>9</v>
      </c>
      <c r="E954" s="1">
        <v>4</v>
      </c>
      <c r="F954" s="1">
        <v>7</v>
      </c>
      <c r="G954" s="1">
        <v>2</v>
      </c>
    </row>
    <row r="955" spans="1:7" x14ac:dyDescent="0.2">
      <c r="A955" s="1" t="s">
        <v>964</v>
      </c>
      <c r="B955" s="1" t="str">
        <f>VLOOKUP(student_skills[[#This Row],[Student_ID]],student_data[],2,0)</f>
        <v>Mechanical</v>
      </c>
      <c r="C955" s="1">
        <v>3</v>
      </c>
      <c r="D955" s="1">
        <v>10</v>
      </c>
      <c r="E955" s="1">
        <v>2</v>
      </c>
      <c r="F955" s="1">
        <v>1</v>
      </c>
      <c r="G955" s="1">
        <v>10</v>
      </c>
    </row>
    <row r="956" spans="1:7" x14ac:dyDescent="0.2">
      <c r="A956" s="1" t="s">
        <v>965</v>
      </c>
      <c r="B956" s="1" t="str">
        <f>VLOOKUP(student_skills[[#This Row],[Student_ID]],student_data[],2,0)</f>
        <v>Civil</v>
      </c>
      <c r="C956" s="1">
        <v>8</v>
      </c>
      <c r="D956" s="1">
        <v>9</v>
      </c>
      <c r="E956" s="1">
        <v>2</v>
      </c>
      <c r="F956" s="1">
        <v>5</v>
      </c>
      <c r="G956" s="1">
        <v>3</v>
      </c>
    </row>
    <row r="957" spans="1:7" x14ac:dyDescent="0.2">
      <c r="A957" s="1" t="s">
        <v>966</v>
      </c>
      <c r="B957" s="1" t="str">
        <f>VLOOKUP(student_skills[[#This Row],[Student_ID]],student_data[],2,0)</f>
        <v>Information Technology</v>
      </c>
      <c r="C957" s="1">
        <v>10</v>
      </c>
      <c r="D957" s="1">
        <v>10</v>
      </c>
      <c r="E957" s="1">
        <v>2</v>
      </c>
      <c r="F957" s="1">
        <v>7</v>
      </c>
      <c r="G957" s="1">
        <v>5</v>
      </c>
    </row>
    <row r="958" spans="1:7" x14ac:dyDescent="0.2">
      <c r="A958" s="1" t="s">
        <v>967</v>
      </c>
      <c r="B958" s="1" t="str">
        <f>VLOOKUP(student_skills[[#This Row],[Student_ID]],student_data[],2,0)</f>
        <v>Computer Science</v>
      </c>
      <c r="C958" s="1">
        <v>4</v>
      </c>
      <c r="D958" s="1">
        <v>8</v>
      </c>
      <c r="E958" s="1">
        <v>4</v>
      </c>
      <c r="F958" s="1">
        <v>4</v>
      </c>
      <c r="G958" s="1">
        <v>5</v>
      </c>
    </row>
    <row r="959" spans="1:7" x14ac:dyDescent="0.2">
      <c r="A959" s="1" t="s">
        <v>968</v>
      </c>
      <c r="B959" s="1" t="str">
        <f>VLOOKUP(student_skills[[#This Row],[Student_ID]],student_data[],2,0)</f>
        <v>Computer Science</v>
      </c>
      <c r="C959" s="1">
        <v>1</v>
      </c>
      <c r="D959" s="1">
        <v>10</v>
      </c>
      <c r="E959" s="1">
        <v>1</v>
      </c>
      <c r="F959" s="1">
        <v>1</v>
      </c>
      <c r="G959" s="1">
        <v>6</v>
      </c>
    </row>
    <row r="960" spans="1:7" x14ac:dyDescent="0.2">
      <c r="A960" s="1" t="s">
        <v>969</v>
      </c>
      <c r="B960" s="1" t="str">
        <f>VLOOKUP(student_skills[[#This Row],[Student_ID]],student_data[],2,0)</f>
        <v>Information Technology</v>
      </c>
      <c r="C960" s="1">
        <v>4</v>
      </c>
      <c r="D960" s="1">
        <v>9</v>
      </c>
      <c r="E960" s="1">
        <v>4</v>
      </c>
      <c r="F960" s="1">
        <v>9</v>
      </c>
      <c r="G960" s="1">
        <v>7</v>
      </c>
    </row>
    <row r="961" spans="1:7" x14ac:dyDescent="0.2">
      <c r="A961" s="1" t="s">
        <v>970</v>
      </c>
      <c r="B961" s="1" t="str">
        <f>VLOOKUP(student_skills[[#This Row],[Student_ID]],student_data[],2,0)</f>
        <v>Information Technology</v>
      </c>
      <c r="C961" s="1">
        <v>7</v>
      </c>
      <c r="D961" s="1">
        <v>10</v>
      </c>
      <c r="E961" s="1">
        <v>2</v>
      </c>
      <c r="F961" s="1">
        <v>5</v>
      </c>
      <c r="G961" s="1">
        <v>7</v>
      </c>
    </row>
    <row r="962" spans="1:7" x14ac:dyDescent="0.2">
      <c r="A962" s="1" t="s">
        <v>971</v>
      </c>
      <c r="B962" s="1" t="str">
        <f>VLOOKUP(student_skills[[#This Row],[Student_ID]],student_data[],2,0)</f>
        <v>Mechanical</v>
      </c>
      <c r="C962" s="1">
        <v>4</v>
      </c>
      <c r="D962" s="1">
        <v>8</v>
      </c>
      <c r="E962" s="1">
        <v>5</v>
      </c>
      <c r="F962" s="1">
        <v>2</v>
      </c>
      <c r="G962" s="1">
        <v>1</v>
      </c>
    </row>
    <row r="963" spans="1:7" x14ac:dyDescent="0.2">
      <c r="A963" s="1" t="s">
        <v>972</v>
      </c>
      <c r="B963" s="1" t="str">
        <f>VLOOKUP(student_skills[[#This Row],[Student_ID]],student_data[],2,0)</f>
        <v>Computer Science</v>
      </c>
      <c r="C963" s="1">
        <v>6</v>
      </c>
      <c r="D963" s="1">
        <v>8</v>
      </c>
      <c r="E963" s="1">
        <v>3</v>
      </c>
      <c r="F963" s="1">
        <v>8</v>
      </c>
      <c r="G963" s="1">
        <v>2</v>
      </c>
    </row>
    <row r="964" spans="1:7" x14ac:dyDescent="0.2">
      <c r="A964" s="1" t="s">
        <v>973</v>
      </c>
      <c r="B964" s="1" t="str">
        <f>VLOOKUP(student_skills[[#This Row],[Student_ID]],student_data[],2,0)</f>
        <v>Civil</v>
      </c>
      <c r="C964" s="1">
        <v>9</v>
      </c>
      <c r="D964" s="1">
        <v>1</v>
      </c>
      <c r="E964" s="1">
        <v>8</v>
      </c>
      <c r="F964" s="1">
        <v>2</v>
      </c>
      <c r="G964" s="1">
        <v>9</v>
      </c>
    </row>
    <row r="965" spans="1:7" x14ac:dyDescent="0.2">
      <c r="A965" s="1" t="s">
        <v>974</v>
      </c>
      <c r="B965" s="1" t="str">
        <f>VLOOKUP(student_skills[[#This Row],[Student_ID]],student_data[],2,0)</f>
        <v>Electronics</v>
      </c>
      <c r="C965" s="1">
        <v>1</v>
      </c>
      <c r="D965" s="1">
        <v>10</v>
      </c>
      <c r="E965" s="1">
        <v>4</v>
      </c>
      <c r="F965" s="1">
        <v>3</v>
      </c>
      <c r="G965" s="1">
        <v>10</v>
      </c>
    </row>
    <row r="966" spans="1:7" x14ac:dyDescent="0.2">
      <c r="A966" s="1" t="s">
        <v>975</v>
      </c>
      <c r="B966" s="1" t="str">
        <f>VLOOKUP(student_skills[[#This Row],[Student_ID]],student_data[],2,0)</f>
        <v>Electronics</v>
      </c>
      <c r="C966" s="1">
        <v>5</v>
      </c>
      <c r="D966" s="1">
        <v>5</v>
      </c>
      <c r="E966" s="1">
        <v>1</v>
      </c>
      <c r="F966" s="1">
        <v>10</v>
      </c>
      <c r="G966" s="1">
        <v>2</v>
      </c>
    </row>
    <row r="967" spans="1:7" x14ac:dyDescent="0.2">
      <c r="A967" s="1" t="s">
        <v>976</v>
      </c>
      <c r="B967" s="1" t="str">
        <f>VLOOKUP(student_skills[[#This Row],[Student_ID]],student_data[],2,0)</f>
        <v>Information Technology</v>
      </c>
      <c r="C967" s="1">
        <v>7</v>
      </c>
      <c r="D967" s="1">
        <v>4</v>
      </c>
      <c r="E967" s="1">
        <v>1</v>
      </c>
      <c r="F967" s="1">
        <v>1</v>
      </c>
      <c r="G967" s="1">
        <v>6</v>
      </c>
    </row>
    <row r="968" spans="1:7" x14ac:dyDescent="0.2">
      <c r="A968" s="1" t="s">
        <v>977</v>
      </c>
      <c r="B968" s="1" t="str">
        <f>VLOOKUP(student_skills[[#This Row],[Student_ID]],student_data[],2,0)</f>
        <v>Mechanical</v>
      </c>
      <c r="C968" s="1">
        <v>1</v>
      </c>
      <c r="D968" s="1">
        <v>2</v>
      </c>
      <c r="E968" s="1">
        <v>10</v>
      </c>
      <c r="F968" s="1">
        <v>2</v>
      </c>
      <c r="G968" s="1">
        <v>1</v>
      </c>
    </row>
    <row r="969" spans="1:7" x14ac:dyDescent="0.2">
      <c r="A969" s="1" t="s">
        <v>978</v>
      </c>
      <c r="B969" s="1" t="str">
        <f>VLOOKUP(student_skills[[#This Row],[Student_ID]],student_data[],2,0)</f>
        <v>Electronics</v>
      </c>
      <c r="C969" s="1">
        <v>4</v>
      </c>
      <c r="D969" s="1">
        <v>8</v>
      </c>
      <c r="E969" s="1">
        <v>3</v>
      </c>
      <c r="F969" s="1">
        <v>7</v>
      </c>
      <c r="G969" s="1">
        <v>3</v>
      </c>
    </row>
    <row r="970" spans="1:7" x14ac:dyDescent="0.2">
      <c r="A970" s="1" t="s">
        <v>979</v>
      </c>
      <c r="B970" s="1" t="str">
        <f>VLOOKUP(student_skills[[#This Row],[Student_ID]],student_data[],2,0)</f>
        <v>Computer Science</v>
      </c>
      <c r="C970" s="1">
        <v>6</v>
      </c>
      <c r="D970" s="1">
        <v>3</v>
      </c>
      <c r="E970" s="1">
        <v>9</v>
      </c>
      <c r="F970" s="1">
        <v>10</v>
      </c>
      <c r="G970" s="1">
        <v>2</v>
      </c>
    </row>
    <row r="971" spans="1:7" x14ac:dyDescent="0.2">
      <c r="A971" s="1" t="s">
        <v>980</v>
      </c>
      <c r="B971" s="1" t="str">
        <f>VLOOKUP(student_skills[[#This Row],[Student_ID]],student_data[],2,0)</f>
        <v>Information Technology</v>
      </c>
      <c r="C971" s="1">
        <v>2</v>
      </c>
      <c r="D971" s="1">
        <v>4</v>
      </c>
      <c r="E971" s="1">
        <v>7</v>
      </c>
      <c r="F971" s="1">
        <v>2</v>
      </c>
      <c r="G971" s="1">
        <v>3</v>
      </c>
    </row>
    <row r="972" spans="1:7" x14ac:dyDescent="0.2">
      <c r="A972" s="1" t="s">
        <v>981</v>
      </c>
      <c r="B972" s="1" t="str">
        <f>VLOOKUP(student_skills[[#This Row],[Student_ID]],student_data[],2,0)</f>
        <v>Civil</v>
      </c>
      <c r="C972" s="1">
        <v>10</v>
      </c>
      <c r="D972" s="1">
        <v>7</v>
      </c>
      <c r="E972" s="1">
        <v>2</v>
      </c>
      <c r="F972" s="1">
        <v>6</v>
      </c>
      <c r="G972" s="1">
        <v>5</v>
      </c>
    </row>
    <row r="973" spans="1:7" x14ac:dyDescent="0.2">
      <c r="A973" s="1" t="s">
        <v>982</v>
      </c>
      <c r="B973" s="1" t="str">
        <f>VLOOKUP(student_skills[[#This Row],[Student_ID]],student_data[],2,0)</f>
        <v>Information Technology</v>
      </c>
      <c r="C973" s="1">
        <v>5</v>
      </c>
      <c r="D973" s="1">
        <v>10</v>
      </c>
      <c r="E973" s="1">
        <v>9</v>
      </c>
      <c r="F973" s="1">
        <v>3</v>
      </c>
      <c r="G973" s="1">
        <v>10</v>
      </c>
    </row>
    <row r="974" spans="1:7" x14ac:dyDescent="0.2">
      <c r="A974" s="1" t="s">
        <v>983</v>
      </c>
      <c r="B974" s="1" t="str">
        <f>VLOOKUP(student_skills[[#This Row],[Student_ID]],student_data[],2,0)</f>
        <v>Civil</v>
      </c>
      <c r="C974" s="1">
        <v>10</v>
      </c>
      <c r="D974" s="1">
        <v>9</v>
      </c>
      <c r="E974" s="1">
        <v>10</v>
      </c>
      <c r="F974" s="1">
        <v>4</v>
      </c>
      <c r="G974" s="1">
        <v>6</v>
      </c>
    </row>
    <row r="975" spans="1:7" x14ac:dyDescent="0.2">
      <c r="A975" s="1" t="s">
        <v>984</v>
      </c>
      <c r="B975" s="1" t="str">
        <f>VLOOKUP(student_skills[[#This Row],[Student_ID]],student_data[],2,0)</f>
        <v>Information Technology</v>
      </c>
      <c r="C975" s="1">
        <v>1</v>
      </c>
      <c r="D975" s="1">
        <v>2</v>
      </c>
      <c r="E975" s="1">
        <v>2</v>
      </c>
      <c r="F975" s="1">
        <v>8</v>
      </c>
      <c r="G975" s="1">
        <v>9</v>
      </c>
    </row>
    <row r="976" spans="1:7" x14ac:dyDescent="0.2">
      <c r="A976" s="1" t="s">
        <v>985</v>
      </c>
      <c r="B976" s="1" t="str">
        <f>VLOOKUP(student_skills[[#This Row],[Student_ID]],student_data[],2,0)</f>
        <v>Information Technology</v>
      </c>
      <c r="C976" s="1">
        <v>6</v>
      </c>
      <c r="D976" s="1">
        <v>3</v>
      </c>
      <c r="E976" s="1">
        <v>3</v>
      </c>
      <c r="F976" s="1">
        <v>3</v>
      </c>
      <c r="G976" s="1">
        <v>10</v>
      </c>
    </row>
    <row r="977" spans="1:7" x14ac:dyDescent="0.2">
      <c r="A977" s="1" t="s">
        <v>986</v>
      </c>
      <c r="B977" s="1" t="str">
        <f>VLOOKUP(student_skills[[#This Row],[Student_ID]],student_data[],2,0)</f>
        <v>Information Technology</v>
      </c>
      <c r="C977" s="1">
        <v>6</v>
      </c>
      <c r="D977" s="1">
        <v>4</v>
      </c>
      <c r="E977" s="1">
        <v>10</v>
      </c>
      <c r="F977" s="1">
        <v>10</v>
      </c>
      <c r="G977" s="1">
        <v>4</v>
      </c>
    </row>
    <row r="978" spans="1:7" x14ac:dyDescent="0.2">
      <c r="A978" s="1" t="s">
        <v>987</v>
      </c>
      <c r="B978" s="1" t="str">
        <f>VLOOKUP(student_skills[[#This Row],[Student_ID]],student_data[],2,0)</f>
        <v>Civil</v>
      </c>
      <c r="C978" s="1">
        <v>4</v>
      </c>
      <c r="D978" s="1">
        <v>10</v>
      </c>
      <c r="E978" s="1">
        <v>2</v>
      </c>
      <c r="F978" s="1">
        <v>6</v>
      </c>
      <c r="G978" s="1">
        <v>7</v>
      </c>
    </row>
    <row r="979" spans="1:7" x14ac:dyDescent="0.2">
      <c r="A979" s="1" t="s">
        <v>988</v>
      </c>
      <c r="B979" s="1" t="str">
        <f>VLOOKUP(student_skills[[#This Row],[Student_ID]],student_data[],2,0)</f>
        <v>Civil</v>
      </c>
      <c r="C979" s="1">
        <v>8</v>
      </c>
      <c r="D979" s="1">
        <v>1</v>
      </c>
      <c r="E979" s="1">
        <v>3</v>
      </c>
      <c r="F979" s="1">
        <v>1</v>
      </c>
      <c r="G979" s="1">
        <v>6</v>
      </c>
    </row>
    <row r="980" spans="1:7" x14ac:dyDescent="0.2">
      <c r="A980" s="1" t="s">
        <v>989</v>
      </c>
      <c r="B980" s="1" t="str">
        <f>VLOOKUP(student_skills[[#This Row],[Student_ID]],student_data[],2,0)</f>
        <v>Information Technology</v>
      </c>
      <c r="C980" s="1">
        <v>4</v>
      </c>
      <c r="D980" s="1">
        <v>7</v>
      </c>
      <c r="E980" s="1">
        <v>6</v>
      </c>
      <c r="F980" s="1">
        <v>7</v>
      </c>
      <c r="G980" s="1">
        <v>2</v>
      </c>
    </row>
    <row r="981" spans="1:7" x14ac:dyDescent="0.2">
      <c r="A981" s="1" t="s">
        <v>990</v>
      </c>
      <c r="B981" s="1" t="str">
        <f>VLOOKUP(student_skills[[#This Row],[Student_ID]],student_data[],2,0)</f>
        <v>Electronics</v>
      </c>
      <c r="C981" s="1">
        <v>8</v>
      </c>
      <c r="D981" s="1">
        <v>2</v>
      </c>
      <c r="E981" s="1">
        <v>9</v>
      </c>
      <c r="F981" s="1">
        <v>8</v>
      </c>
      <c r="G981" s="1">
        <v>10</v>
      </c>
    </row>
    <row r="982" spans="1:7" x14ac:dyDescent="0.2">
      <c r="A982" s="1" t="s">
        <v>991</v>
      </c>
      <c r="B982" s="1" t="str">
        <f>VLOOKUP(student_skills[[#This Row],[Student_ID]],student_data[],2,0)</f>
        <v>Mechanical</v>
      </c>
      <c r="C982" s="1">
        <v>8</v>
      </c>
      <c r="D982" s="1">
        <v>5</v>
      </c>
      <c r="E982" s="1">
        <v>9</v>
      </c>
      <c r="F982" s="1">
        <v>8</v>
      </c>
      <c r="G982" s="1">
        <v>8</v>
      </c>
    </row>
    <row r="983" spans="1:7" x14ac:dyDescent="0.2">
      <c r="A983" s="1" t="s">
        <v>992</v>
      </c>
      <c r="B983" s="1" t="str">
        <f>VLOOKUP(student_skills[[#This Row],[Student_ID]],student_data[],2,0)</f>
        <v>Mechanical</v>
      </c>
      <c r="C983" s="1">
        <v>5</v>
      </c>
      <c r="D983" s="1">
        <v>1</v>
      </c>
      <c r="E983" s="1">
        <v>7</v>
      </c>
      <c r="F983" s="1">
        <v>3</v>
      </c>
      <c r="G983" s="1">
        <v>7</v>
      </c>
    </row>
    <row r="984" spans="1:7" x14ac:dyDescent="0.2">
      <c r="A984" s="1" t="s">
        <v>993</v>
      </c>
      <c r="B984" s="1" t="str">
        <f>VLOOKUP(student_skills[[#This Row],[Student_ID]],student_data[],2,0)</f>
        <v>Mechanical</v>
      </c>
      <c r="C984" s="1">
        <v>4</v>
      </c>
      <c r="D984" s="1">
        <v>3</v>
      </c>
      <c r="E984" s="1">
        <v>3</v>
      </c>
      <c r="F984" s="1">
        <v>10</v>
      </c>
      <c r="G984" s="1">
        <v>7</v>
      </c>
    </row>
    <row r="985" spans="1:7" x14ac:dyDescent="0.2">
      <c r="A985" s="1" t="s">
        <v>994</v>
      </c>
      <c r="B985" s="1" t="str">
        <f>VLOOKUP(student_skills[[#This Row],[Student_ID]],student_data[],2,0)</f>
        <v>Civil</v>
      </c>
      <c r="C985" s="1">
        <v>2</v>
      </c>
      <c r="D985" s="1">
        <v>2</v>
      </c>
      <c r="E985" s="1">
        <v>4</v>
      </c>
      <c r="F985" s="1">
        <v>1</v>
      </c>
      <c r="G985" s="1">
        <v>8</v>
      </c>
    </row>
    <row r="986" spans="1:7" x14ac:dyDescent="0.2">
      <c r="A986" s="1" t="s">
        <v>995</v>
      </c>
      <c r="B986" s="1" t="str">
        <f>VLOOKUP(student_skills[[#This Row],[Student_ID]],student_data[],2,0)</f>
        <v>Civil</v>
      </c>
      <c r="C986" s="1">
        <v>3</v>
      </c>
      <c r="D986" s="1">
        <v>1</v>
      </c>
      <c r="E986" s="1">
        <v>6</v>
      </c>
      <c r="F986" s="1">
        <v>9</v>
      </c>
      <c r="G986" s="1">
        <v>1</v>
      </c>
    </row>
    <row r="987" spans="1:7" x14ac:dyDescent="0.2">
      <c r="A987" s="1" t="s">
        <v>996</v>
      </c>
      <c r="B987" s="1" t="str">
        <f>VLOOKUP(student_skills[[#This Row],[Student_ID]],student_data[],2,0)</f>
        <v>Electronics</v>
      </c>
      <c r="C987" s="1">
        <v>3</v>
      </c>
      <c r="D987" s="1">
        <v>7</v>
      </c>
      <c r="E987" s="1">
        <v>5</v>
      </c>
      <c r="F987" s="1">
        <v>6</v>
      </c>
      <c r="G987" s="1">
        <v>1</v>
      </c>
    </row>
    <row r="988" spans="1:7" x14ac:dyDescent="0.2">
      <c r="A988" s="1" t="s">
        <v>997</v>
      </c>
      <c r="B988" s="1" t="str">
        <f>VLOOKUP(student_skills[[#This Row],[Student_ID]],student_data[],2,0)</f>
        <v>Mechanical</v>
      </c>
      <c r="C988" s="1">
        <v>4</v>
      </c>
      <c r="D988" s="1">
        <v>5</v>
      </c>
      <c r="E988" s="1">
        <v>2</v>
      </c>
      <c r="F988" s="1">
        <v>9</v>
      </c>
      <c r="G988" s="1">
        <v>8</v>
      </c>
    </row>
    <row r="989" spans="1:7" x14ac:dyDescent="0.2">
      <c r="A989" s="1" t="s">
        <v>998</v>
      </c>
      <c r="B989" s="1" t="str">
        <f>VLOOKUP(student_skills[[#This Row],[Student_ID]],student_data[],2,0)</f>
        <v>Mechanical</v>
      </c>
      <c r="C989" s="1">
        <v>4</v>
      </c>
      <c r="D989" s="1">
        <v>1</v>
      </c>
      <c r="E989" s="1">
        <v>6</v>
      </c>
      <c r="F989" s="1">
        <v>7</v>
      </c>
      <c r="G989" s="1">
        <v>4</v>
      </c>
    </row>
    <row r="990" spans="1:7" x14ac:dyDescent="0.2">
      <c r="A990" s="1" t="s">
        <v>999</v>
      </c>
      <c r="B990" s="1" t="str">
        <f>VLOOKUP(student_skills[[#This Row],[Student_ID]],student_data[],2,0)</f>
        <v>Information Technology</v>
      </c>
      <c r="C990" s="1">
        <v>10</v>
      </c>
      <c r="D990" s="1">
        <v>6</v>
      </c>
      <c r="E990" s="1">
        <v>3</v>
      </c>
      <c r="F990" s="1">
        <v>1</v>
      </c>
      <c r="G990" s="1">
        <v>5</v>
      </c>
    </row>
    <row r="991" spans="1:7" x14ac:dyDescent="0.2">
      <c r="A991" s="1" t="s">
        <v>1000</v>
      </c>
      <c r="B991" s="1" t="str">
        <f>VLOOKUP(student_skills[[#This Row],[Student_ID]],student_data[],2,0)</f>
        <v>Civil</v>
      </c>
      <c r="C991" s="1">
        <v>5</v>
      </c>
      <c r="D991" s="1">
        <v>5</v>
      </c>
      <c r="E991" s="1">
        <v>8</v>
      </c>
      <c r="F991" s="1">
        <v>1</v>
      </c>
      <c r="G991" s="1">
        <v>8</v>
      </c>
    </row>
    <row r="992" spans="1:7" x14ac:dyDescent="0.2">
      <c r="A992" s="1" t="s">
        <v>1001</v>
      </c>
      <c r="B992" s="1" t="str">
        <f>VLOOKUP(student_skills[[#This Row],[Student_ID]],student_data[],2,0)</f>
        <v>Mechanical</v>
      </c>
      <c r="C992" s="1">
        <v>4</v>
      </c>
      <c r="D992" s="1">
        <v>3</v>
      </c>
      <c r="E992" s="1">
        <v>2</v>
      </c>
      <c r="F992" s="1">
        <v>6</v>
      </c>
      <c r="G992" s="1">
        <v>5</v>
      </c>
    </row>
    <row r="993" spans="1:7" x14ac:dyDescent="0.2">
      <c r="A993" s="1" t="s">
        <v>1002</v>
      </c>
      <c r="B993" s="1" t="str">
        <f>VLOOKUP(student_skills[[#This Row],[Student_ID]],student_data[],2,0)</f>
        <v>Electronics</v>
      </c>
      <c r="C993" s="1">
        <v>10</v>
      </c>
      <c r="D993" s="1">
        <v>7</v>
      </c>
      <c r="E993" s="1">
        <v>1</v>
      </c>
      <c r="F993" s="1">
        <v>5</v>
      </c>
      <c r="G993" s="1">
        <v>10</v>
      </c>
    </row>
    <row r="994" spans="1:7" x14ac:dyDescent="0.2">
      <c r="A994" s="1" t="s">
        <v>1003</v>
      </c>
      <c r="B994" s="1" t="str">
        <f>VLOOKUP(student_skills[[#This Row],[Student_ID]],student_data[],2,0)</f>
        <v>Electronics</v>
      </c>
      <c r="C994" s="1">
        <v>8</v>
      </c>
      <c r="D994" s="1">
        <v>10</v>
      </c>
      <c r="E994" s="1">
        <v>9</v>
      </c>
      <c r="F994" s="1">
        <v>9</v>
      </c>
      <c r="G994" s="1">
        <v>4</v>
      </c>
    </row>
    <row r="995" spans="1:7" x14ac:dyDescent="0.2">
      <c r="A995" s="1" t="s">
        <v>1004</v>
      </c>
      <c r="B995" s="1" t="str">
        <f>VLOOKUP(student_skills[[#This Row],[Student_ID]],student_data[],2,0)</f>
        <v>Mechanical</v>
      </c>
      <c r="C995" s="1">
        <v>6</v>
      </c>
      <c r="D995" s="1">
        <v>9</v>
      </c>
      <c r="E995" s="1">
        <v>3</v>
      </c>
      <c r="F995" s="1">
        <v>2</v>
      </c>
      <c r="G995" s="1">
        <v>6</v>
      </c>
    </row>
    <row r="996" spans="1:7" x14ac:dyDescent="0.2">
      <c r="A996" s="1" t="s">
        <v>1005</v>
      </c>
      <c r="B996" s="1" t="str">
        <f>VLOOKUP(student_skills[[#This Row],[Student_ID]],student_data[],2,0)</f>
        <v>Civil</v>
      </c>
      <c r="C996" s="1">
        <v>6</v>
      </c>
      <c r="D996" s="1">
        <v>9</v>
      </c>
      <c r="E996" s="1">
        <v>1</v>
      </c>
      <c r="F996" s="1">
        <v>8</v>
      </c>
      <c r="G996" s="1">
        <v>5</v>
      </c>
    </row>
    <row r="997" spans="1:7" x14ac:dyDescent="0.2">
      <c r="A997" s="1" t="s">
        <v>1006</v>
      </c>
      <c r="B997" s="1" t="str">
        <f>VLOOKUP(student_skills[[#This Row],[Student_ID]],student_data[],2,0)</f>
        <v>Electronics</v>
      </c>
      <c r="C997" s="1">
        <v>8</v>
      </c>
      <c r="D997" s="1">
        <v>9</v>
      </c>
      <c r="E997" s="1">
        <v>7</v>
      </c>
      <c r="F997" s="1">
        <v>5</v>
      </c>
      <c r="G997" s="1">
        <v>7</v>
      </c>
    </row>
    <row r="998" spans="1:7" x14ac:dyDescent="0.2">
      <c r="A998" s="1" t="s">
        <v>1007</v>
      </c>
      <c r="B998" s="1" t="str">
        <f>VLOOKUP(student_skills[[#This Row],[Student_ID]],student_data[],2,0)</f>
        <v>Information Technology</v>
      </c>
      <c r="C998" s="1">
        <v>7</v>
      </c>
      <c r="D998" s="1">
        <v>2</v>
      </c>
      <c r="E998" s="1">
        <v>10</v>
      </c>
      <c r="F998" s="1">
        <v>2</v>
      </c>
      <c r="G998" s="1">
        <v>10</v>
      </c>
    </row>
    <row r="999" spans="1:7" x14ac:dyDescent="0.2">
      <c r="A999" s="1" t="s">
        <v>1008</v>
      </c>
      <c r="B999" s="1" t="str">
        <f>VLOOKUP(student_skills[[#This Row],[Student_ID]],student_data[],2,0)</f>
        <v>Electronics</v>
      </c>
      <c r="C999" s="1">
        <v>10</v>
      </c>
      <c r="D999" s="1">
        <v>3</v>
      </c>
      <c r="E999" s="1">
        <v>5</v>
      </c>
      <c r="F999" s="1">
        <v>10</v>
      </c>
      <c r="G999" s="1">
        <v>7</v>
      </c>
    </row>
    <row r="1000" spans="1:7" x14ac:dyDescent="0.2">
      <c r="A1000" s="1" t="s">
        <v>1009</v>
      </c>
      <c r="B1000" s="1" t="str">
        <f>VLOOKUP(student_skills[[#This Row],[Student_ID]],student_data[],2,0)</f>
        <v>Computer Science</v>
      </c>
      <c r="C1000" s="1">
        <v>10</v>
      </c>
      <c r="D1000" s="1">
        <v>7</v>
      </c>
      <c r="E1000" s="1">
        <v>5</v>
      </c>
      <c r="F1000" s="1">
        <v>6</v>
      </c>
      <c r="G1000" s="1">
        <v>4</v>
      </c>
    </row>
    <row r="1001" spans="1:7" x14ac:dyDescent="0.2">
      <c r="A1001" s="1" t="s">
        <v>1010</v>
      </c>
      <c r="B1001" s="1" t="str">
        <f>VLOOKUP(student_skills[[#This Row],[Student_ID]],student_data[],2,0)</f>
        <v>Computer Science</v>
      </c>
      <c r="C1001" s="1">
        <v>8</v>
      </c>
      <c r="D1001" s="1">
        <v>5</v>
      </c>
      <c r="E1001" s="1">
        <v>1</v>
      </c>
      <c r="F1001" s="1">
        <v>10</v>
      </c>
      <c r="G1001" s="1">
        <v>5</v>
      </c>
    </row>
    <row r="1002" spans="1:7" x14ac:dyDescent="0.2">
      <c r="A1002" s="1" t="s">
        <v>1011</v>
      </c>
      <c r="B1002" s="1" t="str">
        <f>VLOOKUP(student_skills[[#This Row],[Student_ID]],student_data[],2,0)</f>
        <v>Civil</v>
      </c>
      <c r="C1002" s="1">
        <v>2</v>
      </c>
      <c r="D1002" s="1">
        <v>2</v>
      </c>
      <c r="E1002" s="1">
        <v>9</v>
      </c>
      <c r="F1002" s="1">
        <v>8</v>
      </c>
      <c r="G1002" s="1">
        <v>3</v>
      </c>
    </row>
    <row r="1003" spans="1:7" x14ac:dyDescent="0.2">
      <c r="A1003" s="1" t="s">
        <v>1012</v>
      </c>
      <c r="B1003" s="1" t="str">
        <f>VLOOKUP(student_skills[[#This Row],[Student_ID]],student_data[],2,0)</f>
        <v>Mechanical</v>
      </c>
      <c r="C1003" s="1">
        <v>9</v>
      </c>
      <c r="D1003" s="1">
        <v>3</v>
      </c>
      <c r="E1003" s="1">
        <v>7</v>
      </c>
      <c r="F1003" s="1">
        <v>4</v>
      </c>
      <c r="G1003" s="1">
        <v>4</v>
      </c>
    </row>
  </sheetData>
  <mergeCells count="1">
    <mergeCell ref="A1:G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456F-3BC4-B64E-AAF6-8C6259960713}">
  <dimension ref="A1:D1003"/>
  <sheetViews>
    <sheetView workbookViewId="0">
      <selection activeCell="G20" sqref="G20"/>
    </sheetView>
  </sheetViews>
  <sheetFormatPr baseColWidth="10" defaultRowHeight="16" x14ac:dyDescent="0.2"/>
  <cols>
    <col min="1" max="1" width="16.6640625" style="1" bestFit="1" customWidth="1"/>
    <col min="2" max="2" width="22.6640625" style="1" bestFit="1" customWidth="1"/>
    <col min="3" max="3" width="20" style="1" bestFit="1" customWidth="1"/>
    <col min="4" max="4" width="24.5" style="1" bestFit="1" customWidth="1"/>
  </cols>
  <sheetData>
    <row r="1" spans="1:4" x14ac:dyDescent="0.2">
      <c r="A1" s="12" t="s">
        <v>1044</v>
      </c>
      <c r="B1" s="12"/>
      <c r="C1" s="12"/>
      <c r="D1" s="12"/>
    </row>
    <row r="2" spans="1:4" x14ac:dyDescent="0.2">
      <c r="A2" s="12"/>
      <c r="B2" s="12"/>
      <c r="C2" s="12"/>
      <c r="D2" s="12"/>
    </row>
    <row r="3" spans="1:4" ht="19" x14ac:dyDescent="0.2">
      <c r="A3" s="2" t="s">
        <v>0</v>
      </c>
      <c r="B3" s="2" t="s">
        <v>1018</v>
      </c>
      <c r="C3" s="6" t="s">
        <v>1</v>
      </c>
      <c r="D3" s="2" t="s">
        <v>1019</v>
      </c>
    </row>
    <row r="4" spans="1:4" x14ac:dyDescent="0.2">
      <c r="A4" s="1" t="s">
        <v>6</v>
      </c>
      <c r="B4" s="1">
        <v>1</v>
      </c>
      <c r="C4" s="1" t="str">
        <f>VLOOKUP(student_internships[[#This Row],[Student_ID]],student_data[],2,0)</f>
        <v>Civil</v>
      </c>
      <c r="D4" s="1" t="s">
        <v>1020</v>
      </c>
    </row>
    <row r="5" spans="1:4" x14ac:dyDescent="0.2">
      <c r="A5" s="1" t="s">
        <v>9</v>
      </c>
      <c r="B5" s="1">
        <v>3</v>
      </c>
      <c r="C5" s="1" t="str">
        <f>VLOOKUP(student_internships[[#This Row],[Student_ID]],student_data[],2,0)</f>
        <v>Information Technology</v>
      </c>
      <c r="D5" s="1" t="s">
        <v>1021</v>
      </c>
    </row>
    <row r="6" spans="1:4" x14ac:dyDescent="0.2">
      <c r="A6" s="1" t="s">
        <v>11</v>
      </c>
      <c r="B6" s="1">
        <v>2</v>
      </c>
      <c r="C6" s="1" t="str">
        <f>VLOOKUP(student_internships[[#This Row],[Student_ID]],student_data[],2,0)</f>
        <v>Mechanical</v>
      </c>
      <c r="D6" s="1" t="s">
        <v>1022</v>
      </c>
    </row>
    <row r="7" spans="1:4" x14ac:dyDescent="0.2">
      <c r="A7" s="1" t="s">
        <v>13</v>
      </c>
      <c r="B7" s="1">
        <v>1</v>
      </c>
      <c r="C7" s="1" t="str">
        <f>VLOOKUP(student_internships[[#This Row],[Student_ID]],student_data[],2,0)</f>
        <v>Information Technology</v>
      </c>
      <c r="D7" s="1" t="s">
        <v>1023</v>
      </c>
    </row>
    <row r="8" spans="1:4" x14ac:dyDescent="0.2">
      <c r="A8" s="1" t="s">
        <v>14</v>
      </c>
      <c r="B8" s="1">
        <v>0</v>
      </c>
      <c r="C8" s="1" t="str">
        <f>VLOOKUP(student_internships[[#This Row],[Student_ID]],student_data[],2,0)</f>
        <v>Information Technology</v>
      </c>
      <c r="D8" s="1" t="s">
        <v>1024</v>
      </c>
    </row>
    <row r="9" spans="1:4" x14ac:dyDescent="0.2">
      <c r="A9" s="1" t="s">
        <v>15</v>
      </c>
      <c r="B9" s="1">
        <v>0</v>
      </c>
      <c r="C9" s="1" t="str">
        <f>VLOOKUP(student_internships[[#This Row],[Student_ID]],student_data[],2,0)</f>
        <v>Electronics</v>
      </c>
      <c r="D9" s="1" t="s">
        <v>1024</v>
      </c>
    </row>
    <row r="10" spans="1:4" x14ac:dyDescent="0.2">
      <c r="A10" s="1" t="s">
        <v>18</v>
      </c>
      <c r="B10" s="1">
        <v>0</v>
      </c>
      <c r="C10" s="1" t="str">
        <f>VLOOKUP(student_internships[[#This Row],[Student_ID]],student_data[],2,0)</f>
        <v>Mechanical</v>
      </c>
      <c r="D10" s="1" t="s">
        <v>1024</v>
      </c>
    </row>
    <row r="11" spans="1:4" x14ac:dyDescent="0.2">
      <c r="A11" s="1" t="s">
        <v>19</v>
      </c>
      <c r="B11" s="1">
        <v>2</v>
      </c>
      <c r="C11" s="1" t="str">
        <f>VLOOKUP(student_internships[[#This Row],[Student_ID]],student_data[],2,0)</f>
        <v>Mechanical</v>
      </c>
      <c r="D11" s="1" t="s">
        <v>1020</v>
      </c>
    </row>
    <row r="12" spans="1:4" x14ac:dyDescent="0.2">
      <c r="A12" s="1" t="s">
        <v>20</v>
      </c>
      <c r="B12" s="1">
        <v>1</v>
      </c>
      <c r="C12" s="1" t="str">
        <f>VLOOKUP(student_internships[[#This Row],[Student_ID]],student_data[],2,0)</f>
        <v>Mechanical</v>
      </c>
      <c r="D12" s="1" t="s">
        <v>1025</v>
      </c>
    </row>
    <row r="13" spans="1:4" x14ac:dyDescent="0.2">
      <c r="A13" s="1" t="s">
        <v>21</v>
      </c>
      <c r="B13" s="1">
        <v>2</v>
      </c>
      <c r="C13" s="1" t="str">
        <f>VLOOKUP(student_internships[[#This Row],[Student_ID]],student_data[],2,0)</f>
        <v>Information Technology</v>
      </c>
      <c r="D13" s="1" t="s">
        <v>1026</v>
      </c>
    </row>
    <row r="14" spans="1:4" x14ac:dyDescent="0.2">
      <c r="A14" s="1" t="s">
        <v>22</v>
      </c>
      <c r="B14" s="1">
        <v>0</v>
      </c>
      <c r="C14" s="1" t="str">
        <f>VLOOKUP(student_internships[[#This Row],[Student_ID]],student_data[],2,0)</f>
        <v>Civil</v>
      </c>
      <c r="D14" s="1" t="s">
        <v>1024</v>
      </c>
    </row>
    <row r="15" spans="1:4" x14ac:dyDescent="0.2">
      <c r="A15" s="1" t="s">
        <v>23</v>
      </c>
      <c r="B15" s="1">
        <v>3</v>
      </c>
      <c r="C15" s="1" t="str">
        <f>VLOOKUP(student_internships[[#This Row],[Student_ID]],student_data[],2,0)</f>
        <v>Mechanical</v>
      </c>
      <c r="D15" s="1" t="s">
        <v>1020</v>
      </c>
    </row>
    <row r="16" spans="1:4" x14ac:dyDescent="0.2">
      <c r="A16" s="1" t="s">
        <v>24</v>
      </c>
      <c r="B16" s="1">
        <v>2</v>
      </c>
      <c r="C16" s="1" t="str">
        <f>VLOOKUP(student_internships[[#This Row],[Student_ID]],student_data[],2,0)</f>
        <v>Information Technology</v>
      </c>
      <c r="D16" s="1" t="s">
        <v>1025</v>
      </c>
    </row>
    <row r="17" spans="1:4" x14ac:dyDescent="0.2">
      <c r="A17" s="1" t="s">
        <v>25</v>
      </c>
      <c r="B17" s="1">
        <v>0</v>
      </c>
      <c r="C17" s="1" t="str">
        <f>VLOOKUP(student_internships[[#This Row],[Student_ID]],student_data[],2,0)</f>
        <v>Electronics</v>
      </c>
      <c r="D17" s="1" t="s">
        <v>1024</v>
      </c>
    </row>
    <row r="18" spans="1:4" x14ac:dyDescent="0.2">
      <c r="A18" s="1" t="s">
        <v>26</v>
      </c>
      <c r="B18" s="1">
        <v>0</v>
      </c>
      <c r="C18" s="1" t="str">
        <f>VLOOKUP(student_internships[[#This Row],[Student_ID]],student_data[],2,0)</f>
        <v>Civil</v>
      </c>
      <c r="D18" s="1" t="s">
        <v>1024</v>
      </c>
    </row>
    <row r="19" spans="1:4" x14ac:dyDescent="0.2">
      <c r="A19" s="1" t="s">
        <v>27</v>
      </c>
      <c r="B19" s="1">
        <v>0</v>
      </c>
      <c r="C19" s="1" t="str">
        <f>VLOOKUP(student_internships[[#This Row],[Student_ID]],student_data[],2,0)</f>
        <v>Electronics</v>
      </c>
      <c r="D19" s="1" t="s">
        <v>1024</v>
      </c>
    </row>
    <row r="20" spans="1:4" x14ac:dyDescent="0.2">
      <c r="A20" s="1" t="s">
        <v>28</v>
      </c>
      <c r="B20" s="1">
        <v>1</v>
      </c>
      <c r="C20" s="1" t="str">
        <f>VLOOKUP(student_internships[[#This Row],[Student_ID]],student_data[],2,0)</f>
        <v>Civil</v>
      </c>
      <c r="D20" s="1" t="s">
        <v>1022</v>
      </c>
    </row>
    <row r="21" spans="1:4" x14ac:dyDescent="0.2">
      <c r="A21" s="1" t="s">
        <v>29</v>
      </c>
      <c r="B21" s="1">
        <v>1</v>
      </c>
      <c r="C21" s="1" t="str">
        <f>VLOOKUP(student_internships[[#This Row],[Student_ID]],student_data[],2,0)</f>
        <v>Information Technology</v>
      </c>
      <c r="D21" s="1" t="s">
        <v>1022</v>
      </c>
    </row>
    <row r="22" spans="1:4" x14ac:dyDescent="0.2">
      <c r="A22" s="1" t="s">
        <v>30</v>
      </c>
      <c r="B22" s="1">
        <v>1</v>
      </c>
      <c r="C22" s="1" t="str">
        <f>VLOOKUP(student_internships[[#This Row],[Student_ID]],student_data[],2,0)</f>
        <v>Computer Science</v>
      </c>
      <c r="D22" s="1" t="s">
        <v>1026</v>
      </c>
    </row>
    <row r="23" spans="1:4" x14ac:dyDescent="0.2">
      <c r="A23" s="1" t="s">
        <v>32</v>
      </c>
      <c r="B23" s="1">
        <v>0</v>
      </c>
      <c r="C23" s="1" t="str">
        <f>VLOOKUP(student_internships[[#This Row],[Student_ID]],student_data[],2,0)</f>
        <v>Civil</v>
      </c>
      <c r="D23" s="1" t="s">
        <v>1024</v>
      </c>
    </row>
    <row r="24" spans="1:4" x14ac:dyDescent="0.2">
      <c r="A24" s="1" t="s">
        <v>33</v>
      </c>
      <c r="B24" s="1">
        <v>1</v>
      </c>
      <c r="C24" s="1" t="str">
        <f>VLOOKUP(student_internships[[#This Row],[Student_ID]],student_data[],2,0)</f>
        <v>Electronics</v>
      </c>
      <c r="D24" s="1" t="s">
        <v>1027</v>
      </c>
    </row>
    <row r="25" spans="1:4" x14ac:dyDescent="0.2">
      <c r="A25" s="1" t="s">
        <v>34</v>
      </c>
      <c r="B25" s="1">
        <v>0</v>
      </c>
      <c r="C25" s="1" t="str">
        <f>VLOOKUP(student_internships[[#This Row],[Student_ID]],student_data[],2,0)</f>
        <v>Information Technology</v>
      </c>
      <c r="D25" s="1" t="s">
        <v>1024</v>
      </c>
    </row>
    <row r="26" spans="1:4" x14ac:dyDescent="0.2">
      <c r="A26" s="1" t="s">
        <v>35</v>
      </c>
      <c r="B26" s="1">
        <v>0</v>
      </c>
      <c r="C26" s="1" t="str">
        <f>VLOOKUP(student_internships[[#This Row],[Student_ID]],student_data[],2,0)</f>
        <v>Civil</v>
      </c>
      <c r="D26" s="1" t="s">
        <v>1024</v>
      </c>
    </row>
    <row r="27" spans="1:4" x14ac:dyDescent="0.2">
      <c r="A27" s="1" t="s">
        <v>36</v>
      </c>
      <c r="B27" s="1">
        <v>1</v>
      </c>
      <c r="C27" s="1" t="str">
        <f>VLOOKUP(student_internships[[#This Row],[Student_ID]],student_data[],2,0)</f>
        <v>Computer Science</v>
      </c>
      <c r="D27" s="1" t="s">
        <v>1026</v>
      </c>
    </row>
    <row r="28" spans="1:4" x14ac:dyDescent="0.2">
      <c r="A28" s="1" t="s">
        <v>37</v>
      </c>
      <c r="B28" s="1">
        <v>1</v>
      </c>
      <c r="C28" s="1" t="str">
        <f>VLOOKUP(student_internships[[#This Row],[Student_ID]],student_data[],2,0)</f>
        <v>Computer Science</v>
      </c>
      <c r="D28" s="1" t="s">
        <v>1021</v>
      </c>
    </row>
    <row r="29" spans="1:4" x14ac:dyDescent="0.2">
      <c r="A29" s="1" t="s">
        <v>38</v>
      </c>
      <c r="B29" s="1">
        <v>2</v>
      </c>
      <c r="C29" s="1" t="str">
        <f>VLOOKUP(student_internships[[#This Row],[Student_ID]],student_data[],2,0)</f>
        <v>Mechanical</v>
      </c>
      <c r="D29" s="1" t="s">
        <v>1020</v>
      </c>
    </row>
    <row r="30" spans="1:4" x14ac:dyDescent="0.2">
      <c r="A30" s="1" t="s">
        <v>39</v>
      </c>
      <c r="B30" s="1">
        <v>0</v>
      </c>
      <c r="C30" s="1" t="str">
        <f>VLOOKUP(student_internships[[#This Row],[Student_ID]],student_data[],2,0)</f>
        <v>Mechanical</v>
      </c>
      <c r="D30" s="1" t="s">
        <v>1024</v>
      </c>
    </row>
    <row r="31" spans="1:4" x14ac:dyDescent="0.2">
      <c r="A31" s="1" t="s">
        <v>40</v>
      </c>
      <c r="B31" s="1">
        <v>1</v>
      </c>
      <c r="C31" s="1" t="str">
        <f>VLOOKUP(student_internships[[#This Row],[Student_ID]],student_data[],2,0)</f>
        <v>Electronics</v>
      </c>
      <c r="D31" s="1" t="s">
        <v>1023</v>
      </c>
    </row>
    <row r="32" spans="1:4" x14ac:dyDescent="0.2">
      <c r="A32" s="1" t="s">
        <v>41</v>
      </c>
      <c r="B32" s="1">
        <v>1</v>
      </c>
      <c r="C32" s="1" t="str">
        <f>VLOOKUP(student_internships[[#This Row],[Student_ID]],student_data[],2,0)</f>
        <v>Civil</v>
      </c>
      <c r="D32" s="1" t="s">
        <v>1027</v>
      </c>
    </row>
    <row r="33" spans="1:4" x14ac:dyDescent="0.2">
      <c r="A33" s="1" t="s">
        <v>42</v>
      </c>
      <c r="B33" s="1">
        <v>0</v>
      </c>
      <c r="C33" s="1" t="str">
        <f>VLOOKUP(student_internships[[#This Row],[Student_ID]],student_data[],2,0)</f>
        <v>Civil</v>
      </c>
      <c r="D33" s="1" t="s">
        <v>1024</v>
      </c>
    </row>
    <row r="34" spans="1:4" x14ac:dyDescent="0.2">
      <c r="A34" s="1" t="s">
        <v>43</v>
      </c>
      <c r="B34" s="1">
        <v>1</v>
      </c>
      <c r="C34" s="1" t="str">
        <f>VLOOKUP(student_internships[[#This Row],[Student_ID]],student_data[],2,0)</f>
        <v>Mechanical</v>
      </c>
      <c r="D34" s="1" t="s">
        <v>1026</v>
      </c>
    </row>
    <row r="35" spans="1:4" x14ac:dyDescent="0.2">
      <c r="A35" s="1" t="s">
        <v>44</v>
      </c>
      <c r="B35" s="1">
        <v>0</v>
      </c>
      <c r="C35" s="1" t="str">
        <f>VLOOKUP(student_internships[[#This Row],[Student_ID]],student_data[],2,0)</f>
        <v>Civil</v>
      </c>
      <c r="D35" s="1" t="s">
        <v>1024</v>
      </c>
    </row>
    <row r="36" spans="1:4" x14ac:dyDescent="0.2">
      <c r="A36" s="1" t="s">
        <v>45</v>
      </c>
      <c r="B36" s="1">
        <v>0</v>
      </c>
      <c r="C36" s="1" t="str">
        <f>VLOOKUP(student_internships[[#This Row],[Student_ID]],student_data[],2,0)</f>
        <v>Civil</v>
      </c>
      <c r="D36" s="1" t="s">
        <v>1024</v>
      </c>
    </row>
    <row r="37" spans="1:4" x14ac:dyDescent="0.2">
      <c r="A37" s="1" t="s">
        <v>46</v>
      </c>
      <c r="B37" s="1">
        <v>3</v>
      </c>
      <c r="C37" s="1" t="str">
        <f>VLOOKUP(student_internships[[#This Row],[Student_ID]],student_data[],2,0)</f>
        <v>Computer Science</v>
      </c>
      <c r="D37" s="1" t="s">
        <v>1025</v>
      </c>
    </row>
    <row r="38" spans="1:4" x14ac:dyDescent="0.2">
      <c r="A38" s="1" t="s">
        <v>47</v>
      </c>
      <c r="B38" s="1">
        <v>3</v>
      </c>
      <c r="C38" s="1" t="str">
        <f>VLOOKUP(student_internships[[#This Row],[Student_ID]],student_data[],2,0)</f>
        <v>Mechanical</v>
      </c>
      <c r="D38" s="1" t="s">
        <v>1027</v>
      </c>
    </row>
    <row r="39" spans="1:4" x14ac:dyDescent="0.2">
      <c r="A39" s="1" t="s">
        <v>48</v>
      </c>
      <c r="B39" s="1">
        <v>2</v>
      </c>
      <c r="C39" s="1" t="str">
        <f>VLOOKUP(student_internships[[#This Row],[Student_ID]],student_data[],2,0)</f>
        <v>Information Technology</v>
      </c>
      <c r="D39" s="1" t="s">
        <v>1020</v>
      </c>
    </row>
    <row r="40" spans="1:4" x14ac:dyDescent="0.2">
      <c r="A40" s="1" t="s">
        <v>49</v>
      </c>
      <c r="B40" s="1">
        <v>1</v>
      </c>
      <c r="C40" s="1" t="str">
        <f>VLOOKUP(student_internships[[#This Row],[Student_ID]],student_data[],2,0)</f>
        <v>Mechanical</v>
      </c>
      <c r="D40" s="1" t="s">
        <v>1027</v>
      </c>
    </row>
    <row r="41" spans="1:4" x14ac:dyDescent="0.2">
      <c r="A41" s="1" t="s">
        <v>50</v>
      </c>
      <c r="B41" s="1">
        <v>0</v>
      </c>
      <c r="C41" s="1" t="str">
        <f>VLOOKUP(student_internships[[#This Row],[Student_ID]],student_data[],2,0)</f>
        <v>Information Technology</v>
      </c>
      <c r="D41" s="1" t="s">
        <v>1024</v>
      </c>
    </row>
    <row r="42" spans="1:4" x14ac:dyDescent="0.2">
      <c r="A42" s="1" t="s">
        <v>51</v>
      </c>
      <c r="B42" s="1">
        <v>1</v>
      </c>
      <c r="C42" s="1" t="str">
        <f>VLOOKUP(student_internships[[#This Row],[Student_ID]],student_data[],2,0)</f>
        <v>Computer Science</v>
      </c>
      <c r="D42" s="1" t="s">
        <v>1020</v>
      </c>
    </row>
    <row r="43" spans="1:4" x14ac:dyDescent="0.2">
      <c r="A43" s="1" t="s">
        <v>52</v>
      </c>
      <c r="B43" s="1">
        <v>1</v>
      </c>
      <c r="C43" s="1" t="str">
        <f>VLOOKUP(student_internships[[#This Row],[Student_ID]],student_data[],2,0)</f>
        <v>Electronics</v>
      </c>
      <c r="D43" s="1" t="s">
        <v>1026</v>
      </c>
    </row>
    <row r="44" spans="1:4" x14ac:dyDescent="0.2">
      <c r="A44" s="1" t="s">
        <v>53</v>
      </c>
      <c r="B44" s="1">
        <v>0</v>
      </c>
      <c r="C44" s="1" t="str">
        <f>VLOOKUP(student_internships[[#This Row],[Student_ID]],student_data[],2,0)</f>
        <v>Civil</v>
      </c>
      <c r="D44" s="1" t="s">
        <v>1024</v>
      </c>
    </row>
    <row r="45" spans="1:4" x14ac:dyDescent="0.2">
      <c r="A45" s="1" t="s">
        <v>54</v>
      </c>
      <c r="B45" s="1">
        <v>1</v>
      </c>
      <c r="C45" s="1" t="str">
        <f>VLOOKUP(student_internships[[#This Row],[Student_ID]],student_data[],2,0)</f>
        <v>Computer Science</v>
      </c>
      <c r="D45" s="1" t="s">
        <v>1020</v>
      </c>
    </row>
    <row r="46" spans="1:4" x14ac:dyDescent="0.2">
      <c r="A46" s="1" t="s">
        <v>55</v>
      </c>
      <c r="B46" s="1">
        <v>0</v>
      </c>
      <c r="C46" s="1" t="str">
        <f>VLOOKUP(student_internships[[#This Row],[Student_ID]],student_data[],2,0)</f>
        <v>Civil</v>
      </c>
      <c r="D46" s="1" t="s">
        <v>1024</v>
      </c>
    </row>
    <row r="47" spans="1:4" x14ac:dyDescent="0.2">
      <c r="A47" s="1" t="s">
        <v>56</v>
      </c>
      <c r="B47" s="1">
        <v>3</v>
      </c>
      <c r="C47" s="1" t="str">
        <f>VLOOKUP(student_internships[[#This Row],[Student_ID]],student_data[],2,0)</f>
        <v>Electronics</v>
      </c>
      <c r="D47" s="1" t="s">
        <v>1027</v>
      </c>
    </row>
    <row r="48" spans="1:4" x14ac:dyDescent="0.2">
      <c r="A48" s="1" t="s">
        <v>57</v>
      </c>
      <c r="B48" s="1">
        <v>0</v>
      </c>
      <c r="C48" s="1" t="str">
        <f>VLOOKUP(student_internships[[#This Row],[Student_ID]],student_data[],2,0)</f>
        <v>Electronics</v>
      </c>
      <c r="D48" s="1" t="s">
        <v>1024</v>
      </c>
    </row>
    <row r="49" spans="1:4" x14ac:dyDescent="0.2">
      <c r="A49" s="1" t="s">
        <v>58</v>
      </c>
      <c r="B49" s="1">
        <v>1</v>
      </c>
      <c r="C49" s="1" t="str">
        <f>VLOOKUP(student_internships[[#This Row],[Student_ID]],student_data[],2,0)</f>
        <v>Computer Science</v>
      </c>
      <c r="D49" s="1" t="s">
        <v>1025</v>
      </c>
    </row>
    <row r="50" spans="1:4" x14ac:dyDescent="0.2">
      <c r="A50" s="1" t="s">
        <v>59</v>
      </c>
      <c r="B50" s="1">
        <v>1</v>
      </c>
      <c r="C50" s="1" t="str">
        <f>VLOOKUP(student_internships[[#This Row],[Student_ID]],student_data[],2,0)</f>
        <v>Electronics</v>
      </c>
      <c r="D50" s="1" t="s">
        <v>1022</v>
      </c>
    </row>
    <row r="51" spans="1:4" x14ac:dyDescent="0.2">
      <c r="A51" s="1" t="s">
        <v>60</v>
      </c>
      <c r="B51" s="1">
        <v>1</v>
      </c>
      <c r="C51" s="1" t="str">
        <f>VLOOKUP(student_internships[[#This Row],[Student_ID]],student_data[],2,0)</f>
        <v>Information Technology</v>
      </c>
      <c r="D51" s="1" t="s">
        <v>1027</v>
      </c>
    </row>
    <row r="52" spans="1:4" x14ac:dyDescent="0.2">
      <c r="A52" s="1" t="s">
        <v>61</v>
      </c>
      <c r="B52" s="1">
        <v>1</v>
      </c>
      <c r="C52" s="1" t="str">
        <f>VLOOKUP(student_internships[[#This Row],[Student_ID]],student_data[],2,0)</f>
        <v>Electronics</v>
      </c>
      <c r="D52" s="1" t="s">
        <v>1020</v>
      </c>
    </row>
    <row r="53" spans="1:4" x14ac:dyDescent="0.2">
      <c r="A53" s="1" t="s">
        <v>62</v>
      </c>
      <c r="B53" s="1">
        <v>0</v>
      </c>
      <c r="C53" s="1" t="str">
        <f>VLOOKUP(student_internships[[#This Row],[Student_ID]],student_data[],2,0)</f>
        <v>Civil</v>
      </c>
      <c r="D53" s="1" t="s">
        <v>1024</v>
      </c>
    </row>
    <row r="54" spans="1:4" x14ac:dyDescent="0.2">
      <c r="A54" s="1" t="s">
        <v>63</v>
      </c>
      <c r="B54" s="1">
        <v>3</v>
      </c>
      <c r="C54" s="1" t="str">
        <f>VLOOKUP(student_internships[[#This Row],[Student_ID]],student_data[],2,0)</f>
        <v>Civil</v>
      </c>
      <c r="D54" s="1" t="s">
        <v>1022</v>
      </c>
    </row>
    <row r="55" spans="1:4" x14ac:dyDescent="0.2">
      <c r="A55" s="1" t="s">
        <v>64</v>
      </c>
      <c r="B55" s="1">
        <v>2</v>
      </c>
      <c r="C55" s="1" t="str">
        <f>VLOOKUP(student_internships[[#This Row],[Student_ID]],student_data[],2,0)</f>
        <v>Civil</v>
      </c>
      <c r="D55" s="1" t="s">
        <v>1020</v>
      </c>
    </row>
    <row r="56" spans="1:4" x14ac:dyDescent="0.2">
      <c r="A56" s="1" t="s">
        <v>65</v>
      </c>
      <c r="B56" s="1">
        <v>3</v>
      </c>
      <c r="C56" s="1" t="str">
        <f>VLOOKUP(student_internships[[#This Row],[Student_ID]],student_data[],2,0)</f>
        <v>Civil</v>
      </c>
      <c r="D56" s="1" t="s">
        <v>1025</v>
      </c>
    </row>
    <row r="57" spans="1:4" x14ac:dyDescent="0.2">
      <c r="A57" s="1" t="s">
        <v>66</v>
      </c>
      <c r="B57" s="1">
        <v>2</v>
      </c>
      <c r="C57" s="1" t="str">
        <f>VLOOKUP(student_internships[[#This Row],[Student_ID]],student_data[],2,0)</f>
        <v>Information Technology</v>
      </c>
      <c r="D57" s="1" t="s">
        <v>1020</v>
      </c>
    </row>
    <row r="58" spans="1:4" x14ac:dyDescent="0.2">
      <c r="A58" s="1" t="s">
        <v>67</v>
      </c>
      <c r="B58" s="1">
        <v>1</v>
      </c>
      <c r="C58" s="1" t="str">
        <f>VLOOKUP(student_internships[[#This Row],[Student_ID]],student_data[],2,0)</f>
        <v>Mechanical</v>
      </c>
      <c r="D58" s="1" t="s">
        <v>1026</v>
      </c>
    </row>
    <row r="59" spans="1:4" x14ac:dyDescent="0.2">
      <c r="A59" s="1" t="s">
        <v>68</v>
      </c>
      <c r="B59" s="1">
        <v>3</v>
      </c>
      <c r="C59" s="1" t="str">
        <f>VLOOKUP(student_internships[[#This Row],[Student_ID]],student_data[],2,0)</f>
        <v>Computer Science</v>
      </c>
      <c r="D59" s="1" t="s">
        <v>1023</v>
      </c>
    </row>
    <row r="60" spans="1:4" x14ac:dyDescent="0.2">
      <c r="A60" s="1" t="s">
        <v>69</v>
      </c>
      <c r="B60" s="1">
        <v>0</v>
      </c>
      <c r="C60" s="1" t="str">
        <f>VLOOKUP(student_internships[[#This Row],[Student_ID]],student_data[],2,0)</f>
        <v>Civil</v>
      </c>
      <c r="D60" s="1" t="s">
        <v>1024</v>
      </c>
    </row>
    <row r="61" spans="1:4" x14ac:dyDescent="0.2">
      <c r="A61" s="1" t="s">
        <v>70</v>
      </c>
      <c r="B61" s="1">
        <v>0</v>
      </c>
      <c r="C61" s="1" t="str">
        <f>VLOOKUP(student_internships[[#This Row],[Student_ID]],student_data[],2,0)</f>
        <v>Electronics</v>
      </c>
      <c r="D61" s="1" t="s">
        <v>1024</v>
      </c>
    </row>
    <row r="62" spans="1:4" x14ac:dyDescent="0.2">
      <c r="A62" s="1" t="s">
        <v>71</v>
      </c>
      <c r="B62" s="1">
        <v>0</v>
      </c>
      <c r="C62" s="1" t="str">
        <f>VLOOKUP(student_internships[[#This Row],[Student_ID]],student_data[],2,0)</f>
        <v>Civil</v>
      </c>
      <c r="D62" s="1" t="s">
        <v>1024</v>
      </c>
    </row>
    <row r="63" spans="1:4" x14ac:dyDescent="0.2">
      <c r="A63" s="1" t="s">
        <v>72</v>
      </c>
      <c r="B63" s="1">
        <v>1</v>
      </c>
      <c r="C63" s="1" t="str">
        <f>VLOOKUP(student_internships[[#This Row],[Student_ID]],student_data[],2,0)</f>
        <v>Electronics</v>
      </c>
      <c r="D63" s="1" t="s">
        <v>1027</v>
      </c>
    </row>
    <row r="64" spans="1:4" x14ac:dyDescent="0.2">
      <c r="A64" s="1" t="s">
        <v>73</v>
      </c>
      <c r="B64" s="1">
        <v>1</v>
      </c>
      <c r="C64" s="1" t="str">
        <f>VLOOKUP(student_internships[[#This Row],[Student_ID]],student_data[],2,0)</f>
        <v>Electronics</v>
      </c>
      <c r="D64" s="1" t="s">
        <v>1023</v>
      </c>
    </row>
    <row r="65" spans="1:4" x14ac:dyDescent="0.2">
      <c r="A65" s="1" t="s">
        <v>74</v>
      </c>
      <c r="B65" s="1">
        <v>0</v>
      </c>
      <c r="C65" s="1" t="str">
        <f>VLOOKUP(student_internships[[#This Row],[Student_ID]],student_data[],2,0)</f>
        <v>Civil</v>
      </c>
      <c r="D65" s="1" t="s">
        <v>1024</v>
      </c>
    </row>
    <row r="66" spans="1:4" x14ac:dyDescent="0.2">
      <c r="A66" s="1" t="s">
        <v>75</v>
      </c>
      <c r="B66" s="1">
        <v>2</v>
      </c>
      <c r="C66" s="1" t="str">
        <f>VLOOKUP(student_internships[[#This Row],[Student_ID]],student_data[],2,0)</f>
        <v>Information Technology</v>
      </c>
      <c r="D66" s="1" t="s">
        <v>1020</v>
      </c>
    </row>
    <row r="67" spans="1:4" x14ac:dyDescent="0.2">
      <c r="A67" s="1" t="s">
        <v>76</v>
      </c>
      <c r="B67" s="1">
        <v>1</v>
      </c>
      <c r="C67" s="1" t="str">
        <f>VLOOKUP(student_internships[[#This Row],[Student_ID]],student_data[],2,0)</f>
        <v>Electronics</v>
      </c>
      <c r="D67" s="1" t="s">
        <v>1025</v>
      </c>
    </row>
    <row r="68" spans="1:4" x14ac:dyDescent="0.2">
      <c r="A68" s="1" t="s">
        <v>77</v>
      </c>
      <c r="B68" s="1">
        <v>0</v>
      </c>
      <c r="C68" s="1" t="str">
        <f>VLOOKUP(student_internships[[#This Row],[Student_ID]],student_data[],2,0)</f>
        <v>Electronics</v>
      </c>
      <c r="D68" s="1" t="s">
        <v>1024</v>
      </c>
    </row>
    <row r="69" spans="1:4" x14ac:dyDescent="0.2">
      <c r="A69" s="1" t="s">
        <v>78</v>
      </c>
      <c r="B69" s="1">
        <v>1</v>
      </c>
      <c r="C69" s="1" t="str">
        <f>VLOOKUP(student_internships[[#This Row],[Student_ID]],student_data[],2,0)</f>
        <v>Civil</v>
      </c>
      <c r="D69" s="1" t="s">
        <v>1027</v>
      </c>
    </row>
    <row r="70" spans="1:4" x14ac:dyDescent="0.2">
      <c r="A70" s="1" t="s">
        <v>79</v>
      </c>
      <c r="B70" s="1">
        <v>0</v>
      </c>
      <c r="C70" s="1" t="str">
        <f>VLOOKUP(student_internships[[#This Row],[Student_ID]],student_data[],2,0)</f>
        <v>Electronics</v>
      </c>
      <c r="D70" s="1" t="s">
        <v>1024</v>
      </c>
    </row>
    <row r="71" spans="1:4" x14ac:dyDescent="0.2">
      <c r="A71" s="1" t="s">
        <v>80</v>
      </c>
      <c r="B71" s="1">
        <v>2</v>
      </c>
      <c r="C71" s="1" t="str">
        <f>VLOOKUP(student_internships[[#This Row],[Student_ID]],student_data[],2,0)</f>
        <v>Electronics</v>
      </c>
      <c r="D71" s="1" t="s">
        <v>1020</v>
      </c>
    </row>
    <row r="72" spans="1:4" x14ac:dyDescent="0.2">
      <c r="A72" s="1" t="s">
        <v>81</v>
      </c>
      <c r="B72" s="1">
        <v>0</v>
      </c>
      <c r="C72" s="1" t="str">
        <f>VLOOKUP(student_internships[[#This Row],[Student_ID]],student_data[],2,0)</f>
        <v>Civil</v>
      </c>
      <c r="D72" s="1" t="s">
        <v>1024</v>
      </c>
    </row>
    <row r="73" spans="1:4" x14ac:dyDescent="0.2">
      <c r="A73" s="1" t="s">
        <v>82</v>
      </c>
      <c r="B73" s="1">
        <v>3</v>
      </c>
      <c r="C73" s="1" t="str">
        <f>VLOOKUP(student_internships[[#This Row],[Student_ID]],student_data[],2,0)</f>
        <v>Civil</v>
      </c>
      <c r="D73" s="1" t="s">
        <v>1022</v>
      </c>
    </row>
    <row r="74" spans="1:4" x14ac:dyDescent="0.2">
      <c r="A74" s="1" t="s">
        <v>83</v>
      </c>
      <c r="B74" s="1">
        <v>2</v>
      </c>
      <c r="C74" s="1" t="str">
        <f>VLOOKUP(student_internships[[#This Row],[Student_ID]],student_data[],2,0)</f>
        <v>Computer Science</v>
      </c>
      <c r="D74" s="1" t="s">
        <v>1021</v>
      </c>
    </row>
    <row r="75" spans="1:4" x14ac:dyDescent="0.2">
      <c r="A75" s="1" t="s">
        <v>84</v>
      </c>
      <c r="B75" s="1">
        <v>0</v>
      </c>
      <c r="C75" s="1" t="str">
        <f>VLOOKUP(student_internships[[#This Row],[Student_ID]],student_data[],2,0)</f>
        <v>Information Technology</v>
      </c>
      <c r="D75" s="1" t="s">
        <v>1024</v>
      </c>
    </row>
    <row r="76" spans="1:4" x14ac:dyDescent="0.2">
      <c r="A76" s="1" t="s">
        <v>85</v>
      </c>
      <c r="B76" s="1">
        <v>0</v>
      </c>
      <c r="C76" s="1" t="str">
        <f>VLOOKUP(student_internships[[#This Row],[Student_ID]],student_data[],2,0)</f>
        <v>Information Technology</v>
      </c>
      <c r="D76" s="1" t="s">
        <v>1024</v>
      </c>
    </row>
    <row r="77" spans="1:4" x14ac:dyDescent="0.2">
      <c r="A77" s="1" t="s">
        <v>86</v>
      </c>
      <c r="B77" s="1">
        <v>2</v>
      </c>
      <c r="C77" s="1" t="str">
        <f>VLOOKUP(student_internships[[#This Row],[Student_ID]],student_data[],2,0)</f>
        <v>Electronics</v>
      </c>
      <c r="D77" s="1" t="s">
        <v>1020</v>
      </c>
    </row>
    <row r="78" spans="1:4" x14ac:dyDescent="0.2">
      <c r="A78" s="1" t="s">
        <v>87</v>
      </c>
      <c r="B78" s="1">
        <v>2</v>
      </c>
      <c r="C78" s="1" t="str">
        <f>VLOOKUP(student_internships[[#This Row],[Student_ID]],student_data[],2,0)</f>
        <v>Information Technology</v>
      </c>
      <c r="D78" s="1" t="s">
        <v>1023</v>
      </c>
    </row>
    <row r="79" spans="1:4" x14ac:dyDescent="0.2">
      <c r="A79" s="1" t="s">
        <v>88</v>
      </c>
      <c r="B79" s="1">
        <v>2</v>
      </c>
      <c r="C79" s="1" t="str">
        <f>VLOOKUP(student_internships[[#This Row],[Student_ID]],student_data[],2,0)</f>
        <v>Electronics</v>
      </c>
      <c r="D79" s="1" t="s">
        <v>1027</v>
      </c>
    </row>
    <row r="80" spans="1:4" x14ac:dyDescent="0.2">
      <c r="A80" s="1" t="s">
        <v>89</v>
      </c>
      <c r="B80" s="1">
        <v>2</v>
      </c>
      <c r="C80" s="1" t="str">
        <f>VLOOKUP(student_internships[[#This Row],[Student_ID]],student_data[],2,0)</f>
        <v>Computer Science</v>
      </c>
      <c r="D80" s="1" t="s">
        <v>1023</v>
      </c>
    </row>
    <row r="81" spans="1:4" x14ac:dyDescent="0.2">
      <c r="A81" s="1" t="s">
        <v>90</v>
      </c>
      <c r="B81" s="1">
        <v>0</v>
      </c>
      <c r="C81" s="1" t="str">
        <f>VLOOKUP(student_internships[[#This Row],[Student_ID]],student_data[],2,0)</f>
        <v>Civil</v>
      </c>
      <c r="D81" s="1" t="s">
        <v>1024</v>
      </c>
    </row>
    <row r="82" spans="1:4" x14ac:dyDescent="0.2">
      <c r="A82" s="1" t="s">
        <v>91</v>
      </c>
      <c r="B82" s="1">
        <v>1</v>
      </c>
      <c r="C82" s="1" t="str">
        <f>VLOOKUP(student_internships[[#This Row],[Student_ID]],student_data[],2,0)</f>
        <v>Civil</v>
      </c>
      <c r="D82" s="1" t="s">
        <v>1027</v>
      </c>
    </row>
    <row r="83" spans="1:4" x14ac:dyDescent="0.2">
      <c r="A83" s="1" t="s">
        <v>92</v>
      </c>
      <c r="B83" s="1">
        <v>0</v>
      </c>
      <c r="C83" s="1" t="str">
        <f>VLOOKUP(student_internships[[#This Row],[Student_ID]],student_data[],2,0)</f>
        <v>Civil</v>
      </c>
      <c r="D83" s="1" t="s">
        <v>1024</v>
      </c>
    </row>
    <row r="84" spans="1:4" x14ac:dyDescent="0.2">
      <c r="A84" s="1" t="s">
        <v>93</v>
      </c>
      <c r="B84" s="1">
        <v>2</v>
      </c>
      <c r="C84" s="1" t="str">
        <f>VLOOKUP(student_internships[[#This Row],[Student_ID]],student_data[],2,0)</f>
        <v>Information Technology</v>
      </c>
      <c r="D84" s="1" t="s">
        <v>1020</v>
      </c>
    </row>
    <row r="85" spans="1:4" x14ac:dyDescent="0.2">
      <c r="A85" s="1" t="s">
        <v>94</v>
      </c>
      <c r="B85" s="1">
        <v>1</v>
      </c>
      <c r="C85" s="1" t="str">
        <f>VLOOKUP(student_internships[[#This Row],[Student_ID]],student_data[],2,0)</f>
        <v>Computer Science</v>
      </c>
      <c r="D85" s="1" t="s">
        <v>1026</v>
      </c>
    </row>
    <row r="86" spans="1:4" x14ac:dyDescent="0.2">
      <c r="A86" s="1" t="s">
        <v>95</v>
      </c>
      <c r="B86" s="1">
        <v>1</v>
      </c>
      <c r="C86" s="1" t="str">
        <f>VLOOKUP(student_internships[[#This Row],[Student_ID]],student_data[],2,0)</f>
        <v>Information Technology</v>
      </c>
      <c r="D86" s="1" t="s">
        <v>1022</v>
      </c>
    </row>
    <row r="87" spans="1:4" x14ac:dyDescent="0.2">
      <c r="A87" s="1" t="s">
        <v>96</v>
      </c>
      <c r="B87" s="1">
        <v>0</v>
      </c>
      <c r="C87" s="1" t="str">
        <f>VLOOKUP(student_internships[[#This Row],[Student_ID]],student_data[],2,0)</f>
        <v>Information Technology</v>
      </c>
      <c r="D87" s="1" t="s">
        <v>1024</v>
      </c>
    </row>
    <row r="88" spans="1:4" x14ac:dyDescent="0.2">
      <c r="A88" s="1" t="s">
        <v>97</v>
      </c>
      <c r="B88" s="1">
        <v>1</v>
      </c>
      <c r="C88" s="1" t="str">
        <f>VLOOKUP(student_internships[[#This Row],[Student_ID]],student_data[],2,0)</f>
        <v>Computer Science</v>
      </c>
      <c r="D88" s="1" t="s">
        <v>1020</v>
      </c>
    </row>
    <row r="89" spans="1:4" x14ac:dyDescent="0.2">
      <c r="A89" s="1" t="s">
        <v>98</v>
      </c>
      <c r="B89" s="1">
        <v>1</v>
      </c>
      <c r="C89" s="1" t="str">
        <f>VLOOKUP(student_internships[[#This Row],[Student_ID]],student_data[],2,0)</f>
        <v>Computer Science</v>
      </c>
      <c r="D89" s="1" t="s">
        <v>1023</v>
      </c>
    </row>
    <row r="90" spans="1:4" x14ac:dyDescent="0.2">
      <c r="A90" s="1" t="s">
        <v>99</v>
      </c>
      <c r="B90" s="1">
        <v>2</v>
      </c>
      <c r="C90" s="1" t="str">
        <f>VLOOKUP(student_internships[[#This Row],[Student_ID]],student_data[],2,0)</f>
        <v>Computer Science</v>
      </c>
      <c r="D90" s="1" t="s">
        <v>1021</v>
      </c>
    </row>
    <row r="91" spans="1:4" x14ac:dyDescent="0.2">
      <c r="A91" s="1" t="s">
        <v>100</v>
      </c>
      <c r="B91" s="1">
        <v>1</v>
      </c>
      <c r="C91" s="1" t="str">
        <f>VLOOKUP(student_internships[[#This Row],[Student_ID]],student_data[],2,0)</f>
        <v>Computer Science</v>
      </c>
      <c r="D91" s="1" t="s">
        <v>1021</v>
      </c>
    </row>
    <row r="92" spans="1:4" x14ac:dyDescent="0.2">
      <c r="A92" s="1" t="s">
        <v>101</v>
      </c>
      <c r="B92" s="1">
        <v>2</v>
      </c>
      <c r="C92" s="1" t="str">
        <f>VLOOKUP(student_internships[[#This Row],[Student_ID]],student_data[],2,0)</f>
        <v>Civil</v>
      </c>
      <c r="D92" s="1" t="s">
        <v>1025</v>
      </c>
    </row>
    <row r="93" spans="1:4" x14ac:dyDescent="0.2">
      <c r="A93" s="1" t="s">
        <v>102</v>
      </c>
      <c r="B93" s="1">
        <v>1</v>
      </c>
      <c r="C93" s="1" t="str">
        <f>VLOOKUP(student_internships[[#This Row],[Student_ID]],student_data[],2,0)</f>
        <v>Mechanical</v>
      </c>
      <c r="D93" s="1" t="s">
        <v>1027</v>
      </c>
    </row>
    <row r="94" spans="1:4" x14ac:dyDescent="0.2">
      <c r="A94" s="1" t="s">
        <v>103</v>
      </c>
      <c r="B94" s="1">
        <v>0</v>
      </c>
      <c r="C94" s="1" t="str">
        <f>VLOOKUP(student_internships[[#This Row],[Student_ID]],student_data[],2,0)</f>
        <v>Mechanical</v>
      </c>
      <c r="D94" s="1" t="s">
        <v>1024</v>
      </c>
    </row>
    <row r="95" spans="1:4" x14ac:dyDescent="0.2">
      <c r="A95" s="1" t="s">
        <v>104</v>
      </c>
      <c r="B95" s="1">
        <v>2</v>
      </c>
      <c r="C95" s="1" t="str">
        <f>VLOOKUP(student_internships[[#This Row],[Student_ID]],student_data[],2,0)</f>
        <v>Computer Science</v>
      </c>
      <c r="D95" s="1" t="s">
        <v>1023</v>
      </c>
    </row>
    <row r="96" spans="1:4" x14ac:dyDescent="0.2">
      <c r="A96" s="1" t="s">
        <v>105</v>
      </c>
      <c r="B96" s="1">
        <v>2</v>
      </c>
      <c r="C96" s="1" t="str">
        <f>VLOOKUP(student_internships[[#This Row],[Student_ID]],student_data[],2,0)</f>
        <v>Mechanical</v>
      </c>
      <c r="D96" s="1" t="s">
        <v>1025</v>
      </c>
    </row>
    <row r="97" spans="1:4" x14ac:dyDescent="0.2">
      <c r="A97" s="1" t="s">
        <v>106</v>
      </c>
      <c r="B97" s="1">
        <v>1</v>
      </c>
      <c r="C97" s="1" t="str">
        <f>VLOOKUP(student_internships[[#This Row],[Student_ID]],student_data[],2,0)</f>
        <v>Mechanical</v>
      </c>
      <c r="D97" s="1" t="s">
        <v>1023</v>
      </c>
    </row>
    <row r="98" spans="1:4" x14ac:dyDescent="0.2">
      <c r="A98" s="1" t="s">
        <v>107</v>
      </c>
      <c r="B98" s="1">
        <v>2</v>
      </c>
      <c r="C98" s="1" t="str">
        <f>VLOOKUP(student_internships[[#This Row],[Student_ID]],student_data[],2,0)</f>
        <v>Computer Science</v>
      </c>
      <c r="D98" s="1" t="s">
        <v>1027</v>
      </c>
    </row>
    <row r="99" spans="1:4" x14ac:dyDescent="0.2">
      <c r="A99" s="1" t="s">
        <v>108</v>
      </c>
      <c r="B99" s="1">
        <v>1</v>
      </c>
      <c r="C99" s="1" t="str">
        <f>VLOOKUP(student_internships[[#This Row],[Student_ID]],student_data[],2,0)</f>
        <v>Mechanical</v>
      </c>
      <c r="D99" s="1" t="s">
        <v>1020</v>
      </c>
    </row>
    <row r="100" spans="1:4" x14ac:dyDescent="0.2">
      <c r="A100" s="1" t="s">
        <v>109</v>
      </c>
      <c r="B100" s="1">
        <v>1</v>
      </c>
      <c r="C100" s="1" t="str">
        <f>VLOOKUP(student_internships[[#This Row],[Student_ID]],student_data[],2,0)</f>
        <v>Information Technology</v>
      </c>
      <c r="D100" s="1" t="s">
        <v>1020</v>
      </c>
    </row>
    <row r="101" spans="1:4" x14ac:dyDescent="0.2">
      <c r="A101" s="1" t="s">
        <v>110</v>
      </c>
      <c r="B101" s="1">
        <v>1</v>
      </c>
      <c r="C101" s="1" t="str">
        <f>VLOOKUP(student_internships[[#This Row],[Student_ID]],student_data[],2,0)</f>
        <v>Electronics</v>
      </c>
      <c r="D101" s="1" t="s">
        <v>1021</v>
      </c>
    </row>
    <row r="102" spans="1:4" x14ac:dyDescent="0.2">
      <c r="A102" s="1" t="s">
        <v>111</v>
      </c>
      <c r="B102" s="1">
        <v>0</v>
      </c>
      <c r="C102" s="1" t="str">
        <f>VLOOKUP(student_internships[[#This Row],[Student_ID]],student_data[],2,0)</f>
        <v>Electronics</v>
      </c>
      <c r="D102" s="1" t="s">
        <v>1024</v>
      </c>
    </row>
    <row r="103" spans="1:4" x14ac:dyDescent="0.2">
      <c r="A103" s="1" t="s">
        <v>112</v>
      </c>
      <c r="B103" s="1">
        <v>0</v>
      </c>
      <c r="C103" s="1" t="str">
        <f>VLOOKUP(student_internships[[#This Row],[Student_ID]],student_data[],2,0)</f>
        <v>Computer Science</v>
      </c>
      <c r="D103" s="1" t="s">
        <v>1024</v>
      </c>
    </row>
    <row r="104" spans="1:4" x14ac:dyDescent="0.2">
      <c r="A104" s="1" t="s">
        <v>113</v>
      </c>
      <c r="B104" s="1">
        <v>0</v>
      </c>
      <c r="C104" s="1" t="str">
        <f>VLOOKUP(student_internships[[#This Row],[Student_ID]],student_data[],2,0)</f>
        <v>Civil</v>
      </c>
      <c r="D104" s="1" t="s">
        <v>1024</v>
      </c>
    </row>
    <row r="105" spans="1:4" x14ac:dyDescent="0.2">
      <c r="A105" s="1" t="s">
        <v>114</v>
      </c>
      <c r="B105" s="1">
        <v>1</v>
      </c>
      <c r="C105" s="1" t="str">
        <f>VLOOKUP(student_internships[[#This Row],[Student_ID]],student_data[],2,0)</f>
        <v>Computer Science</v>
      </c>
      <c r="D105" s="1" t="s">
        <v>1020</v>
      </c>
    </row>
    <row r="106" spans="1:4" x14ac:dyDescent="0.2">
      <c r="A106" s="1" t="s">
        <v>115</v>
      </c>
      <c r="B106" s="1">
        <v>1</v>
      </c>
      <c r="C106" s="1" t="str">
        <f>VLOOKUP(student_internships[[#This Row],[Student_ID]],student_data[],2,0)</f>
        <v>Civil</v>
      </c>
      <c r="D106" s="1" t="s">
        <v>1020</v>
      </c>
    </row>
    <row r="107" spans="1:4" x14ac:dyDescent="0.2">
      <c r="A107" s="1" t="s">
        <v>116</v>
      </c>
      <c r="B107" s="1">
        <v>1</v>
      </c>
      <c r="C107" s="1" t="str">
        <f>VLOOKUP(student_internships[[#This Row],[Student_ID]],student_data[],2,0)</f>
        <v>Electronics</v>
      </c>
      <c r="D107" s="1" t="s">
        <v>1026</v>
      </c>
    </row>
    <row r="108" spans="1:4" x14ac:dyDescent="0.2">
      <c r="A108" s="1" t="s">
        <v>117</v>
      </c>
      <c r="B108" s="1">
        <v>3</v>
      </c>
      <c r="C108" s="1" t="str">
        <f>VLOOKUP(student_internships[[#This Row],[Student_ID]],student_data[],2,0)</f>
        <v>Computer Science</v>
      </c>
      <c r="D108" s="1" t="s">
        <v>1021</v>
      </c>
    </row>
    <row r="109" spans="1:4" x14ac:dyDescent="0.2">
      <c r="A109" s="1" t="s">
        <v>118</v>
      </c>
      <c r="B109" s="1">
        <v>0</v>
      </c>
      <c r="C109" s="1" t="str">
        <f>VLOOKUP(student_internships[[#This Row],[Student_ID]],student_data[],2,0)</f>
        <v>Information Technology</v>
      </c>
      <c r="D109" s="1" t="s">
        <v>1024</v>
      </c>
    </row>
    <row r="110" spans="1:4" x14ac:dyDescent="0.2">
      <c r="A110" s="1" t="s">
        <v>119</v>
      </c>
      <c r="B110" s="1">
        <v>1</v>
      </c>
      <c r="C110" s="1" t="str">
        <f>VLOOKUP(student_internships[[#This Row],[Student_ID]],student_data[],2,0)</f>
        <v>Mechanical</v>
      </c>
      <c r="D110" s="1" t="s">
        <v>1025</v>
      </c>
    </row>
    <row r="111" spans="1:4" x14ac:dyDescent="0.2">
      <c r="A111" s="1" t="s">
        <v>120</v>
      </c>
      <c r="B111" s="1">
        <v>2</v>
      </c>
      <c r="C111" s="1" t="str">
        <f>VLOOKUP(student_internships[[#This Row],[Student_ID]],student_data[],2,0)</f>
        <v>Civil</v>
      </c>
      <c r="D111" s="1" t="s">
        <v>1022</v>
      </c>
    </row>
    <row r="112" spans="1:4" x14ac:dyDescent="0.2">
      <c r="A112" s="1" t="s">
        <v>121</v>
      </c>
      <c r="B112" s="1">
        <v>0</v>
      </c>
      <c r="C112" s="1" t="str">
        <f>VLOOKUP(student_internships[[#This Row],[Student_ID]],student_data[],2,0)</f>
        <v>Mechanical</v>
      </c>
      <c r="D112" s="1" t="s">
        <v>1024</v>
      </c>
    </row>
    <row r="113" spans="1:4" x14ac:dyDescent="0.2">
      <c r="A113" s="1" t="s">
        <v>122</v>
      </c>
      <c r="B113" s="1">
        <v>0</v>
      </c>
      <c r="C113" s="1" t="str">
        <f>VLOOKUP(student_internships[[#This Row],[Student_ID]],student_data[],2,0)</f>
        <v>Mechanical</v>
      </c>
      <c r="D113" s="1" t="s">
        <v>1024</v>
      </c>
    </row>
    <row r="114" spans="1:4" x14ac:dyDescent="0.2">
      <c r="A114" s="1" t="s">
        <v>123</v>
      </c>
      <c r="B114" s="1">
        <v>0</v>
      </c>
      <c r="C114" s="1" t="str">
        <f>VLOOKUP(student_internships[[#This Row],[Student_ID]],student_data[],2,0)</f>
        <v>Computer Science</v>
      </c>
      <c r="D114" s="1" t="s">
        <v>1024</v>
      </c>
    </row>
    <row r="115" spans="1:4" x14ac:dyDescent="0.2">
      <c r="A115" s="1" t="s">
        <v>124</v>
      </c>
      <c r="B115" s="1">
        <v>0</v>
      </c>
      <c r="C115" s="1" t="str">
        <f>VLOOKUP(student_internships[[#This Row],[Student_ID]],student_data[],2,0)</f>
        <v>Mechanical</v>
      </c>
      <c r="D115" s="1" t="s">
        <v>1024</v>
      </c>
    </row>
    <row r="116" spans="1:4" x14ac:dyDescent="0.2">
      <c r="A116" s="1" t="s">
        <v>125</v>
      </c>
      <c r="B116" s="1">
        <v>3</v>
      </c>
      <c r="C116" s="1" t="str">
        <f>VLOOKUP(student_internships[[#This Row],[Student_ID]],student_data[],2,0)</f>
        <v>Information Technology</v>
      </c>
      <c r="D116" s="1" t="s">
        <v>1026</v>
      </c>
    </row>
    <row r="117" spans="1:4" x14ac:dyDescent="0.2">
      <c r="A117" s="1" t="s">
        <v>126</v>
      </c>
      <c r="B117" s="1">
        <v>2</v>
      </c>
      <c r="C117" s="1" t="str">
        <f>VLOOKUP(student_internships[[#This Row],[Student_ID]],student_data[],2,0)</f>
        <v>Mechanical</v>
      </c>
      <c r="D117" s="1" t="s">
        <v>1025</v>
      </c>
    </row>
    <row r="118" spans="1:4" x14ac:dyDescent="0.2">
      <c r="A118" s="1" t="s">
        <v>127</v>
      </c>
      <c r="B118" s="1">
        <v>1</v>
      </c>
      <c r="C118" s="1" t="str">
        <f>VLOOKUP(student_internships[[#This Row],[Student_ID]],student_data[],2,0)</f>
        <v>Computer Science</v>
      </c>
      <c r="D118" s="1" t="s">
        <v>1027</v>
      </c>
    </row>
    <row r="119" spans="1:4" x14ac:dyDescent="0.2">
      <c r="A119" s="1" t="s">
        <v>128</v>
      </c>
      <c r="B119" s="1">
        <v>2</v>
      </c>
      <c r="C119" s="1" t="str">
        <f>VLOOKUP(student_internships[[#This Row],[Student_ID]],student_data[],2,0)</f>
        <v>Information Technology</v>
      </c>
      <c r="D119" s="1" t="s">
        <v>1026</v>
      </c>
    </row>
    <row r="120" spans="1:4" x14ac:dyDescent="0.2">
      <c r="A120" s="1" t="s">
        <v>129</v>
      </c>
      <c r="B120" s="1">
        <v>2</v>
      </c>
      <c r="C120" s="1" t="str">
        <f>VLOOKUP(student_internships[[#This Row],[Student_ID]],student_data[],2,0)</f>
        <v>Electronics</v>
      </c>
      <c r="D120" s="1" t="s">
        <v>1025</v>
      </c>
    </row>
    <row r="121" spans="1:4" x14ac:dyDescent="0.2">
      <c r="A121" s="1" t="s">
        <v>130</v>
      </c>
      <c r="B121" s="1">
        <v>0</v>
      </c>
      <c r="C121" s="1" t="str">
        <f>VLOOKUP(student_internships[[#This Row],[Student_ID]],student_data[],2,0)</f>
        <v>Mechanical</v>
      </c>
      <c r="D121" s="1" t="s">
        <v>1024</v>
      </c>
    </row>
    <row r="122" spans="1:4" x14ac:dyDescent="0.2">
      <c r="A122" s="1" t="s">
        <v>131</v>
      </c>
      <c r="B122" s="1">
        <v>2</v>
      </c>
      <c r="C122" s="1" t="str">
        <f>VLOOKUP(student_internships[[#This Row],[Student_ID]],student_data[],2,0)</f>
        <v>Computer Science</v>
      </c>
      <c r="D122" s="1" t="s">
        <v>1027</v>
      </c>
    </row>
    <row r="123" spans="1:4" x14ac:dyDescent="0.2">
      <c r="A123" s="1" t="s">
        <v>132</v>
      </c>
      <c r="B123" s="1">
        <v>1</v>
      </c>
      <c r="C123" s="1" t="str">
        <f>VLOOKUP(student_internships[[#This Row],[Student_ID]],student_data[],2,0)</f>
        <v>Electronics</v>
      </c>
      <c r="D123" s="1" t="s">
        <v>1021</v>
      </c>
    </row>
    <row r="124" spans="1:4" x14ac:dyDescent="0.2">
      <c r="A124" s="1" t="s">
        <v>133</v>
      </c>
      <c r="B124" s="1">
        <v>2</v>
      </c>
      <c r="C124" s="1" t="str">
        <f>VLOOKUP(student_internships[[#This Row],[Student_ID]],student_data[],2,0)</f>
        <v>Electronics</v>
      </c>
      <c r="D124" s="1" t="s">
        <v>1022</v>
      </c>
    </row>
    <row r="125" spans="1:4" x14ac:dyDescent="0.2">
      <c r="A125" s="1" t="s">
        <v>134</v>
      </c>
      <c r="B125" s="1">
        <v>2</v>
      </c>
      <c r="C125" s="1" t="str">
        <f>VLOOKUP(student_internships[[#This Row],[Student_ID]],student_data[],2,0)</f>
        <v>Civil</v>
      </c>
      <c r="D125" s="1" t="s">
        <v>1027</v>
      </c>
    </row>
    <row r="126" spans="1:4" x14ac:dyDescent="0.2">
      <c r="A126" s="1" t="s">
        <v>135</v>
      </c>
      <c r="B126" s="1">
        <v>1</v>
      </c>
      <c r="C126" s="1" t="str">
        <f>VLOOKUP(student_internships[[#This Row],[Student_ID]],student_data[],2,0)</f>
        <v>Information Technology</v>
      </c>
      <c r="D126" s="1" t="s">
        <v>1020</v>
      </c>
    </row>
    <row r="127" spans="1:4" x14ac:dyDescent="0.2">
      <c r="A127" s="1" t="s">
        <v>136</v>
      </c>
      <c r="B127" s="1">
        <v>0</v>
      </c>
      <c r="C127" s="1" t="str">
        <f>VLOOKUP(student_internships[[#This Row],[Student_ID]],student_data[],2,0)</f>
        <v>Mechanical</v>
      </c>
      <c r="D127" s="1" t="s">
        <v>1024</v>
      </c>
    </row>
    <row r="128" spans="1:4" x14ac:dyDescent="0.2">
      <c r="A128" s="1" t="s">
        <v>137</v>
      </c>
      <c r="B128" s="1">
        <v>0</v>
      </c>
      <c r="C128" s="1" t="str">
        <f>VLOOKUP(student_internships[[#This Row],[Student_ID]],student_data[],2,0)</f>
        <v>Computer Science</v>
      </c>
      <c r="D128" s="1" t="s">
        <v>1024</v>
      </c>
    </row>
    <row r="129" spans="1:4" x14ac:dyDescent="0.2">
      <c r="A129" s="1" t="s">
        <v>138</v>
      </c>
      <c r="B129" s="1">
        <v>1</v>
      </c>
      <c r="C129" s="1" t="str">
        <f>VLOOKUP(student_internships[[#This Row],[Student_ID]],student_data[],2,0)</f>
        <v>Civil</v>
      </c>
      <c r="D129" s="1" t="s">
        <v>1023</v>
      </c>
    </row>
    <row r="130" spans="1:4" x14ac:dyDescent="0.2">
      <c r="A130" s="1" t="s">
        <v>139</v>
      </c>
      <c r="B130" s="1">
        <v>2</v>
      </c>
      <c r="C130" s="1" t="str">
        <f>VLOOKUP(student_internships[[#This Row],[Student_ID]],student_data[],2,0)</f>
        <v>Information Technology</v>
      </c>
      <c r="D130" s="1" t="s">
        <v>1027</v>
      </c>
    </row>
    <row r="131" spans="1:4" x14ac:dyDescent="0.2">
      <c r="A131" s="1" t="s">
        <v>140</v>
      </c>
      <c r="B131" s="1">
        <v>2</v>
      </c>
      <c r="C131" s="1" t="str">
        <f>VLOOKUP(student_internships[[#This Row],[Student_ID]],student_data[],2,0)</f>
        <v>Civil</v>
      </c>
      <c r="D131" s="1" t="s">
        <v>1027</v>
      </c>
    </row>
    <row r="132" spans="1:4" x14ac:dyDescent="0.2">
      <c r="A132" s="1" t="s">
        <v>141</v>
      </c>
      <c r="B132" s="1">
        <v>0</v>
      </c>
      <c r="C132" s="1" t="str">
        <f>VLOOKUP(student_internships[[#This Row],[Student_ID]],student_data[],2,0)</f>
        <v>Information Technology</v>
      </c>
      <c r="D132" s="1" t="s">
        <v>1024</v>
      </c>
    </row>
    <row r="133" spans="1:4" x14ac:dyDescent="0.2">
      <c r="A133" s="1" t="s">
        <v>142</v>
      </c>
      <c r="B133" s="1">
        <v>1</v>
      </c>
      <c r="C133" s="1" t="str">
        <f>VLOOKUP(student_internships[[#This Row],[Student_ID]],student_data[],2,0)</f>
        <v>Information Technology</v>
      </c>
      <c r="D133" s="1" t="s">
        <v>1022</v>
      </c>
    </row>
    <row r="134" spans="1:4" x14ac:dyDescent="0.2">
      <c r="A134" s="1" t="s">
        <v>143</v>
      </c>
      <c r="B134" s="1">
        <v>1</v>
      </c>
      <c r="C134" s="1" t="str">
        <f>VLOOKUP(student_internships[[#This Row],[Student_ID]],student_data[],2,0)</f>
        <v>Mechanical</v>
      </c>
      <c r="D134" s="1" t="s">
        <v>1023</v>
      </c>
    </row>
    <row r="135" spans="1:4" x14ac:dyDescent="0.2">
      <c r="A135" s="1" t="s">
        <v>144</v>
      </c>
      <c r="B135" s="1">
        <v>0</v>
      </c>
      <c r="C135" s="1" t="str">
        <f>VLOOKUP(student_internships[[#This Row],[Student_ID]],student_data[],2,0)</f>
        <v>Information Technology</v>
      </c>
      <c r="D135" s="1" t="s">
        <v>1024</v>
      </c>
    </row>
    <row r="136" spans="1:4" x14ac:dyDescent="0.2">
      <c r="A136" s="1" t="s">
        <v>145</v>
      </c>
      <c r="B136" s="1">
        <v>0</v>
      </c>
      <c r="C136" s="1" t="str">
        <f>VLOOKUP(student_internships[[#This Row],[Student_ID]],student_data[],2,0)</f>
        <v>Civil</v>
      </c>
      <c r="D136" s="1" t="s">
        <v>1024</v>
      </c>
    </row>
    <row r="137" spans="1:4" x14ac:dyDescent="0.2">
      <c r="A137" s="1" t="s">
        <v>146</v>
      </c>
      <c r="B137" s="1">
        <v>1</v>
      </c>
      <c r="C137" s="1" t="str">
        <f>VLOOKUP(student_internships[[#This Row],[Student_ID]],student_data[],2,0)</f>
        <v>Information Technology</v>
      </c>
      <c r="D137" s="1" t="s">
        <v>1020</v>
      </c>
    </row>
    <row r="138" spans="1:4" x14ac:dyDescent="0.2">
      <c r="A138" s="1" t="s">
        <v>147</v>
      </c>
      <c r="B138" s="1">
        <v>3</v>
      </c>
      <c r="C138" s="1" t="str">
        <f>VLOOKUP(student_internships[[#This Row],[Student_ID]],student_data[],2,0)</f>
        <v>Mechanical</v>
      </c>
      <c r="D138" s="1" t="s">
        <v>1025</v>
      </c>
    </row>
    <row r="139" spans="1:4" x14ac:dyDescent="0.2">
      <c r="A139" s="1" t="s">
        <v>148</v>
      </c>
      <c r="B139" s="1">
        <v>1</v>
      </c>
      <c r="C139" s="1" t="str">
        <f>VLOOKUP(student_internships[[#This Row],[Student_ID]],student_data[],2,0)</f>
        <v>Mechanical</v>
      </c>
      <c r="D139" s="1" t="s">
        <v>1025</v>
      </c>
    </row>
    <row r="140" spans="1:4" x14ac:dyDescent="0.2">
      <c r="A140" s="1" t="s">
        <v>149</v>
      </c>
      <c r="B140" s="1">
        <v>1</v>
      </c>
      <c r="C140" s="1" t="str">
        <f>VLOOKUP(student_internships[[#This Row],[Student_ID]],student_data[],2,0)</f>
        <v>Civil</v>
      </c>
      <c r="D140" s="1" t="s">
        <v>1027</v>
      </c>
    </row>
    <row r="141" spans="1:4" x14ac:dyDescent="0.2">
      <c r="A141" s="1" t="s">
        <v>150</v>
      </c>
      <c r="B141" s="1">
        <v>2</v>
      </c>
      <c r="C141" s="1" t="str">
        <f>VLOOKUP(student_internships[[#This Row],[Student_ID]],student_data[],2,0)</f>
        <v>Electronics</v>
      </c>
      <c r="D141" s="1" t="s">
        <v>1023</v>
      </c>
    </row>
    <row r="142" spans="1:4" x14ac:dyDescent="0.2">
      <c r="A142" s="1" t="s">
        <v>151</v>
      </c>
      <c r="B142" s="1">
        <v>1</v>
      </c>
      <c r="C142" s="1" t="str">
        <f>VLOOKUP(student_internships[[#This Row],[Student_ID]],student_data[],2,0)</f>
        <v>Electronics</v>
      </c>
      <c r="D142" s="1" t="s">
        <v>1023</v>
      </c>
    </row>
    <row r="143" spans="1:4" x14ac:dyDescent="0.2">
      <c r="A143" s="1" t="s">
        <v>152</v>
      </c>
      <c r="B143" s="1">
        <v>3</v>
      </c>
      <c r="C143" s="1" t="str">
        <f>VLOOKUP(student_internships[[#This Row],[Student_ID]],student_data[],2,0)</f>
        <v>Information Technology</v>
      </c>
      <c r="D143" s="1" t="s">
        <v>1020</v>
      </c>
    </row>
    <row r="144" spans="1:4" x14ac:dyDescent="0.2">
      <c r="A144" s="1" t="s">
        <v>153</v>
      </c>
      <c r="B144" s="1">
        <v>3</v>
      </c>
      <c r="C144" s="1" t="str">
        <f>VLOOKUP(student_internships[[#This Row],[Student_ID]],student_data[],2,0)</f>
        <v>Computer Science</v>
      </c>
      <c r="D144" s="1" t="s">
        <v>1022</v>
      </c>
    </row>
    <row r="145" spans="1:4" x14ac:dyDescent="0.2">
      <c r="A145" s="1" t="s">
        <v>154</v>
      </c>
      <c r="B145" s="1">
        <v>0</v>
      </c>
      <c r="C145" s="1" t="str">
        <f>VLOOKUP(student_internships[[#This Row],[Student_ID]],student_data[],2,0)</f>
        <v>Information Technology</v>
      </c>
      <c r="D145" s="1" t="s">
        <v>1024</v>
      </c>
    </row>
    <row r="146" spans="1:4" x14ac:dyDescent="0.2">
      <c r="A146" s="1" t="s">
        <v>155</v>
      </c>
      <c r="B146" s="1">
        <v>1</v>
      </c>
      <c r="C146" s="1" t="str">
        <f>VLOOKUP(student_internships[[#This Row],[Student_ID]],student_data[],2,0)</f>
        <v>Civil</v>
      </c>
      <c r="D146" s="1" t="s">
        <v>1021</v>
      </c>
    </row>
    <row r="147" spans="1:4" x14ac:dyDescent="0.2">
      <c r="A147" s="1" t="s">
        <v>156</v>
      </c>
      <c r="B147" s="1">
        <v>1</v>
      </c>
      <c r="C147" s="1" t="str">
        <f>VLOOKUP(student_internships[[#This Row],[Student_ID]],student_data[],2,0)</f>
        <v>Civil</v>
      </c>
      <c r="D147" s="1" t="s">
        <v>1025</v>
      </c>
    </row>
    <row r="148" spans="1:4" x14ac:dyDescent="0.2">
      <c r="A148" s="1" t="s">
        <v>157</v>
      </c>
      <c r="B148" s="1">
        <v>0</v>
      </c>
      <c r="C148" s="1" t="str">
        <f>VLOOKUP(student_internships[[#This Row],[Student_ID]],student_data[],2,0)</f>
        <v>Civil</v>
      </c>
      <c r="D148" s="1" t="s">
        <v>1024</v>
      </c>
    </row>
    <row r="149" spans="1:4" x14ac:dyDescent="0.2">
      <c r="A149" s="1" t="s">
        <v>158</v>
      </c>
      <c r="B149" s="1">
        <v>0</v>
      </c>
      <c r="C149" s="1" t="str">
        <f>VLOOKUP(student_internships[[#This Row],[Student_ID]],student_data[],2,0)</f>
        <v>Civil</v>
      </c>
      <c r="D149" s="1" t="s">
        <v>1024</v>
      </c>
    </row>
    <row r="150" spans="1:4" x14ac:dyDescent="0.2">
      <c r="A150" s="1" t="s">
        <v>159</v>
      </c>
      <c r="B150" s="1">
        <v>1</v>
      </c>
      <c r="C150" s="1" t="str">
        <f>VLOOKUP(student_internships[[#This Row],[Student_ID]],student_data[],2,0)</f>
        <v>Civil</v>
      </c>
      <c r="D150" s="1" t="s">
        <v>1022</v>
      </c>
    </row>
    <row r="151" spans="1:4" x14ac:dyDescent="0.2">
      <c r="A151" s="1" t="s">
        <v>160</v>
      </c>
      <c r="B151" s="1">
        <v>1</v>
      </c>
      <c r="C151" s="1" t="str">
        <f>VLOOKUP(student_internships[[#This Row],[Student_ID]],student_data[],2,0)</f>
        <v>Mechanical</v>
      </c>
      <c r="D151" s="1" t="s">
        <v>1026</v>
      </c>
    </row>
    <row r="152" spans="1:4" x14ac:dyDescent="0.2">
      <c r="A152" s="1" t="s">
        <v>161</v>
      </c>
      <c r="B152" s="1">
        <v>0</v>
      </c>
      <c r="C152" s="1" t="str">
        <f>VLOOKUP(student_internships[[#This Row],[Student_ID]],student_data[],2,0)</f>
        <v>Electronics</v>
      </c>
      <c r="D152" s="1" t="s">
        <v>1024</v>
      </c>
    </row>
    <row r="153" spans="1:4" x14ac:dyDescent="0.2">
      <c r="A153" s="1" t="s">
        <v>162</v>
      </c>
      <c r="B153" s="1">
        <v>0</v>
      </c>
      <c r="C153" s="1" t="str">
        <f>VLOOKUP(student_internships[[#This Row],[Student_ID]],student_data[],2,0)</f>
        <v>Civil</v>
      </c>
      <c r="D153" s="1" t="s">
        <v>1024</v>
      </c>
    </row>
    <row r="154" spans="1:4" x14ac:dyDescent="0.2">
      <c r="A154" s="1" t="s">
        <v>163</v>
      </c>
      <c r="B154" s="1">
        <v>3</v>
      </c>
      <c r="C154" s="1" t="str">
        <f>VLOOKUP(student_internships[[#This Row],[Student_ID]],student_data[],2,0)</f>
        <v>Computer Science</v>
      </c>
      <c r="D154" s="1" t="s">
        <v>1025</v>
      </c>
    </row>
    <row r="155" spans="1:4" x14ac:dyDescent="0.2">
      <c r="A155" s="1" t="s">
        <v>164</v>
      </c>
      <c r="B155" s="1">
        <v>0</v>
      </c>
      <c r="C155" s="1" t="str">
        <f>VLOOKUP(student_internships[[#This Row],[Student_ID]],student_data[],2,0)</f>
        <v>Computer Science</v>
      </c>
      <c r="D155" s="1" t="s">
        <v>1024</v>
      </c>
    </row>
    <row r="156" spans="1:4" x14ac:dyDescent="0.2">
      <c r="A156" s="1" t="s">
        <v>165</v>
      </c>
      <c r="B156" s="1">
        <v>0</v>
      </c>
      <c r="C156" s="1" t="str">
        <f>VLOOKUP(student_internships[[#This Row],[Student_ID]],student_data[],2,0)</f>
        <v>Computer Science</v>
      </c>
      <c r="D156" s="1" t="s">
        <v>1024</v>
      </c>
    </row>
    <row r="157" spans="1:4" x14ac:dyDescent="0.2">
      <c r="A157" s="1" t="s">
        <v>166</v>
      </c>
      <c r="B157" s="1">
        <v>1</v>
      </c>
      <c r="C157" s="1" t="str">
        <f>VLOOKUP(student_internships[[#This Row],[Student_ID]],student_data[],2,0)</f>
        <v>Computer Science</v>
      </c>
      <c r="D157" s="1" t="s">
        <v>1022</v>
      </c>
    </row>
    <row r="158" spans="1:4" x14ac:dyDescent="0.2">
      <c r="A158" s="1" t="s">
        <v>167</v>
      </c>
      <c r="B158" s="1">
        <v>3</v>
      </c>
      <c r="C158" s="1" t="str">
        <f>VLOOKUP(student_internships[[#This Row],[Student_ID]],student_data[],2,0)</f>
        <v>Mechanical</v>
      </c>
      <c r="D158" s="1" t="s">
        <v>1025</v>
      </c>
    </row>
    <row r="159" spans="1:4" x14ac:dyDescent="0.2">
      <c r="A159" s="1" t="s">
        <v>168</v>
      </c>
      <c r="B159" s="1">
        <v>0</v>
      </c>
      <c r="C159" s="1" t="str">
        <f>VLOOKUP(student_internships[[#This Row],[Student_ID]],student_data[],2,0)</f>
        <v>Computer Science</v>
      </c>
      <c r="D159" s="1" t="s">
        <v>1024</v>
      </c>
    </row>
    <row r="160" spans="1:4" x14ac:dyDescent="0.2">
      <c r="A160" s="1" t="s">
        <v>169</v>
      </c>
      <c r="B160" s="1">
        <v>1</v>
      </c>
      <c r="C160" s="1" t="str">
        <f>VLOOKUP(student_internships[[#This Row],[Student_ID]],student_data[],2,0)</f>
        <v>Civil</v>
      </c>
      <c r="D160" s="1" t="s">
        <v>1021</v>
      </c>
    </row>
    <row r="161" spans="1:4" x14ac:dyDescent="0.2">
      <c r="A161" s="1" t="s">
        <v>170</v>
      </c>
      <c r="B161" s="1">
        <v>2</v>
      </c>
      <c r="C161" s="1" t="str">
        <f>VLOOKUP(student_internships[[#This Row],[Student_ID]],student_data[],2,0)</f>
        <v>Information Technology</v>
      </c>
      <c r="D161" s="1" t="s">
        <v>1026</v>
      </c>
    </row>
    <row r="162" spans="1:4" x14ac:dyDescent="0.2">
      <c r="A162" s="1" t="s">
        <v>171</v>
      </c>
      <c r="B162" s="1">
        <v>0</v>
      </c>
      <c r="C162" s="1" t="str">
        <f>VLOOKUP(student_internships[[#This Row],[Student_ID]],student_data[],2,0)</f>
        <v>Computer Science</v>
      </c>
      <c r="D162" s="1" t="s">
        <v>1024</v>
      </c>
    </row>
    <row r="163" spans="1:4" x14ac:dyDescent="0.2">
      <c r="A163" s="1" t="s">
        <v>172</v>
      </c>
      <c r="B163" s="1">
        <v>2</v>
      </c>
      <c r="C163" s="1" t="str">
        <f>VLOOKUP(student_internships[[#This Row],[Student_ID]],student_data[],2,0)</f>
        <v>Mechanical</v>
      </c>
      <c r="D163" s="1" t="s">
        <v>1021</v>
      </c>
    </row>
    <row r="164" spans="1:4" x14ac:dyDescent="0.2">
      <c r="A164" s="1" t="s">
        <v>173</v>
      </c>
      <c r="B164" s="1">
        <v>1</v>
      </c>
      <c r="C164" s="1" t="str">
        <f>VLOOKUP(student_internships[[#This Row],[Student_ID]],student_data[],2,0)</f>
        <v>Mechanical</v>
      </c>
      <c r="D164" s="1" t="s">
        <v>1020</v>
      </c>
    </row>
    <row r="165" spans="1:4" x14ac:dyDescent="0.2">
      <c r="A165" s="1" t="s">
        <v>174</v>
      </c>
      <c r="B165" s="1">
        <v>1</v>
      </c>
      <c r="C165" s="1" t="str">
        <f>VLOOKUP(student_internships[[#This Row],[Student_ID]],student_data[],2,0)</f>
        <v>Computer Science</v>
      </c>
      <c r="D165" s="1" t="s">
        <v>1026</v>
      </c>
    </row>
    <row r="166" spans="1:4" x14ac:dyDescent="0.2">
      <c r="A166" s="1" t="s">
        <v>175</v>
      </c>
      <c r="B166" s="1">
        <v>1</v>
      </c>
      <c r="C166" s="1" t="str">
        <f>VLOOKUP(student_internships[[#This Row],[Student_ID]],student_data[],2,0)</f>
        <v>Information Technology</v>
      </c>
      <c r="D166" s="1" t="s">
        <v>1027</v>
      </c>
    </row>
    <row r="167" spans="1:4" x14ac:dyDescent="0.2">
      <c r="A167" s="1" t="s">
        <v>176</v>
      </c>
      <c r="B167" s="1">
        <v>1</v>
      </c>
      <c r="C167" s="1" t="str">
        <f>VLOOKUP(student_internships[[#This Row],[Student_ID]],student_data[],2,0)</f>
        <v>Computer Science</v>
      </c>
      <c r="D167" s="1" t="s">
        <v>1022</v>
      </c>
    </row>
    <row r="168" spans="1:4" x14ac:dyDescent="0.2">
      <c r="A168" s="1" t="s">
        <v>177</v>
      </c>
      <c r="B168" s="1">
        <v>0</v>
      </c>
      <c r="C168" s="1" t="str">
        <f>VLOOKUP(student_internships[[#This Row],[Student_ID]],student_data[],2,0)</f>
        <v>Mechanical</v>
      </c>
      <c r="D168" s="1" t="s">
        <v>1024</v>
      </c>
    </row>
    <row r="169" spans="1:4" x14ac:dyDescent="0.2">
      <c r="A169" s="1" t="s">
        <v>178</v>
      </c>
      <c r="B169" s="1">
        <v>2</v>
      </c>
      <c r="C169" s="1" t="str">
        <f>VLOOKUP(student_internships[[#This Row],[Student_ID]],student_data[],2,0)</f>
        <v>Electronics</v>
      </c>
      <c r="D169" s="1" t="s">
        <v>1026</v>
      </c>
    </row>
    <row r="170" spans="1:4" x14ac:dyDescent="0.2">
      <c r="A170" s="1" t="s">
        <v>179</v>
      </c>
      <c r="B170" s="1">
        <v>1</v>
      </c>
      <c r="C170" s="1" t="str">
        <f>VLOOKUP(student_internships[[#This Row],[Student_ID]],student_data[],2,0)</f>
        <v>Civil</v>
      </c>
      <c r="D170" s="1" t="s">
        <v>1020</v>
      </c>
    </row>
    <row r="171" spans="1:4" x14ac:dyDescent="0.2">
      <c r="A171" s="1" t="s">
        <v>180</v>
      </c>
      <c r="B171" s="1">
        <v>0</v>
      </c>
      <c r="C171" s="1" t="str">
        <f>VLOOKUP(student_internships[[#This Row],[Student_ID]],student_data[],2,0)</f>
        <v>Mechanical</v>
      </c>
      <c r="D171" s="1" t="s">
        <v>1024</v>
      </c>
    </row>
    <row r="172" spans="1:4" x14ac:dyDescent="0.2">
      <c r="A172" s="1" t="s">
        <v>181</v>
      </c>
      <c r="B172" s="1">
        <v>0</v>
      </c>
      <c r="C172" s="1" t="str">
        <f>VLOOKUP(student_internships[[#This Row],[Student_ID]],student_data[],2,0)</f>
        <v>Computer Science</v>
      </c>
      <c r="D172" s="1" t="s">
        <v>1024</v>
      </c>
    </row>
    <row r="173" spans="1:4" x14ac:dyDescent="0.2">
      <c r="A173" s="1" t="s">
        <v>182</v>
      </c>
      <c r="B173" s="1">
        <v>1</v>
      </c>
      <c r="C173" s="1" t="str">
        <f>VLOOKUP(student_internships[[#This Row],[Student_ID]],student_data[],2,0)</f>
        <v>Civil</v>
      </c>
      <c r="D173" s="1" t="s">
        <v>1020</v>
      </c>
    </row>
    <row r="174" spans="1:4" x14ac:dyDescent="0.2">
      <c r="A174" s="1" t="s">
        <v>183</v>
      </c>
      <c r="B174" s="1">
        <v>1</v>
      </c>
      <c r="C174" s="1" t="str">
        <f>VLOOKUP(student_internships[[#This Row],[Student_ID]],student_data[],2,0)</f>
        <v>Computer Science</v>
      </c>
      <c r="D174" s="1" t="s">
        <v>1021</v>
      </c>
    </row>
    <row r="175" spans="1:4" x14ac:dyDescent="0.2">
      <c r="A175" s="1" t="s">
        <v>184</v>
      </c>
      <c r="B175" s="1">
        <v>0</v>
      </c>
      <c r="C175" s="1" t="str">
        <f>VLOOKUP(student_internships[[#This Row],[Student_ID]],student_data[],2,0)</f>
        <v>Computer Science</v>
      </c>
      <c r="D175" s="1" t="s">
        <v>1024</v>
      </c>
    </row>
    <row r="176" spans="1:4" x14ac:dyDescent="0.2">
      <c r="A176" s="1" t="s">
        <v>185</v>
      </c>
      <c r="B176" s="1">
        <v>1</v>
      </c>
      <c r="C176" s="1" t="str">
        <f>VLOOKUP(student_internships[[#This Row],[Student_ID]],student_data[],2,0)</f>
        <v>Electronics</v>
      </c>
      <c r="D176" s="1" t="s">
        <v>1025</v>
      </c>
    </row>
    <row r="177" spans="1:4" x14ac:dyDescent="0.2">
      <c r="A177" s="1" t="s">
        <v>186</v>
      </c>
      <c r="B177" s="1">
        <v>0</v>
      </c>
      <c r="C177" s="1" t="str">
        <f>VLOOKUP(student_internships[[#This Row],[Student_ID]],student_data[],2,0)</f>
        <v>Civil</v>
      </c>
      <c r="D177" s="1" t="s">
        <v>1024</v>
      </c>
    </row>
    <row r="178" spans="1:4" x14ac:dyDescent="0.2">
      <c r="A178" s="1" t="s">
        <v>187</v>
      </c>
      <c r="B178" s="1">
        <v>1</v>
      </c>
      <c r="C178" s="1" t="str">
        <f>VLOOKUP(student_internships[[#This Row],[Student_ID]],student_data[],2,0)</f>
        <v>Civil</v>
      </c>
      <c r="D178" s="1" t="s">
        <v>1026</v>
      </c>
    </row>
    <row r="179" spans="1:4" x14ac:dyDescent="0.2">
      <c r="A179" s="1" t="s">
        <v>188</v>
      </c>
      <c r="B179" s="1">
        <v>0</v>
      </c>
      <c r="C179" s="1" t="str">
        <f>VLOOKUP(student_internships[[#This Row],[Student_ID]],student_data[],2,0)</f>
        <v>Electronics</v>
      </c>
      <c r="D179" s="1" t="s">
        <v>1024</v>
      </c>
    </row>
    <row r="180" spans="1:4" x14ac:dyDescent="0.2">
      <c r="A180" s="1" t="s">
        <v>189</v>
      </c>
      <c r="B180" s="1">
        <v>1</v>
      </c>
      <c r="C180" s="1" t="str">
        <f>VLOOKUP(student_internships[[#This Row],[Student_ID]],student_data[],2,0)</f>
        <v>Mechanical</v>
      </c>
      <c r="D180" s="1" t="s">
        <v>1022</v>
      </c>
    </row>
    <row r="181" spans="1:4" x14ac:dyDescent="0.2">
      <c r="A181" s="1" t="s">
        <v>190</v>
      </c>
      <c r="B181" s="1">
        <v>1</v>
      </c>
      <c r="C181" s="1" t="str">
        <f>VLOOKUP(student_internships[[#This Row],[Student_ID]],student_data[],2,0)</f>
        <v>Computer Science</v>
      </c>
      <c r="D181" s="1" t="s">
        <v>1026</v>
      </c>
    </row>
    <row r="182" spans="1:4" x14ac:dyDescent="0.2">
      <c r="A182" s="1" t="s">
        <v>191</v>
      </c>
      <c r="B182" s="1">
        <v>3</v>
      </c>
      <c r="C182" s="1" t="str">
        <f>VLOOKUP(student_internships[[#This Row],[Student_ID]],student_data[],2,0)</f>
        <v>Information Technology</v>
      </c>
      <c r="D182" s="1" t="s">
        <v>1023</v>
      </c>
    </row>
    <row r="183" spans="1:4" x14ac:dyDescent="0.2">
      <c r="A183" s="1" t="s">
        <v>192</v>
      </c>
      <c r="B183" s="1">
        <v>0</v>
      </c>
      <c r="C183" s="1" t="str">
        <f>VLOOKUP(student_internships[[#This Row],[Student_ID]],student_data[],2,0)</f>
        <v>Computer Science</v>
      </c>
      <c r="D183" s="1" t="s">
        <v>1024</v>
      </c>
    </row>
    <row r="184" spans="1:4" x14ac:dyDescent="0.2">
      <c r="A184" s="1" t="s">
        <v>193</v>
      </c>
      <c r="B184" s="1">
        <v>1</v>
      </c>
      <c r="C184" s="1" t="str">
        <f>VLOOKUP(student_internships[[#This Row],[Student_ID]],student_data[],2,0)</f>
        <v>Computer Science</v>
      </c>
      <c r="D184" s="1" t="s">
        <v>1025</v>
      </c>
    </row>
    <row r="185" spans="1:4" x14ac:dyDescent="0.2">
      <c r="A185" s="1" t="s">
        <v>194</v>
      </c>
      <c r="B185" s="1">
        <v>0</v>
      </c>
      <c r="C185" s="1" t="str">
        <f>VLOOKUP(student_internships[[#This Row],[Student_ID]],student_data[],2,0)</f>
        <v>Mechanical</v>
      </c>
      <c r="D185" s="1" t="s">
        <v>1024</v>
      </c>
    </row>
    <row r="186" spans="1:4" x14ac:dyDescent="0.2">
      <c r="A186" s="1" t="s">
        <v>195</v>
      </c>
      <c r="B186" s="1">
        <v>3</v>
      </c>
      <c r="C186" s="1" t="str">
        <f>VLOOKUP(student_internships[[#This Row],[Student_ID]],student_data[],2,0)</f>
        <v>Computer Science</v>
      </c>
      <c r="D186" s="1" t="s">
        <v>1022</v>
      </c>
    </row>
    <row r="187" spans="1:4" x14ac:dyDescent="0.2">
      <c r="A187" s="1" t="s">
        <v>196</v>
      </c>
      <c r="B187" s="1">
        <v>2</v>
      </c>
      <c r="C187" s="1" t="str">
        <f>VLOOKUP(student_internships[[#This Row],[Student_ID]],student_data[],2,0)</f>
        <v>Electronics</v>
      </c>
      <c r="D187" s="1" t="s">
        <v>1022</v>
      </c>
    </row>
    <row r="188" spans="1:4" x14ac:dyDescent="0.2">
      <c r="A188" s="1" t="s">
        <v>197</v>
      </c>
      <c r="B188" s="1">
        <v>0</v>
      </c>
      <c r="C188" s="1" t="str">
        <f>VLOOKUP(student_internships[[#This Row],[Student_ID]],student_data[],2,0)</f>
        <v>Electronics</v>
      </c>
      <c r="D188" s="1" t="s">
        <v>1024</v>
      </c>
    </row>
    <row r="189" spans="1:4" x14ac:dyDescent="0.2">
      <c r="A189" s="1" t="s">
        <v>198</v>
      </c>
      <c r="B189" s="1">
        <v>1</v>
      </c>
      <c r="C189" s="1" t="str">
        <f>VLOOKUP(student_internships[[#This Row],[Student_ID]],student_data[],2,0)</f>
        <v>Civil</v>
      </c>
      <c r="D189" s="1" t="s">
        <v>1027</v>
      </c>
    </row>
    <row r="190" spans="1:4" x14ac:dyDescent="0.2">
      <c r="A190" s="1" t="s">
        <v>199</v>
      </c>
      <c r="B190" s="1">
        <v>2</v>
      </c>
      <c r="C190" s="1" t="str">
        <f>VLOOKUP(student_internships[[#This Row],[Student_ID]],student_data[],2,0)</f>
        <v>Information Technology</v>
      </c>
      <c r="D190" s="1" t="s">
        <v>1021</v>
      </c>
    </row>
    <row r="191" spans="1:4" x14ac:dyDescent="0.2">
      <c r="A191" s="1" t="s">
        <v>200</v>
      </c>
      <c r="B191" s="1">
        <v>1</v>
      </c>
      <c r="C191" s="1" t="str">
        <f>VLOOKUP(student_internships[[#This Row],[Student_ID]],student_data[],2,0)</f>
        <v>Computer Science</v>
      </c>
      <c r="D191" s="1" t="s">
        <v>1027</v>
      </c>
    </row>
    <row r="192" spans="1:4" x14ac:dyDescent="0.2">
      <c r="A192" s="1" t="s">
        <v>201</v>
      </c>
      <c r="B192" s="1">
        <v>1</v>
      </c>
      <c r="C192" s="1" t="str">
        <f>VLOOKUP(student_internships[[#This Row],[Student_ID]],student_data[],2,0)</f>
        <v>Computer Science</v>
      </c>
      <c r="D192" s="1" t="s">
        <v>1022</v>
      </c>
    </row>
    <row r="193" spans="1:4" x14ac:dyDescent="0.2">
      <c r="A193" s="1" t="s">
        <v>202</v>
      </c>
      <c r="B193" s="1">
        <v>0</v>
      </c>
      <c r="C193" s="1" t="str">
        <f>VLOOKUP(student_internships[[#This Row],[Student_ID]],student_data[],2,0)</f>
        <v>Mechanical</v>
      </c>
      <c r="D193" s="1" t="s">
        <v>1024</v>
      </c>
    </row>
    <row r="194" spans="1:4" x14ac:dyDescent="0.2">
      <c r="A194" s="1" t="s">
        <v>203</v>
      </c>
      <c r="B194" s="1">
        <v>0</v>
      </c>
      <c r="C194" s="1" t="str">
        <f>VLOOKUP(student_internships[[#This Row],[Student_ID]],student_data[],2,0)</f>
        <v>Electronics</v>
      </c>
      <c r="D194" s="1" t="s">
        <v>1024</v>
      </c>
    </row>
    <row r="195" spans="1:4" x14ac:dyDescent="0.2">
      <c r="A195" s="1" t="s">
        <v>204</v>
      </c>
      <c r="B195" s="1">
        <v>2</v>
      </c>
      <c r="C195" s="1" t="str">
        <f>VLOOKUP(student_internships[[#This Row],[Student_ID]],student_data[],2,0)</f>
        <v>Information Technology</v>
      </c>
      <c r="D195" s="1" t="s">
        <v>1025</v>
      </c>
    </row>
    <row r="196" spans="1:4" x14ac:dyDescent="0.2">
      <c r="A196" s="1" t="s">
        <v>205</v>
      </c>
      <c r="B196" s="1">
        <v>3</v>
      </c>
      <c r="C196" s="1" t="str">
        <f>VLOOKUP(student_internships[[#This Row],[Student_ID]],student_data[],2,0)</f>
        <v>Civil</v>
      </c>
      <c r="D196" s="1" t="s">
        <v>1026</v>
      </c>
    </row>
    <row r="197" spans="1:4" x14ac:dyDescent="0.2">
      <c r="A197" s="1" t="s">
        <v>206</v>
      </c>
      <c r="B197" s="1">
        <v>1</v>
      </c>
      <c r="C197" s="1" t="str">
        <f>VLOOKUP(student_internships[[#This Row],[Student_ID]],student_data[],2,0)</f>
        <v>Electronics</v>
      </c>
      <c r="D197" s="1" t="s">
        <v>1026</v>
      </c>
    </row>
    <row r="198" spans="1:4" x14ac:dyDescent="0.2">
      <c r="A198" s="1" t="s">
        <v>207</v>
      </c>
      <c r="B198" s="1">
        <v>1</v>
      </c>
      <c r="C198" s="1" t="str">
        <f>VLOOKUP(student_internships[[#This Row],[Student_ID]],student_data[],2,0)</f>
        <v>Civil</v>
      </c>
      <c r="D198" s="1" t="s">
        <v>1025</v>
      </c>
    </row>
    <row r="199" spans="1:4" x14ac:dyDescent="0.2">
      <c r="A199" s="1" t="s">
        <v>208</v>
      </c>
      <c r="B199" s="1">
        <v>1</v>
      </c>
      <c r="C199" s="1" t="str">
        <f>VLOOKUP(student_internships[[#This Row],[Student_ID]],student_data[],2,0)</f>
        <v>Mechanical</v>
      </c>
      <c r="D199" s="1" t="s">
        <v>1022</v>
      </c>
    </row>
    <row r="200" spans="1:4" x14ac:dyDescent="0.2">
      <c r="A200" s="1" t="s">
        <v>209</v>
      </c>
      <c r="B200" s="1">
        <v>2</v>
      </c>
      <c r="C200" s="1" t="str">
        <f>VLOOKUP(student_internships[[#This Row],[Student_ID]],student_data[],2,0)</f>
        <v>Mechanical</v>
      </c>
      <c r="D200" s="1" t="s">
        <v>1020</v>
      </c>
    </row>
    <row r="201" spans="1:4" x14ac:dyDescent="0.2">
      <c r="A201" s="1" t="s">
        <v>210</v>
      </c>
      <c r="B201" s="1">
        <v>2</v>
      </c>
      <c r="C201" s="1" t="str">
        <f>VLOOKUP(student_internships[[#This Row],[Student_ID]],student_data[],2,0)</f>
        <v>Computer Science</v>
      </c>
      <c r="D201" s="1" t="s">
        <v>1026</v>
      </c>
    </row>
    <row r="202" spans="1:4" x14ac:dyDescent="0.2">
      <c r="A202" s="1" t="s">
        <v>211</v>
      </c>
      <c r="B202" s="1">
        <v>2</v>
      </c>
      <c r="C202" s="1" t="str">
        <f>VLOOKUP(student_internships[[#This Row],[Student_ID]],student_data[],2,0)</f>
        <v>Information Technology</v>
      </c>
      <c r="D202" s="1" t="s">
        <v>1020</v>
      </c>
    </row>
    <row r="203" spans="1:4" x14ac:dyDescent="0.2">
      <c r="A203" s="1" t="s">
        <v>212</v>
      </c>
      <c r="B203" s="1">
        <v>2</v>
      </c>
      <c r="C203" s="1" t="str">
        <f>VLOOKUP(student_internships[[#This Row],[Student_ID]],student_data[],2,0)</f>
        <v>Civil</v>
      </c>
      <c r="D203" s="1" t="s">
        <v>1026</v>
      </c>
    </row>
    <row r="204" spans="1:4" x14ac:dyDescent="0.2">
      <c r="A204" s="1" t="s">
        <v>213</v>
      </c>
      <c r="B204" s="1">
        <v>1</v>
      </c>
      <c r="C204" s="1" t="str">
        <f>VLOOKUP(student_internships[[#This Row],[Student_ID]],student_data[],2,0)</f>
        <v>Electronics</v>
      </c>
      <c r="D204" s="1" t="s">
        <v>1026</v>
      </c>
    </row>
    <row r="205" spans="1:4" x14ac:dyDescent="0.2">
      <c r="A205" s="1" t="s">
        <v>214</v>
      </c>
      <c r="B205" s="1">
        <v>0</v>
      </c>
      <c r="C205" s="1" t="str">
        <f>VLOOKUP(student_internships[[#This Row],[Student_ID]],student_data[],2,0)</f>
        <v>Mechanical</v>
      </c>
      <c r="D205" s="1" t="s">
        <v>1024</v>
      </c>
    </row>
    <row r="206" spans="1:4" x14ac:dyDescent="0.2">
      <c r="A206" s="1" t="s">
        <v>215</v>
      </c>
      <c r="B206" s="1">
        <v>0</v>
      </c>
      <c r="C206" s="1" t="str">
        <f>VLOOKUP(student_internships[[#This Row],[Student_ID]],student_data[],2,0)</f>
        <v>Computer Science</v>
      </c>
      <c r="D206" s="1" t="s">
        <v>1024</v>
      </c>
    </row>
    <row r="207" spans="1:4" x14ac:dyDescent="0.2">
      <c r="A207" s="1" t="s">
        <v>216</v>
      </c>
      <c r="B207" s="1">
        <v>2</v>
      </c>
      <c r="C207" s="1" t="str">
        <f>VLOOKUP(student_internships[[#This Row],[Student_ID]],student_data[],2,0)</f>
        <v>Computer Science</v>
      </c>
      <c r="D207" s="1" t="s">
        <v>1021</v>
      </c>
    </row>
    <row r="208" spans="1:4" x14ac:dyDescent="0.2">
      <c r="A208" s="1" t="s">
        <v>217</v>
      </c>
      <c r="B208" s="1">
        <v>1</v>
      </c>
      <c r="C208" s="1" t="str">
        <f>VLOOKUP(student_internships[[#This Row],[Student_ID]],student_data[],2,0)</f>
        <v>Civil</v>
      </c>
      <c r="D208" s="1" t="s">
        <v>1021</v>
      </c>
    </row>
    <row r="209" spans="1:4" x14ac:dyDescent="0.2">
      <c r="A209" s="1" t="s">
        <v>218</v>
      </c>
      <c r="B209" s="1">
        <v>0</v>
      </c>
      <c r="C209" s="1" t="str">
        <f>VLOOKUP(student_internships[[#This Row],[Student_ID]],student_data[],2,0)</f>
        <v>Mechanical</v>
      </c>
      <c r="D209" s="1" t="s">
        <v>1024</v>
      </c>
    </row>
    <row r="210" spans="1:4" x14ac:dyDescent="0.2">
      <c r="A210" s="1" t="s">
        <v>219</v>
      </c>
      <c r="B210" s="1">
        <v>0</v>
      </c>
      <c r="C210" s="1" t="str">
        <f>VLOOKUP(student_internships[[#This Row],[Student_ID]],student_data[],2,0)</f>
        <v>Information Technology</v>
      </c>
      <c r="D210" s="1" t="s">
        <v>1024</v>
      </c>
    </row>
    <row r="211" spans="1:4" x14ac:dyDescent="0.2">
      <c r="A211" s="1" t="s">
        <v>220</v>
      </c>
      <c r="B211" s="1">
        <v>1</v>
      </c>
      <c r="C211" s="1" t="str">
        <f>VLOOKUP(student_internships[[#This Row],[Student_ID]],student_data[],2,0)</f>
        <v>Mechanical</v>
      </c>
      <c r="D211" s="1" t="s">
        <v>1023</v>
      </c>
    </row>
    <row r="212" spans="1:4" x14ac:dyDescent="0.2">
      <c r="A212" s="1" t="s">
        <v>221</v>
      </c>
      <c r="B212" s="1">
        <v>0</v>
      </c>
      <c r="C212" s="1" t="str">
        <f>VLOOKUP(student_internships[[#This Row],[Student_ID]],student_data[],2,0)</f>
        <v>Civil</v>
      </c>
      <c r="D212" s="1" t="s">
        <v>1024</v>
      </c>
    </row>
    <row r="213" spans="1:4" x14ac:dyDescent="0.2">
      <c r="A213" s="1" t="s">
        <v>222</v>
      </c>
      <c r="B213" s="1">
        <v>0</v>
      </c>
      <c r="C213" s="1" t="str">
        <f>VLOOKUP(student_internships[[#This Row],[Student_ID]],student_data[],2,0)</f>
        <v>Civil</v>
      </c>
      <c r="D213" s="1" t="s">
        <v>1024</v>
      </c>
    </row>
    <row r="214" spans="1:4" x14ac:dyDescent="0.2">
      <c r="A214" s="1" t="s">
        <v>223</v>
      </c>
      <c r="B214" s="1">
        <v>1</v>
      </c>
      <c r="C214" s="1" t="str">
        <f>VLOOKUP(student_internships[[#This Row],[Student_ID]],student_data[],2,0)</f>
        <v>Mechanical</v>
      </c>
      <c r="D214" s="1" t="s">
        <v>1027</v>
      </c>
    </row>
    <row r="215" spans="1:4" x14ac:dyDescent="0.2">
      <c r="A215" s="1" t="s">
        <v>224</v>
      </c>
      <c r="B215" s="1">
        <v>1</v>
      </c>
      <c r="C215" s="1" t="str">
        <f>VLOOKUP(student_internships[[#This Row],[Student_ID]],student_data[],2,0)</f>
        <v>Civil</v>
      </c>
      <c r="D215" s="1" t="s">
        <v>1025</v>
      </c>
    </row>
    <row r="216" spans="1:4" x14ac:dyDescent="0.2">
      <c r="A216" s="1" t="s">
        <v>225</v>
      </c>
      <c r="B216" s="1">
        <v>1</v>
      </c>
      <c r="C216" s="1" t="str">
        <f>VLOOKUP(student_internships[[#This Row],[Student_ID]],student_data[],2,0)</f>
        <v>Mechanical</v>
      </c>
      <c r="D216" s="1" t="s">
        <v>1025</v>
      </c>
    </row>
    <row r="217" spans="1:4" x14ac:dyDescent="0.2">
      <c r="A217" s="1" t="s">
        <v>226</v>
      </c>
      <c r="B217" s="1">
        <v>0</v>
      </c>
      <c r="C217" s="1" t="str">
        <f>VLOOKUP(student_internships[[#This Row],[Student_ID]],student_data[],2,0)</f>
        <v>Electronics</v>
      </c>
      <c r="D217" s="1" t="s">
        <v>1024</v>
      </c>
    </row>
    <row r="218" spans="1:4" x14ac:dyDescent="0.2">
      <c r="A218" s="1" t="s">
        <v>227</v>
      </c>
      <c r="B218" s="1">
        <v>2</v>
      </c>
      <c r="C218" s="1" t="str">
        <f>VLOOKUP(student_internships[[#This Row],[Student_ID]],student_data[],2,0)</f>
        <v>Mechanical</v>
      </c>
      <c r="D218" s="1" t="s">
        <v>1025</v>
      </c>
    </row>
    <row r="219" spans="1:4" x14ac:dyDescent="0.2">
      <c r="A219" s="1" t="s">
        <v>228</v>
      </c>
      <c r="B219" s="1">
        <v>0</v>
      </c>
      <c r="C219" s="1" t="str">
        <f>VLOOKUP(student_internships[[#This Row],[Student_ID]],student_data[],2,0)</f>
        <v>Mechanical</v>
      </c>
      <c r="D219" s="1" t="s">
        <v>1024</v>
      </c>
    </row>
    <row r="220" spans="1:4" x14ac:dyDescent="0.2">
      <c r="A220" s="1" t="s">
        <v>229</v>
      </c>
      <c r="B220" s="1">
        <v>1</v>
      </c>
      <c r="C220" s="1" t="str">
        <f>VLOOKUP(student_internships[[#This Row],[Student_ID]],student_data[],2,0)</f>
        <v>Civil</v>
      </c>
      <c r="D220" s="1" t="s">
        <v>1023</v>
      </c>
    </row>
    <row r="221" spans="1:4" x14ac:dyDescent="0.2">
      <c r="A221" s="1" t="s">
        <v>230</v>
      </c>
      <c r="B221" s="1">
        <v>2</v>
      </c>
      <c r="C221" s="1" t="str">
        <f>VLOOKUP(student_internships[[#This Row],[Student_ID]],student_data[],2,0)</f>
        <v>Civil</v>
      </c>
      <c r="D221" s="1" t="s">
        <v>1021</v>
      </c>
    </row>
    <row r="222" spans="1:4" x14ac:dyDescent="0.2">
      <c r="A222" s="1" t="s">
        <v>231</v>
      </c>
      <c r="B222" s="1">
        <v>1</v>
      </c>
      <c r="C222" s="1" t="str">
        <f>VLOOKUP(student_internships[[#This Row],[Student_ID]],student_data[],2,0)</f>
        <v>Computer Science</v>
      </c>
      <c r="D222" s="1" t="s">
        <v>1022</v>
      </c>
    </row>
    <row r="223" spans="1:4" x14ac:dyDescent="0.2">
      <c r="A223" s="1" t="s">
        <v>232</v>
      </c>
      <c r="B223" s="1">
        <v>2</v>
      </c>
      <c r="C223" s="1" t="str">
        <f>VLOOKUP(student_internships[[#This Row],[Student_ID]],student_data[],2,0)</f>
        <v>Computer Science</v>
      </c>
      <c r="D223" s="1" t="s">
        <v>1020</v>
      </c>
    </row>
    <row r="224" spans="1:4" x14ac:dyDescent="0.2">
      <c r="A224" s="1" t="s">
        <v>233</v>
      </c>
      <c r="B224" s="1">
        <v>1</v>
      </c>
      <c r="C224" s="1" t="str">
        <f>VLOOKUP(student_internships[[#This Row],[Student_ID]],student_data[],2,0)</f>
        <v>Electronics</v>
      </c>
      <c r="D224" s="1" t="s">
        <v>1020</v>
      </c>
    </row>
    <row r="225" spans="1:4" x14ac:dyDescent="0.2">
      <c r="A225" s="1" t="s">
        <v>234</v>
      </c>
      <c r="B225" s="1">
        <v>1</v>
      </c>
      <c r="C225" s="1" t="str">
        <f>VLOOKUP(student_internships[[#This Row],[Student_ID]],student_data[],2,0)</f>
        <v>Computer Science</v>
      </c>
      <c r="D225" s="1" t="s">
        <v>1022</v>
      </c>
    </row>
    <row r="226" spans="1:4" x14ac:dyDescent="0.2">
      <c r="A226" s="1" t="s">
        <v>235</v>
      </c>
      <c r="B226" s="1">
        <v>0</v>
      </c>
      <c r="C226" s="1" t="str">
        <f>VLOOKUP(student_internships[[#This Row],[Student_ID]],student_data[],2,0)</f>
        <v>Mechanical</v>
      </c>
      <c r="D226" s="1" t="s">
        <v>1024</v>
      </c>
    </row>
    <row r="227" spans="1:4" x14ac:dyDescent="0.2">
      <c r="A227" s="1" t="s">
        <v>236</v>
      </c>
      <c r="B227" s="1">
        <v>1</v>
      </c>
      <c r="C227" s="1" t="str">
        <f>VLOOKUP(student_internships[[#This Row],[Student_ID]],student_data[],2,0)</f>
        <v>Civil</v>
      </c>
      <c r="D227" s="1" t="s">
        <v>1023</v>
      </c>
    </row>
    <row r="228" spans="1:4" x14ac:dyDescent="0.2">
      <c r="A228" s="1" t="s">
        <v>237</v>
      </c>
      <c r="B228" s="1">
        <v>0</v>
      </c>
      <c r="C228" s="1" t="str">
        <f>VLOOKUP(student_internships[[#This Row],[Student_ID]],student_data[],2,0)</f>
        <v>Computer Science</v>
      </c>
      <c r="D228" s="1" t="s">
        <v>1024</v>
      </c>
    </row>
    <row r="229" spans="1:4" x14ac:dyDescent="0.2">
      <c r="A229" s="1" t="s">
        <v>238</v>
      </c>
      <c r="B229" s="1">
        <v>0</v>
      </c>
      <c r="C229" s="1" t="str">
        <f>VLOOKUP(student_internships[[#This Row],[Student_ID]],student_data[],2,0)</f>
        <v>Computer Science</v>
      </c>
      <c r="D229" s="1" t="s">
        <v>1024</v>
      </c>
    </row>
    <row r="230" spans="1:4" x14ac:dyDescent="0.2">
      <c r="A230" s="1" t="s">
        <v>239</v>
      </c>
      <c r="B230" s="1">
        <v>3</v>
      </c>
      <c r="C230" s="1" t="str">
        <f>VLOOKUP(student_internships[[#This Row],[Student_ID]],student_data[],2,0)</f>
        <v>Electronics</v>
      </c>
      <c r="D230" s="1" t="s">
        <v>1022</v>
      </c>
    </row>
    <row r="231" spans="1:4" x14ac:dyDescent="0.2">
      <c r="A231" s="1" t="s">
        <v>240</v>
      </c>
      <c r="B231" s="1">
        <v>1</v>
      </c>
      <c r="C231" s="1" t="str">
        <f>VLOOKUP(student_internships[[#This Row],[Student_ID]],student_data[],2,0)</f>
        <v>Electronics</v>
      </c>
      <c r="D231" s="1" t="s">
        <v>1025</v>
      </c>
    </row>
    <row r="232" spans="1:4" x14ac:dyDescent="0.2">
      <c r="A232" s="1" t="s">
        <v>241</v>
      </c>
      <c r="B232" s="1">
        <v>2</v>
      </c>
      <c r="C232" s="1" t="str">
        <f>VLOOKUP(student_internships[[#This Row],[Student_ID]],student_data[],2,0)</f>
        <v>Mechanical</v>
      </c>
      <c r="D232" s="1" t="s">
        <v>1027</v>
      </c>
    </row>
    <row r="233" spans="1:4" x14ac:dyDescent="0.2">
      <c r="A233" s="1" t="s">
        <v>242</v>
      </c>
      <c r="B233" s="1">
        <v>1</v>
      </c>
      <c r="C233" s="1" t="str">
        <f>VLOOKUP(student_internships[[#This Row],[Student_ID]],student_data[],2,0)</f>
        <v>Civil</v>
      </c>
      <c r="D233" s="1" t="s">
        <v>1026</v>
      </c>
    </row>
    <row r="234" spans="1:4" x14ac:dyDescent="0.2">
      <c r="A234" s="1" t="s">
        <v>243</v>
      </c>
      <c r="B234" s="1">
        <v>2</v>
      </c>
      <c r="C234" s="1" t="str">
        <f>VLOOKUP(student_internships[[#This Row],[Student_ID]],student_data[],2,0)</f>
        <v>Electronics</v>
      </c>
      <c r="D234" s="1" t="s">
        <v>1020</v>
      </c>
    </row>
    <row r="235" spans="1:4" x14ac:dyDescent="0.2">
      <c r="A235" s="1" t="s">
        <v>244</v>
      </c>
      <c r="B235" s="1">
        <v>1</v>
      </c>
      <c r="C235" s="1" t="str">
        <f>VLOOKUP(student_internships[[#This Row],[Student_ID]],student_data[],2,0)</f>
        <v>Computer Science</v>
      </c>
      <c r="D235" s="1" t="s">
        <v>1021</v>
      </c>
    </row>
    <row r="236" spans="1:4" x14ac:dyDescent="0.2">
      <c r="A236" s="1" t="s">
        <v>245</v>
      </c>
      <c r="B236" s="1">
        <v>1</v>
      </c>
      <c r="C236" s="1" t="str">
        <f>VLOOKUP(student_internships[[#This Row],[Student_ID]],student_data[],2,0)</f>
        <v>Civil</v>
      </c>
      <c r="D236" s="1" t="s">
        <v>1021</v>
      </c>
    </row>
    <row r="237" spans="1:4" x14ac:dyDescent="0.2">
      <c r="A237" s="1" t="s">
        <v>246</v>
      </c>
      <c r="B237" s="1">
        <v>1</v>
      </c>
      <c r="C237" s="1" t="str">
        <f>VLOOKUP(student_internships[[#This Row],[Student_ID]],student_data[],2,0)</f>
        <v>Civil</v>
      </c>
      <c r="D237" s="1" t="s">
        <v>1023</v>
      </c>
    </row>
    <row r="238" spans="1:4" x14ac:dyDescent="0.2">
      <c r="A238" s="1" t="s">
        <v>247</v>
      </c>
      <c r="B238" s="1">
        <v>0</v>
      </c>
      <c r="C238" s="1" t="str">
        <f>VLOOKUP(student_internships[[#This Row],[Student_ID]],student_data[],2,0)</f>
        <v>Computer Science</v>
      </c>
      <c r="D238" s="1" t="s">
        <v>1024</v>
      </c>
    </row>
    <row r="239" spans="1:4" x14ac:dyDescent="0.2">
      <c r="A239" s="1" t="s">
        <v>248</v>
      </c>
      <c r="B239" s="1">
        <v>2</v>
      </c>
      <c r="C239" s="1" t="str">
        <f>VLOOKUP(student_internships[[#This Row],[Student_ID]],student_data[],2,0)</f>
        <v>Electronics</v>
      </c>
      <c r="D239" s="1" t="s">
        <v>1021</v>
      </c>
    </row>
    <row r="240" spans="1:4" x14ac:dyDescent="0.2">
      <c r="A240" s="1" t="s">
        <v>249</v>
      </c>
      <c r="B240" s="1">
        <v>0</v>
      </c>
      <c r="C240" s="1" t="str">
        <f>VLOOKUP(student_internships[[#This Row],[Student_ID]],student_data[],2,0)</f>
        <v>Computer Science</v>
      </c>
      <c r="D240" s="1" t="s">
        <v>1024</v>
      </c>
    </row>
    <row r="241" spans="1:4" x14ac:dyDescent="0.2">
      <c r="A241" s="1" t="s">
        <v>250</v>
      </c>
      <c r="B241" s="1">
        <v>0</v>
      </c>
      <c r="C241" s="1" t="str">
        <f>VLOOKUP(student_internships[[#This Row],[Student_ID]],student_data[],2,0)</f>
        <v>Civil</v>
      </c>
      <c r="D241" s="1" t="s">
        <v>1024</v>
      </c>
    </row>
    <row r="242" spans="1:4" x14ac:dyDescent="0.2">
      <c r="A242" s="1" t="s">
        <v>251</v>
      </c>
      <c r="B242" s="1">
        <v>1</v>
      </c>
      <c r="C242" s="1" t="str">
        <f>VLOOKUP(student_internships[[#This Row],[Student_ID]],student_data[],2,0)</f>
        <v>Information Technology</v>
      </c>
      <c r="D242" s="1" t="s">
        <v>1025</v>
      </c>
    </row>
    <row r="243" spans="1:4" x14ac:dyDescent="0.2">
      <c r="A243" s="1" t="s">
        <v>252</v>
      </c>
      <c r="B243" s="1">
        <v>0</v>
      </c>
      <c r="C243" s="1" t="str">
        <f>VLOOKUP(student_internships[[#This Row],[Student_ID]],student_data[],2,0)</f>
        <v>Information Technology</v>
      </c>
      <c r="D243" s="1" t="s">
        <v>1024</v>
      </c>
    </row>
    <row r="244" spans="1:4" x14ac:dyDescent="0.2">
      <c r="A244" s="1" t="s">
        <v>253</v>
      </c>
      <c r="B244" s="1">
        <v>3</v>
      </c>
      <c r="C244" s="1" t="str">
        <f>VLOOKUP(student_internships[[#This Row],[Student_ID]],student_data[],2,0)</f>
        <v>Mechanical</v>
      </c>
      <c r="D244" s="1" t="s">
        <v>1020</v>
      </c>
    </row>
    <row r="245" spans="1:4" x14ac:dyDescent="0.2">
      <c r="A245" s="1" t="s">
        <v>254</v>
      </c>
      <c r="B245" s="1">
        <v>3</v>
      </c>
      <c r="C245" s="1" t="str">
        <f>VLOOKUP(student_internships[[#This Row],[Student_ID]],student_data[],2,0)</f>
        <v>Computer Science</v>
      </c>
      <c r="D245" s="1" t="s">
        <v>1022</v>
      </c>
    </row>
    <row r="246" spans="1:4" x14ac:dyDescent="0.2">
      <c r="A246" s="1" t="s">
        <v>255</v>
      </c>
      <c r="B246" s="1">
        <v>3</v>
      </c>
      <c r="C246" s="1" t="str">
        <f>VLOOKUP(student_internships[[#This Row],[Student_ID]],student_data[],2,0)</f>
        <v>Computer Science</v>
      </c>
      <c r="D246" s="1" t="s">
        <v>1025</v>
      </c>
    </row>
    <row r="247" spans="1:4" x14ac:dyDescent="0.2">
      <c r="A247" s="1" t="s">
        <v>256</v>
      </c>
      <c r="B247" s="1">
        <v>1</v>
      </c>
      <c r="C247" s="1" t="str">
        <f>VLOOKUP(student_internships[[#This Row],[Student_ID]],student_data[],2,0)</f>
        <v>Mechanical</v>
      </c>
      <c r="D247" s="1" t="s">
        <v>1023</v>
      </c>
    </row>
    <row r="248" spans="1:4" x14ac:dyDescent="0.2">
      <c r="A248" s="1" t="s">
        <v>257</v>
      </c>
      <c r="B248" s="1">
        <v>0</v>
      </c>
      <c r="C248" s="1" t="str">
        <f>VLOOKUP(student_internships[[#This Row],[Student_ID]],student_data[],2,0)</f>
        <v>Mechanical</v>
      </c>
      <c r="D248" s="1" t="s">
        <v>1024</v>
      </c>
    </row>
    <row r="249" spans="1:4" x14ac:dyDescent="0.2">
      <c r="A249" s="1" t="s">
        <v>258</v>
      </c>
      <c r="B249" s="1">
        <v>3</v>
      </c>
      <c r="C249" s="1" t="str">
        <f>VLOOKUP(student_internships[[#This Row],[Student_ID]],student_data[],2,0)</f>
        <v>Mechanical</v>
      </c>
      <c r="D249" s="1" t="s">
        <v>1025</v>
      </c>
    </row>
    <row r="250" spans="1:4" x14ac:dyDescent="0.2">
      <c r="A250" s="1" t="s">
        <v>259</v>
      </c>
      <c r="B250" s="1">
        <v>1</v>
      </c>
      <c r="C250" s="1" t="str">
        <f>VLOOKUP(student_internships[[#This Row],[Student_ID]],student_data[],2,0)</f>
        <v>Civil</v>
      </c>
      <c r="D250" s="1" t="s">
        <v>1022</v>
      </c>
    </row>
    <row r="251" spans="1:4" x14ac:dyDescent="0.2">
      <c r="A251" s="1" t="s">
        <v>260</v>
      </c>
      <c r="B251" s="1">
        <v>3</v>
      </c>
      <c r="C251" s="1" t="str">
        <f>VLOOKUP(student_internships[[#This Row],[Student_ID]],student_data[],2,0)</f>
        <v>Computer Science</v>
      </c>
      <c r="D251" s="1" t="s">
        <v>1027</v>
      </c>
    </row>
    <row r="252" spans="1:4" x14ac:dyDescent="0.2">
      <c r="A252" s="1" t="s">
        <v>261</v>
      </c>
      <c r="B252" s="1">
        <v>3</v>
      </c>
      <c r="C252" s="1" t="str">
        <f>VLOOKUP(student_internships[[#This Row],[Student_ID]],student_data[],2,0)</f>
        <v>Civil</v>
      </c>
      <c r="D252" s="1" t="s">
        <v>1023</v>
      </c>
    </row>
    <row r="253" spans="1:4" x14ac:dyDescent="0.2">
      <c r="A253" s="1" t="s">
        <v>262</v>
      </c>
      <c r="B253" s="1">
        <v>2</v>
      </c>
      <c r="C253" s="1" t="str">
        <f>VLOOKUP(student_internships[[#This Row],[Student_ID]],student_data[],2,0)</f>
        <v>Mechanical</v>
      </c>
      <c r="D253" s="1" t="s">
        <v>1027</v>
      </c>
    </row>
    <row r="254" spans="1:4" x14ac:dyDescent="0.2">
      <c r="A254" s="1" t="s">
        <v>263</v>
      </c>
      <c r="B254" s="1">
        <v>0</v>
      </c>
      <c r="C254" s="1" t="str">
        <f>VLOOKUP(student_internships[[#This Row],[Student_ID]],student_data[],2,0)</f>
        <v>Computer Science</v>
      </c>
      <c r="D254" s="1" t="s">
        <v>1024</v>
      </c>
    </row>
    <row r="255" spans="1:4" x14ac:dyDescent="0.2">
      <c r="A255" s="1" t="s">
        <v>264</v>
      </c>
      <c r="B255" s="1">
        <v>1</v>
      </c>
      <c r="C255" s="1" t="str">
        <f>VLOOKUP(student_internships[[#This Row],[Student_ID]],student_data[],2,0)</f>
        <v>Civil</v>
      </c>
      <c r="D255" s="1" t="s">
        <v>1026</v>
      </c>
    </row>
    <row r="256" spans="1:4" x14ac:dyDescent="0.2">
      <c r="A256" s="1" t="s">
        <v>265</v>
      </c>
      <c r="B256" s="1">
        <v>2</v>
      </c>
      <c r="C256" s="1" t="str">
        <f>VLOOKUP(student_internships[[#This Row],[Student_ID]],student_data[],2,0)</f>
        <v>Civil</v>
      </c>
      <c r="D256" s="1" t="s">
        <v>1027</v>
      </c>
    </row>
    <row r="257" spans="1:4" x14ac:dyDescent="0.2">
      <c r="A257" s="1" t="s">
        <v>266</v>
      </c>
      <c r="B257" s="1">
        <v>1</v>
      </c>
      <c r="C257" s="1" t="str">
        <f>VLOOKUP(student_internships[[#This Row],[Student_ID]],student_data[],2,0)</f>
        <v>Mechanical</v>
      </c>
      <c r="D257" s="1" t="s">
        <v>1026</v>
      </c>
    </row>
    <row r="258" spans="1:4" x14ac:dyDescent="0.2">
      <c r="A258" s="1" t="s">
        <v>267</v>
      </c>
      <c r="B258" s="1">
        <v>0</v>
      </c>
      <c r="C258" s="1" t="str">
        <f>VLOOKUP(student_internships[[#This Row],[Student_ID]],student_data[],2,0)</f>
        <v>Computer Science</v>
      </c>
      <c r="D258" s="1" t="s">
        <v>1024</v>
      </c>
    </row>
    <row r="259" spans="1:4" x14ac:dyDescent="0.2">
      <c r="A259" s="1" t="s">
        <v>268</v>
      </c>
      <c r="B259" s="1">
        <v>1</v>
      </c>
      <c r="C259" s="1" t="str">
        <f>VLOOKUP(student_internships[[#This Row],[Student_ID]],student_data[],2,0)</f>
        <v>Mechanical</v>
      </c>
      <c r="D259" s="1" t="s">
        <v>1026</v>
      </c>
    </row>
    <row r="260" spans="1:4" x14ac:dyDescent="0.2">
      <c r="A260" s="1" t="s">
        <v>269</v>
      </c>
      <c r="B260" s="1">
        <v>3</v>
      </c>
      <c r="C260" s="1" t="str">
        <f>VLOOKUP(student_internships[[#This Row],[Student_ID]],student_data[],2,0)</f>
        <v>Computer Science</v>
      </c>
      <c r="D260" s="1" t="s">
        <v>1027</v>
      </c>
    </row>
    <row r="261" spans="1:4" x14ac:dyDescent="0.2">
      <c r="A261" s="1" t="s">
        <v>270</v>
      </c>
      <c r="B261" s="1">
        <v>1</v>
      </c>
      <c r="C261" s="1" t="str">
        <f>VLOOKUP(student_internships[[#This Row],[Student_ID]],student_data[],2,0)</f>
        <v>Information Technology</v>
      </c>
      <c r="D261" s="1" t="s">
        <v>1023</v>
      </c>
    </row>
    <row r="262" spans="1:4" x14ac:dyDescent="0.2">
      <c r="A262" s="1" t="s">
        <v>271</v>
      </c>
      <c r="B262" s="1">
        <v>1</v>
      </c>
      <c r="C262" s="1" t="str">
        <f>VLOOKUP(student_internships[[#This Row],[Student_ID]],student_data[],2,0)</f>
        <v>Electronics</v>
      </c>
      <c r="D262" s="1" t="s">
        <v>1022</v>
      </c>
    </row>
    <row r="263" spans="1:4" x14ac:dyDescent="0.2">
      <c r="A263" s="1" t="s">
        <v>272</v>
      </c>
      <c r="B263" s="1">
        <v>0</v>
      </c>
      <c r="C263" s="1" t="str">
        <f>VLOOKUP(student_internships[[#This Row],[Student_ID]],student_data[],2,0)</f>
        <v>Electronics</v>
      </c>
      <c r="D263" s="1" t="s">
        <v>1024</v>
      </c>
    </row>
    <row r="264" spans="1:4" x14ac:dyDescent="0.2">
      <c r="A264" s="1" t="s">
        <v>273</v>
      </c>
      <c r="B264" s="1">
        <v>1</v>
      </c>
      <c r="C264" s="1" t="str">
        <f>VLOOKUP(student_internships[[#This Row],[Student_ID]],student_data[],2,0)</f>
        <v>Electronics</v>
      </c>
      <c r="D264" s="1" t="s">
        <v>1025</v>
      </c>
    </row>
    <row r="265" spans="1:4" x14ac:dyDescent="0.2">
      <c r="A265" s="1" t="s">
        <v>274</v>
      </c>
      <c r="B265" s="1">
        <v>3</v>
      </c>
      <c r="C265" s="1" t="str">
        <f>VLOOKUP(student_internships[[#This Row],[Student_ID]],student_data[],2,0)</f>
        <v>Mechanical</v>
      </c>
      <c r="D265" s="1" t="s">
        <v>1025</v>
      </c>
    </row>
    <row r="266" spans="1:4" x14ac:dyDescent="0.2">
      <c r="A266" s="1" t="s">
        <v>275</v>
      </c>
      <c r="B266" s="1">
        <v>0</v>
      </c>
      <c r="C266" s="1" t="str">
        <f>VLOOKUP(student_internships[[#This Row],[Student_ID]],student_data[],2,0)</f>
        <v>Information Technology</v>
      </c>
      <c r="D266" s="1" t="s">
        <v>1024</v>
      </c>
    </row>
    <row r="267" spans="1:4" x14ac:dyDescent="0.2">
      <c r="A267" s="1" t="s">
        <v>276</v>
      </c>
      <c r="B267" s="1">
        <v>1</v>
      </c>
      <c r="C267" s="1" t="str">
        <f>VLOOKUP(student_internships[[#This Row],[Student_ID]],student_data[],2,0)</f>
        <v>Computer Science</v>
      </c>
      <c r="D267" s="1" t="s">
        <v>1022</v>
      </c>
    </row>
    <row r="268" spans="1:4" x14ac:dyDescent="0.2">
      <c r="A268" s="1" t="s">
        <v>277</v>
      </c>
      <c r="B268" s="1">
        <v>2</v>
      </c>
      <c r="C268" s="1" t="str">
        <f>VLOOKUP(student_internships[[#This Row],[Student_ID]],student_data[],2,0)</f>
        <v>Civil</v>
      </c>
      <c r="D268" s="1" t="s">
        <v>1020</v>
      </c>
    </row>
    <row r="269" spans="1:4" x14ac:dyDescent="0.2">
      <c r="A269" s="1" t="s">
        <v>278</v>
      </c>
      <c r="B269" s="1">
        <v>2</v>
      </c>
      <c r="C269" s="1" t="str">
        <f>VLOOKUP(student_internships[[#This Row],[Student_ID]],student_data[],2,0)</f>
        <v>Computer Science</v>
      </c>
      <c r="D269" s="1" t="s">
        <v>1020</v>
      </c>
    </row>
    <row r="270" spans="1:4" x14ac:dyDescent="0.2">
      <c r="A270" s="1" t="s">
        <v>279</v>
      </c>
      <c r="B270" s="1">
        <v>1</v>
      </c>
      <c r="C270" s="1" t="str">
        <f>VLOOKUP(student_internships[[#This Row],[Student_ID]],student_data[],2,0)</f>
        <v>Civil</v>
      </c>
      <c r="D270" s="1" t="s">
        <v>1026</v>
      </c>
    </row>
    <row r="271" spans="1:4" x14ac:dyDescent="0.2">
      <c r="A271" s="1" t="s">
        <v>280</v>
      </c>
      <c r="B271" s="1">
        <v>2</v>
      </c>
      <c r="C271" s="1" t="str">
        <f>VLOOKUP(student_internships[[#This Row],[Student_ID]],student_data[],2,0)</f>
        <v>Computer Science</v>
      </c>
      <c r="D271" s="1" t="s">
        <v>1026</v>
      </c>
    </row>
    <row r="272" spans="1:4" x14ac:dyDescent="0.2">
      <c r="A272" s="1" t="s">
        <v>281</v>
      </c>
      <c r="B272" s="1">
        <v>1</v>
      </c>
      <c r="C272" s="1" t="str">
        <f>VLOOKUP(student_internships[[#This Row],[Student_ID]],student_data[],2,0)</f>
        <v>Information Technology</v>
      </c>
      <c r="D272" s="1" t="s">
        <v>1023</v>
      </c>
    </row>
    <row r="273" spans="1:4" x14ac:dyDescent="0.2">
      <c r="A273" s="1" t="s">
        <v>282</v>
      </c>
      <c r="B273" s="1">
        <v>0</v>
      </c>
      <c r="C273" s="1" t="str">
        <f>VLOOKUP(student_internships[[#This Row],[Student_ID]],student_data[],2,0)</f>
        <v>Civil</v>
      </c>
      <c r="D273" s="1" t="s">
        <v>1024</v>
      </c>
    </row>
    <row r="274" spans="1:4" x14ac:dyDescent="0.2">
      <c r="A274" s="1" t="s">
        <v>283</v>
      </c>
      <c r="B274" s="1">
        <v>2</v>
      </c>
      <c r="C274" s="1" t="str">
        <f>VLOOKUP(student_internships[[#This Row],[Student_ID]],student_data[],2,0)</f>
        <v>Mechanical</v>
      </c>
      <c r="D274" s="1" t="s">
        <v>1021</v>
      </c>
    </row>
    <row r="275" spans="1:4" x14ac:dyDescent="0.2">
      <c r="A275" s="1" t="s">
        <v>284</v>
      </c>
      <c r="B275" s="1">
        <v>2</v>
      </c>
      <c r="C275" s="1" t="str">
        <f>VLOOKUP(student_internships[[#This Row],[Student_ID]],student_data[],2,0)</f>
        <v>Computer Science</v>
      </c>
      <c r="D275" s="1" t="s">
        <v>1027</v>
      </c>
    </row>
    <row r="276" spans="1:4" x14ac:dyDescent="0.2">
      <c r="A276" s="1" t="s">
        <v>285</v>
      </c>
      <c r="B276" s="1">
        <v>2</v>
      </c>
      <c r="C276" s="1" t="str">
        <f>VLOOKUP(student_internships[[#This Row],[Student_ID]],student_data[],2,0)</f>
        <v>Computer Science</v>
      </c>
      <c r="D276" s="1" t="s">
        <v>1026</v>
      </c>
    </row>
    <row r="277" spans="1:4" x14ac:dyDescent="0.2">
      <c r="A277" s="1" t="s">
        <v>286</v>
      </c>
      <c r="B277" s="1">
        <v>3</v>
      </c>
      <c r="C277" s="1" t="str">
        <f>VLOOKUP(student_internships[[#This Row],[Student_ID]],student_data[],2,0)</f>
        <v>Civil</v>
      </c>
      <c r="D277" s="1" t="s">
        <v>1025</v>
      </c>
    </row>
    <row r="278" spans="1:4" x14ac:dyDescent="0.2">
      <c r="A278" s="1" t="s">
        <v>287</v>
      </c>
      <c r="B278" s="1">
        <v>1</v>
      </c>
      <c r="C278" s="1" t="str">
        <f>VLOOKUP(student_internships[[#This Row],[Student_ID]],student_data[],2,0)</f>
        <v>Mechanical</v>
      </c>
      <c r="D278" s="1" t="s">
        <v>1023</v>
      </c>
    </row>
    <row r="279" spans="1:4" x14ac:dyDescent="0.2">
      <c r="A279" s="1" t="s">
        <v>288</v>
      </c>
      <c r="B279" s="1">
        <v>1</v>
      </c>
      <c r="C279" s="1" t="str">
        <f>VLOOKUP(student_internships[[#This Row],[Student_ID]],student_data[],2,0)</f>
        <v>Mechanical</v>
      </c>
      <c r="D279" s="1" t="s">
        <v>1027</v>
      </c>
    </row>
    <row r="280" spans="1:4" x14ac:dyDescent="0.2">
      <c r="A280" s="1" t="s">
        <v>289</v>
      </c>
      <c r="B280" s="1">
        <v>2</v>
      </c>
      <c r="C280" s="1" t="str">
        <f>VLOOKUP(student_internships[[#This Row],[Student_ID]],student_data[],2,0)</f>
        <v>Information Technology</v>
      </c>
      <c r="D280" s="1" t="s">
        <v>1023</v>
      </c>
    </row>
    <row r="281" spans="1:4" x14ac:dyDescent="0.2">
      <c r="A281" s="1" t="s">
        <v>290</v>
      </c>
      <c r="B281" s="1">
        <v>1</v>
      </c>
      <c r="C281" s="1" t="str">
        <f>VLOOKUP(student_internships[[#This Row],[Student_ID]],student_data[],2,0)</f>
        <v>Mechanical</v>
      </c>
      <c r="D281" s="1" t="s">
        <v>1027</v>
      </c>
    </row>
    <row r="282" spans="1:4" x14ac:dyDescent="0.2">
      <c r="A282" s="1" t="s">
        <v>291</v>
      </c>
      <c r="B282" s="1">
        <v>2</v>
      </c>
      <c r="C282" s="1" t="str">
        <f>VLOOKUP(student_internships[[#This Row],[Student_ID]],student_data[],2,0)</f>
        <v>Mechanical</v>
      </c>
      <c r="D282" s="1" t="s">
        <v>1027</v>
      </c>
    </row>
    <row r="283" spans="1:4" x14ac:dyDescent="0.2">
      <c r="A283" s="1" t="s">
        <v>292</v>
      </c>
      <c r="B283" s="1">
        <v>2</v>
      </c>
      <c r="C283" s="1" t="str">
        <f>VLOOKUP(student_internships[[#This Row],[Student_ID]],student_data[],2,0)</f>
        <v>Mechanical</v>
      </c>
      <c r="D283" s="1" t="s">
        <v>1022</v>
      </c>
    </row>
    <row r="284" spans="1:4" x14ac:dyDescent="0.2">
      <c r="A284" s="1" t="s">
        <v>293</v>
      </c>
      <c r="B284" s="1">
        <v>2</v>
      </c>
      <c r="C284" s="1" t="str">
        <f>VLOOKUP(student_internships[[#This Row],[Student_ID]],student_data[],2,0)</f>
        <v>Electronics</v>
      </c>
      <c r="D284" s="1" t="s">
        <v>1026</v>
      </c>
    </row>
    <row r="285" spans="1:4" x14ac:dyDescent="0.2">
      <c r="A285" s="1" t="s">
        <v>294</v>
      </c>
      <c r="B285" s="1">
        <v>1</v>
      </c>
      <c r="C285" s="1" t="str">
        <f>VLOOKUP(student_internships[[#This Row],[Student_ID]],student_data[],2,0)</f>
        <v>Information Technology</v>
      </c>
      <c r="D285" s="1" t="s">
        <v>1023</v>
      </c>
    </row>
    <row r="286" spans="1:4" x14ac:dyDescent="0.2">
      <c r="A286" s="1" t="s">
        <v>295</v>
      </c>
      <c r="B286" s="1">
        <v>1</v>
      </c>
      <c r="C286" s="1" t="str">
        <f>VLOOKUP(student_internships[[#This Row],[Student_ID]],student_data[],2,0)</f>
        <v>Computer Science</v>
      </c>
      <c r="D286" s="1" t="s">
        <v>1023</v>
      </c>
    </row>
    <row r="287" spans="1:4" x14ac:dyDescent="0.2">
      <c r="A287" s="1" t="s">
        <v>296</v>
      </c>
      <c r="B287" s="1">
        <v>0</v>
      </c>
      <c r="C287" s="1" t="str">
        <f>VLOOKUP(student_internships[[#This Row],[Student_ID]],student_data[],2,0)</f>
        <v>Civil</v>
      </c>
      <c r="D287" s="1" t="s">
        <v>1024</v>
      </c>
    </row>
    <row r="288" spans="1:4" x14ac:dyDescent="0.2">
      <c r="A288" s="1" t="s">
        <v>297</v>
      </c>
      <c r="B288" s="1">
        <v>1</v>
      </c>
      <c r="C288" s="1" t="str">
        <f>VLOOKUP(student_internships[[#This Row],[Student_ID]],student_data[],2,0)</f>
        <v>Computer Science</v>
      </c>
      <c r="D288" s="1" t="s">
        <v>1022</v>
      </c>
    </row>
    <row r="289" spans="1:4" x14ac:dyDescent="0.2">
      <c r="A289" s="1" t="s">
        <v>298</v>
      </c>
      <c r="B289" s="1">
        <v>0</v>
      </c>
      <c r="C289" s="1" t="str">
        <f>VLOOKUP(student_internships[[#This Row],[Student_ID]],student_data[],2,0)</f>
        <v>Information Technology</v>
      </c>
      <c r="D289" s="1" t="s">
        <v>1024</v>
      </c>
    </row>
    <row r="290" spans="1:4" x14ac:dyDescent="0.2">
      <c r="A290" s="1" t="s">
        <v>299</v>
      </c>
      <c r="B290" s="1">
        <v>1</v>
      </c>
      <c r="C290" s="1" t="str">
        <f>VLOOKUP(student_internships[[#This Row],[Student_ID]],student_data[],2,0)</f>
        <v>Civil</v>
      </c>
      <c r="D290" s="1" t="s">
        <v>1025</v>
      </c>
    </row>
    <row r="291" spans="1:4" x14ac:dyDescent="0.2">
      <c r="A291" s="1" t="s">
        <v>300</v>
      </c>
      <c r="B291" s="1">
        <v>1</v>
      </c>
      <c r="C291" s="1" t="str">
        <f>VLOOKUP(student_internships[[#This Row],[Student_ID]],student_data[],2,0)</f>
        <v>Information Technology</v>
      </c>
      <c r="D291" s="1" t="s">
        <v>1025</v>
      </c>
    </row>
    <row r="292" spans="1:4" x14ac:dyDescent="0.2">
      <c r="A292" s="1" t="s">
        <v>301</v>
      </c>
      <c r="B292" s="1">
        <v>0</v>
      </c>
      <c r="C292" s="1" t="str">
        <f>VLOOKUP(student_internships[[#This Row],[Student_ID]],student_data[],2,0)</f>
        <v>Mechanical</v>
      </c>
      <c r="D292" s="1" t="s">
        <v>1024</v>
      </c>
    </row>
    <row r="293" spans="1:4" x14ac:dyDescent="0.2">
      <c r="A293" s="1" t="s">
        <v>302</v>
      </c>
      <c r="B293" s="1">
        <v>1</v>
      </c>
      <c r="C293" s="1" t="str">
        <f>VLOOKUP(student_internships[[#This Row],[Student_ID]],student_data[],2,0)</f>
        <v>Civil</v>
      </c>
      <c r="D293" s="1" t="s">
        <v>1020</v>
      </c>
    </row>
    <row r="294" spans="1:4" x14ac:dyDescent="0.2">
      <c r="A294" s="1" t="s">
        <v>303</v>
      </c>
      <c r="B294" s="1">
        <v>0</v>
      </c>
      <c r="C294" s="1" t="str">
        <f>VLOOKUP(student_internships[[#This Row],[Student_ID]],student_data[],2,0)</f>
        <v>Mechanical</v>
      </c>
      <c r="D294" s="1" t="s">
        <v>1024</v>
      </c>
    </row>
    <row r="295" spans="1:4" x14ac:dyDescent="0.2">
      <c r="A295" s="1" t="s">
        <v>304</v>
      </c>
      <c r="B295" s="1">
        <v>0</v>
      </c>
      <c r="C295" s="1" t="str">
        <f>VLOOKUP(student_internships[[#This Row],[Student_ID]],student_data[],2,0)</f>
        <v>Computer Science</v>
      </c>
      <c r="D295" s="1" t="s">
        <v>1024</v>
      </c>
    </row>
    <row r="296" spans="1:4" x14ac:dyDescent="0.2">
      <c r="A296" s="1" t="s">
        <v>305</v>
      </c>
      <c r="B296" s="1">
        <v>2</v>
      </c>
      <c r="C296" s="1" t="str">
        <f>VLOOKUP(student_internships[[#This Row],[Student_ID]],student_data[],2,0)</f>
        <v>Computer Science</v>
      </c>
      <c r="D296" s="1" t="s">
        <v>1026</v>
      </c>
    </row>
    <row r="297" spans="1:4" x14ac:dyDescent="0.2">
      <c r="A297" s="1" t="s">
        <v>306</v>
      </c>
      <c r="B297" s="1">
        <v>1</v>
      </c>
      <c r="C297" s="1" t="str">
        <f>VLOOKUP(student_internships[[#This Row],[Student_ID]],student_data[],2,0)</f>
        <v>Civil</v>
      </c>
      <c r="D297" s="1" t="s">
        <v>1026</v>
      </c>
    </row>
    <row r="298" spans="1:4" x14ac:dyDescent="0.2">
      <c r="A298" s="1" t="s">
        <v>307</v>
      </c>
      <c r="B298" s="1">
        <v>0</v>
      </c>
      <c r="C298" s="1" t="str">
        <f>VLOOKUP(student_internships[[#This Row],[Student_ID]],student_data[],2,0)</f>
        <v>Civil</v>
      </c>
      <c r="D298" s="1" t="s">
        <v>1024</v>
      </c>
    </row>
    <row r="299" spans="1:4" x14ac:dyDescent="0.2">
      <c r="A299" s="1" t="s">
        <v>308</v>
      </c>
      <c r="B299" s="1">
        <v>1</v>
      </c>
      <c r="C299" s="1" t="str">
        <f>VLOOKUP(student_internships[[#This Row],[Student_ID]],student_data[],2,0)</f>
        <v>Information Technology</v>
      </c>
      <c r="D299" s="1" t="s">
        <v>1021</v>
      </c>
    </row>
    <row r="300" spans="1:4" x14ac:dyDescent="0.2">
      <c r="A300" s="1" t="s">
        <v>309</v>
      </c>
      <c r="B300" s="1">
        <v>2</v>
      </c>
      <c r="C300" s="1" t="str">
        <f>VLOOKUP(student_internships[[#This Row],[Student_ID]],student_data[],2,0)</f>
        <v>Information Technology</v>
      </c>
      <c r="D300" s="1" t="s">
        <v>1022</v>
      </c>
    </row>
    <row r="301" spans="1:4" x14ac:dyDescent="0.2">
      <c r="A301" s="1" t="s">
        <v>310</v>
      </c>
      <c r="B301" s="1">
        <v>0</v>
      </c>
      <c r="C301" s="1" t="str">
        <f>VLOOKUP(student_internships[[#This Row],[Student_ID]],student_data[],2,0)</f>
        <v>Mechanical</v>
      </c>
      <c r="D301" s="1" t="s">
        <v>1024</v>
      </c>
    </row>
    <row r="302" spans="1:4" x14ac:dyDescent="0.2">
      <c r="A302" s="1" t="s">
        <v>311</v>
      </c>
      <c r="B302" s="1">
        <v>1</v>
      </c>
      <c r="C302" s="1" t="str">
        <f>VLOOKUP(student_internships[[#This Row],[Student_ID]],student_data[],2,0)</f>
        <v>Civil</v>
      </c>
      <c r="D302" s="1" t="s">
        <v>1025</v>
      </c>
    </row>
    <row r="303" spans="1:4" x14ac:dyDescent="0.2">
      <c r="A303" s="1" t="s">
        <v>312</v>
      </c>
      <c r="B303" s="1">
        <v>0</v>
      </c>
      <c r="C303" s="1" t="str">
        <f>VLOOKUP(student_internships[[#This Row],[Student_ID]],student_data[],2,0)</f>
        <v>Computer Science</v>
      </c>
      <c r="D303" s="1" t="s">
        <v>1024</v>
      </c>
    </row>
    <row r="304" spans="1:4" x14ac:dyDescent="0.2">
      <c r="A304" s="1" t="s">
        <v>313</v>
      </c>
      <c r="B304" s="1">
        <v>0</v>
      </c>
      <c r="C304" s="1" t="str">
        <f>VLOOKUP(student_internships[[#This Row],[Student_ID]],student_data[],2,0)</f>
        <v>Information Technology</v>
      </c>
      <c r="D304" s="1" t="s">
        <v>1024</v>
      </c>
    </row>
    <row r="305" spans="1:4" x14ac:dyDescent="0.2">
      <c r="A305" s="1" t="s">
        <v>314</v>
      </c>
      <c r="B305" s="1">
        <v>1</v>
      </c>
      <c r="C305" s="1" t="str">
        <f>VLOOKUP(student_internships[[#This Row],[Student_ID]],student_data[],2,0)</f>
        <v>Information Technology</v>
      </c>
      <c r="D305" s="1" t="s">
        <v>1027</v>
      </c>
    </row>
    <row r="306" spans="1:4" x14ac:dyDescent="0.2">
      <c r="A306" s="1" t="s">
        <v>315</v>
      </c>
      <c r="B306" s="1">
        <v>1</v>
      </c>
      <c r="C306" s="1" t="str">
        <f>VLOOKUP(student_internships[[#This Row],[Student_ID]],student_data[],2,0)</f>
        <v>Computer Science</v>
      </c>
      <c r="D306" s="1" t="s">
        <v>1023</v>
      </c>
    </row>
    <row r="307" spans="1:4" x14ac:dyDescent="0.2">
      <c r="A307" s="1" t="s">
        <v>316</v>
      </c>
      <c r="B307" s="1">
        <v>1</v>
      </c>
      <c r="C307" s="1" t="str">
        <f>VLOOKUP(student_internships[[#This Row],[Student_ID]],student_data[],2,0)</f>
        <v>Information Technology</v>
      </c>
      <c r="D307" s="1" t="s">
        <v>1026</v>
      </c>
    </row>
    <row r="308" spans="1:4" x14ac:dyDescent="0.2">
      <c r="A308" s="1" t="s">
        <v>317</v>
      </c>
      <c r="B308" s="1">
        <v>2</v>
      </c>
      <c r="C308" s="1" t="str">
        <f>VLOOKUP(student_internships[[#This Row],[Student_ID]],student_data[],2,0)</f>
        <v>Mechanical</v>
      </c>
      <c r="D308" s="1" t="s">
        <v>1023</v>
      </c>
    </row>
    <row r="309" spans="1:4" x14ac:dyDescent="0.2">
      <c r="A309" s="1" t="s">
        <v>318</v>
      </c>
      <c r="B309" s="1">
        <v>3</v>
      </c>
      <c r="C309" s="1" t="str">
        <f>VLOOKUP(student_internships[[#This Row],[Student_ID]],student_data[],2,0)</f>
        <v>Civil</v>
      </c>
      <c r="D309" s="1" t="s">
        <v>1023</v>
      </c>
    </row>
    <row r="310" spans="1:4" x14ac:dyDescent="0.2">
      <c r="A310" s="1" t="s">
        <v>319</v>
      </c>
      <c r="B310" s="1">
        <v>1</v>
      </c>
      <c r="C310" s="1" t="str">
        <f>VLOOKUP(student_internships[[#This Row],[Student_ID]],student_data[],2,0)</f>
        <v>Computer Science</v>
      </c>
      <c r="D310" s="1" t="s">
        <v>1021</v>
      </c>
    </row>
    <row r="311" spans="1:4" x14ac:dyDescent="0.2">
      <c r="A311" s="1" t="s">
        <v>320</v>
      </c>
      <c r="B311" s="1">
        <v>1</v>
      </c>
      <c r="C311" s="1" t="str">
        <f>VLOOKUP(student_internships[[#This Row],[Student_ID]],student_data[],2,0)</f>
        <v>Civil</v>
      </c>
      <c r="D311" s="1" t="s">
        <v>1025</v>
      </c>
    </row>
    <row r="312" spans="1:4" x14ac:dyDescent="0.2">
      <c r="A312" s="1" t="s">
        <v>321</v>
      </c>
      <c r="B312" s="1">
        <v>2</v>
      </c>
      <c r="C312" s="1" t="str">
        <f>VLOOKUP(student_internships[[#This Row],[Student_ID]],student_data[],2,0)</f>
        <v>Information Technology</v>
      </c>
      <c r="D312" s="1" t="s">
        <v>1026</v>
      </c>
    </row>
    <row r="313" spans="1:4" x14ac:dyDescent="0.2">
      <c r="A313" s="1" t="s">
        <v>322</v>
      </c>
      <c r="B313" s="1">
        <v>0</v>
      </c>
      <c r="C313" s="1" t="str">
        <f>VLOOKUP(student_internships[[#This Row],[Student_ID]],student_data[],2,0)</f>
        <v>Information Technology</v>
      </c>
      <c r="D313" s="1" t="s">
        <v>1024</v>
      </c>
    </row>
    <row r="314" spans="1:4" x14ac:dyDescent="0.2">
      <c r="A314" s="1" t="s">
        <v>323</v>
      </c>
      <c r="B314" s="1">
        <v>1</v>
      </c>
      <c r="C314" s="1" t="str">
        <f>VLOOKUP(student_internships[[#This Row],[Student_ID]],student_data[],2,0)</f>
        <v>Computer Science</v>
      </c>
      <c r="D314" s="1" t="s">
        <v>1023</v>
      </c>
    </row>
    <row r="315" spans="1:4" x14ac:dyDescent="0.2">
      <c r="A315" s="1" t="s">
        <v>324</v>
      </c>
      <c r="B315" s="1">
        <v>0</v>
      </c>
      <c r="C315" s="1" t="str">
        <f>VLOOKUP(student_internships[[#This Row],[Student_ID]],student_data[],2,0)</f>
        <v>Mechanical</v>
      </c>
      <c r="D315" s="1" t="s">
        <v>1024</v>
      </c>
    </row>
    <row r="316" spans="1:4" x14ac:dyDescent="0.2">
      <c r="A316" s="1" t="s">
        <v>325</v>
      </c>
      <c r="B316" s="1">
        <v>0</v>
      </c>
      <c r="C316" s="1" t="str">
        <f>VLOOKUP(student_internships[[#This Row],[Student_ID]],student_data[],2,0)</f>
        <v>Electronics</v>
      </c>
      <c r="D316" s="1" t="s">
        <v>1024</v>
      </c>
    </row>
    <row r="317" spans="1:4" x14ac:dyDescent="0.2">
      <c r="A317" s="1" t="s">
        <v>326</v>
      </c>
      <c r="B317" s="1">
        <v>3</v>
      </c>
      <c r="C317" s="1" t="str">
        <f>VLOOKUP(student_internships[[#This Row],[Student_ID]],student_data[],2,0)</f>
        <v>Computer Science</v>
      </c>
      <c r="D317" s="1" t="s">
        <v>1026</v>
      </c>
    </row>
    <row r="318" spans="1:4" x14ac:dyDescent="0.2">
      <c r="A318" s="1" t="s">
        <v>327</v>
      </c>
      <c r="B318" s="1">
        <v>2</v>
      </c>
      <c r="C318" s="1" t="str">
        <f>VLOOKUP(student_internships[[#This Row],[Student_ID]],student_data[],2,0)</f>
        <v>Electronics</v>
      </c>
      <c r="D318" s="1" t="s">
        <v>1027</v>
      </c>
    </row>
    <row r="319" spans="1:4" x14ac:dyDescent="0.2">
      <c r="A319" s="1" t="s">
        <v>328</v>
      </c>
      <c r="B319" s="1">
        <v>1</v>
      </c>
      <c r="C319" s="1" t="str">
        <f>VLOOKUP(student_internships[[#This Row],[Student_ID]],student_data[],2,0)</f>
        <v>Electronics</v>
      </c>
      <c r="D319" s="1" t="s">
        <v>1021</v>
      </c>
    </row>
    <row r="320" spans="1:4" x14ac:dyDescent="0.2">
      <c r="A320" s="1" t="s">
        <v>329</v>
      </c>
      <c r="B320" s="1">
        <v>1</v>
      </c>
      <c r="C320" s="1" t="str">
        <f>VLOOKUP(student_internships[[#This Row],[Student_ID]],student_data[],2,0)</f>
        <v>Mechanical</v>
      </c>
      <c r="D320" s="1" t="s">
        <v>1027</v>
      </c>
    </row>
    <row r="321" spans="1:4" x14ac:dyDescent="0.2">
      <c r="A321" s="1" t="s">
        <v>330</v>
      </c>
      <c r="B321" s="1">
        <v>0</v>
      </c>
      <c r="C321" s="1" t="str">
        <f>VLOOKUP(student_internships[[#This Row],[Student_ID]],student_data[],2,0)</f>
        <v>Electronics</v>
      </c>
      <c r="D321" s="1" t="s">
        <v>1024</v>
      </c>
    </row>
    <row r="322" spans="1:4" x14ac:dyDescent="0.2">
      <c r="A322" s="1" t="s">
        <v>331</v>
      </c>
      <c r="B322" s="1">
        <v>0</v>
      </c>
      <c r="C322" s="1" t="str">
        <f>VLOOKUP(student_internships[[#This Row],[Student_ID]],student_data[],2,0)</f>
        <v>Electronics</v>
      </c>
      <c r="D322" s="1" t="s">
        <v>1024</v>
      </c>
    </row>
    <row r="323" spans="1:4" x14ac:dyDescent="0.2">
      <c r="A323" s="1" t="s">
        <v>332</v>
      </c>
      <c r="B323" s="1">
        <v>0</v>
      </c>
      <c r="C323" s="1" t="str">
        <f>VLOOKUP(student_internships[[#This Row],[Student_ID]],student_data[],2,0)</f>
        <v>Mechanical</v>
      </c>
      <c r="D323" s="1" t="s">
        <v>1024</v>
      </c>
    </row>
    <row r="324" spans="1:4" x14ac:dyDescent="0.2">
      <c r="A324" s="1" t="s">
        <v>333</v>
      </c>
      <c r="B324" s="1">
        <v>1</v>
      </c>
      <c r="C324" s="1" t="str">
        <f>VLOOKUP(student_internships[[#This Row],[Student_ID]],student_data[],2,0)</f>
        <v>Electronics</v>
      </c>
      <c r="D324" s="1" t="s">
        <v>1026</v>
      </c>
    </row>
    <row r="325" spans="1:4" x14ac:dyDescent="0.2">
      <c r="A325" s="1" t="s">
        <v>334</v>
      </c>
      <c r="B325" s="1">
        <v>2</v>
      </c>
      <c r="C325" s="1" t="str">
        <f>VLOOKUP(student_internships[[#This Row],[Student_ID]],student_data[],2,0)</f>
        <v>Electronics</v>
      </c>
      <c r="D325" s="1" t="s">
        <v>1020</v>
      </c>
    </row>
    <row r="326" spans="1:4" x14ac:dyDescent="0.2">
      <c r="A326" s="1" t="s">
        <v>335</v>
      </c>
      <c r="B326" s="1">
        <v>1</v>
      </c>
      <c r="C326" s="1" t="str">
        <f>VLOOKUP(student_internships[[#This Row],[Student_ID]],student_data[],2,0)</f>
        <v>Electronics</v>
      </c>
      <c r="D326" s="1" t="s">
        <v>1026</v>
      </c>
    </row>
    <row r="327" spans="1:4" x14ac:dyDescent="0.2">
      <c r="A327" s="1" t="s">
        <v>336</v>
      </c>
      <c r="B327" s="1">
        <v>0</v>
      </c>
      <c r="C327" s="1" t="str">
        <f>VLOOKUP(student_internships[[#This Row],[Student_ID]],student_data[],2,0)</f>
        <v>Computer Science</v>
      </c>
      <c r="D327" s="1" t="s">
        <v>1024</v>
      </c>
    </row>
    <row r="328" spans="1:4" x14ac:dyDescent="0.2">
      <c r="A328" s="1" t="s">
        <v>337</v>
      </c>
      <c r="B328" s="1">
        <v>3</v>
      </c>
      <c r="C328" s="1" t="str">
        <f>VLOOKUP(student_internships[[#This Row],[Student_ID]],student_data[],2,0)</f>
        <v>Computer Science</v>
      </c>
      <c r="D328" s="1" t="s">
        <v>1025</v>
      </c>
    </row>
    <row r="329" spans="1:4" x14ac:dyDescent="0.2">
      <c r="A329" s="1" t="s">
        <v>338</v>
      </c>
      <c r="B329" s="1">
        <v>2</v>
      </c>
      <c r="C329" s="1" t="str">
        <f>VLOOKUP(student_internships[[#This Row],[Student_ID]],student_data[],2,0)</f>
        <v>Computer Science</v>
      </c>
      <c r="D329" s="1" t="s">
        <v>1023</v>
      </c>
    </row>
    <row r="330" spans="1:4" x14ac:dyDescent="0.2">
      <c r="A330" s="1" t="s">
        <v>339</v>
      </c>
      <c r="B330" s="1">
        <v>1</v>
      </c>
      <c r="C330" s="1" t="str">
        <f>VLOOKUP(student_internships[[#This Row],[Student_ID]],student_data[],2,0)</f>
        <v>Mechanical</v>
      </c>
      <c r="D330" s="1" t="s">
        <v>1023</v>
      </c>
    </row>
    <row r="331" spans="1:4" x14ac:dyDescent="0.2">
      <c r="A331" s="1" t="s">
        <v>340</v>
      </c>
      <c r="B331" s="1">
        <v>1</v>
      </c>
      <c r="C331" s="1" t="str">
        <f>VLOOKUP(student_internships[[#This Row],[Student_ID]],student_data[],2,0)</f>
        <v>Information Technology</v>
      </c>
      <c r="D331" s="1" t="s">
        <v>1027</v>
      </c>
    </row>
    <row r="332" spans="1:4" x14ac:dyDescent="0.2">
      <c r="A332" s="1" t="s">
        <v>341</v>
      </c>
      <c r="B332" s="1">
        <v>1</v>
      </c>
      <c r="C332" s="1" t="str">
        <f>VLOOKUP(student_internships[[#This Row],[Student_ID]],student_data[],2,0)</f>
        <v>Electronics</v>
      </c>
      <c r="D332" s="1" t="s">
        <v>1021</v>
      </c>
    </row>
    <row r="333" spans="1:4" x14ac:dyDescent="0.2">
      <c r="A333" s="1" t="s">
        <v>342</v>
      </c>
      <c r="B333" s="1">
        <v>0</v>
      </c>
      <c r="C333" s="1" t="str">
        <f>VLOOKUP(student_internships[[#This Row],[Student_ID]],student_data[],2,0)</f>
        <v>Electronics</v>
      </c>
      <c r="D333" s="1" t="s">
        <v>1024</v>
      </c>
    </row>
    <row r="334" spans="1:4" x14ac:dyDescent="0.2">
      <c r="A334" s="1" t="s">
        <v>343</v>
      </c>
      <c r="B334" s="1">
        <v>1</v>
      </c>
      <c r="C334" s="1" t="str">
        <f>VLOOKUP(student_internships[[#This Row],[Student_ID]],student_data[],2,0)</f>
        <v>Mechanical</v>
      </c>
      <c r="D334" s="1" t="s">
        <v>1020</v>
      </c>
    </row>
    <row r="335" spans="1:4" x14ac:dyDescent="0.2">
      <c r="A335" s="1" t="s">
        <v>344</v>
      </c>
      <c r="B335" s="1">
        <v>2</v>
      </c>
      <c r="C335" s="1" t="str">
        <f>VLOOKUP(student_internships[[#This Row],[Student_ID]],student_data[],2,0)</f>
        <v>Electronics</v>
      </c>
      <c r="D335" s="1" t="s">
        <v>1022</v>
      </c>
    </row>
    <row r="336" spans="1:4" x14ac:dyDescent="0.2">
      <c r="A336" s="1" t="s">
        <v>345</v>
      </c>
      <c r="B336" s="1">
        <v>0</v>
      </c>
      <c r="C336" s="1" t="str">
        <f>VLOOKUP(student_internships[[#This Row],[Student_ID]],student_data[],2,0)</f>
        <v>Computer Science</v>
      </c>
      <c r="D336" s="1" t="s">
        <v>1024</v>
      </c>
    </row>
    <row r="337" spans="1:4" x14ac:dyDescent="0.2">
      <c r="A337" s="1" t="s">
        <v>346</v>
      </c>
      <c r="B337" s="1">
        <v>0</v>
      </c>
      <c r="C337" s="1" t="str">
        <f>VLOOKUP(student_internships[[#This Row],[Student_ID]],student_data[],2,0)</f>
        <v>Information Technology</v>
      </c>
      <c r="D337" s="1" t="s">
        <v>1024</v>
      </c>
    </row>
    <row r="338" spans="1:4" x14ac:dyDescent="0.2">
      <c r="A338" s="1" t="s">
        <v>347</v>
      </c>
      <c r="B338" s="1">
        <v>0</v>
      </c>
      <c r="C338" s="1" t="str">
        <f>VLOOKUP(student_internships[[#This Row],[Student_ID]],student_data[],2,0)</f>
        <v>Civil</v>
      </c>
      <c r="D338" s="1" t="s">
        <v>1024</v>
      </c>
    </row>
    <row r="339" spans="1:4" x14ac:dyDescent="0.2">
      <c r="A339" s="1" t="s">
        <v>348</v>
      </c>
      <c r="B339" s="1">
        <v>0</v>
      </c>
      <c r="C339" s="1" t="str">
        <f>VLOOKUP(student_internships[[#This Row],[Student_ID]],student_data[],2,0)</f>
        <v>Electronics</v>
      </c>
      <c r="D339" s="1" t="s">
        <v>1024</v>
      </c>
    </row>
    <row r="340" spans="1:4" x14ac:dyDescent="0.2">
      <c r="A340" s="1" t="s">
        <v>349</v>
      </c>
      <c r="B340" s="1">
        <v>2</v>
      </c>
      <c r="C340" s="1" t="str">
        <f>VLOOKUP(student_internships[[#This Row],[Student_ID]],student_data[],2,0)</f>
        <v>Computer Science</v>
      </c>
      <c r="D340" s="1" t="s">
        <v>1023</v>
      </c>
    </row>
    <row r="341" spans="1:4" x14ac:dyDescent="0.2">
      <c r="A341" s="1" t="s">
        <v>350</v>
      </c>
      <c r="B341" s="1">
        <v>2</v>
      </c>
      <c r="C341" s="1" t="str">
        <f>VLOOKUP(student_internships[[#This Row],[Student_ID]],student_data[],2,0)</f>
        <v>Civil</v>
      </c>
      <c r="D341" s="1" t="s">
        <v>1025</v>
      </c>
    </row>
    <row r="342" spans="1:4" x14ac:dyDescent="0.2">
      <c r="A342" s="1" t="s">
        <v>351</v>
      </c>
      <c r="B342" s="1">
        <v>1</v>
      </c>
      <c r="C342" s="1" t="str">
        <f>VLOOKUP(student_internships[[#This Row],[Student_ID]],student_data[],2,0)</f>
        <v>Information Technology</v>
      </c>
      <c r="D342" s="1" t="s">
        <v>1027</v>
      </c>
    </row>
    <row r="343" spans="1:4" x14ac:dyDescent="0.2">
      <c r="A343" s="1" t="s">
        <v>352</v>
      </c>
      <c r="B343" s="1">
        <v>0</v>
      </c>
      <c r="C343" s="1" t="str">
        <f>VLOOKUP(student_internships[[#This Row],[Student_ID]],student_data[],2,0)</f>
        <v>Civil</v>
      </c>
      <c r="D343" s="1" t="s">
        <v>1024</v>
      </c>
    </row>
    <row r="344" spans="1:4" x14ac:dyDescent="0.2">
      <c r="A344" s="1" t="s">
        <v>353</v>
      </c>
      <c r="B344" s="1">
        <v>1</v>
      </c>
      <c r="C344" s="1" t="str">
        <f>VLOOKUP(student_internships[[#This Row],[Student_ID]],student_data[],2,0)</f>
        <v>Computer Science</v>
      </c>
      <c r="D344" s="1" t="s">
        <v>1027</v>
      </c>
    </row>
    <row r="345" spans="1:4" x14ac:dyDescent="0.2">
      <c r="A345" s="1" t="s">
        <v>354</v>
      </c>
      <c r="B345" s="1">
        <v>1</v>
      </c>
      <c r="C345" s="1" t="str">
        <f>VLOOKUP(student_internships[[#This Row],[Student_ID]],student_data[],2,0)</f>
        <v>Civil</v>
      </c>
      <c r="D345" s="1" t="s">
        <v>1022</v>
      </c>
    </row>
    <row r="346" spans="1:4" x14ac:dyDescent="0.2">
      <c r="A346" s="1" t="s">
        <v>355</v>
      </c>
      <c r="B346" s="1">
        <v>0</v>
      </c>
      <c r="C346" s="1" t="str">
        <f>VLOOKUP(student_internships[[#This Row],[Student_ID]],student_data[],2,0)</f>
        <v>Mechanical</v>
      </c>
      <c r="D346" s="1" t="s">
        <v>1024</v>
      </c>
    </row>
    <row r="347" spans="1:4" x14ac:dyDescent="0.2">
      <c r="A347" s="1" t="s">
        <v>356</v>
      </c>
      <c r="B347" s="1">
        <v>1</v>
      </c>
      <c r="C347" s="1" t="str">
        <f>VLOOKUP(student_internships[[#This Row],[Student_ID]],student_data[],2,0)</f>
        <v>Civil</v>
      </c>
      <c r="D347" s="1" t="s">
        <v>1025</v>
      </c>
    </row>
    <row r="348" spans="1:4" x14ac:dyDescent="0.2">
      <c r="A348" s="1" t="s">
        <v>357</v>
      </c>
      <c r="B348" s="1">
        <v>1</v>
      </c>
      <c r="C348" s="1" t="str">
        <f>VLOOKUP(student_internships[[#This Row],[Student_ID]],student_data[],2,0)</f>
        <v>Electronics</v>
      </c>
      <c r="D348" s="1" t="s">
        <v>1021</v>
      </c>
    </row>
    <row r="349" spans="1:4" x14ac:dyDescent="0.2">
      <c r="A349" s="1" t="s">
        <v>358</v>
      </c>
      <c r="B349" s="1">
        <v>1</v>
      </c>
      <c r="C349" s="1" t="str">
        <f>VLOOKUP(student_internships[[#This Row],[Student_ID]],student_data[],2,0)</f>
        <v>Electronics</v>
      </c>
      <c r="D349" s="1" t="s">
        <v>1025</v>
      </c>
    </row>
    <row r="350" spans="1:4" x14ac:dyDescent="0.2">
      <c r="A350" s="1" t="s">
        <v>359</v>
      </c>
      <c r="B350" s="1">
        <v>1</v>
      </c>
      <c r="C350" s="1" t="str">
        <f>VLOOKUP(student_internships[[#This Row],[Student_ID]],student_data[],2,0)</f>
        <v>Mechanical</v>
      </c>
      <c r="D350" s="1" t="s">
        <v>1021</v>
      </c>
    </row>
    <row r="351" spans="1:4" x14ac:dyDescent="0.2">
      <c r="A351" s="1" t="s">
        <v>360</v>
      </c>
      <c r="B351" s="1">
        <v>0</v>
      </c>
      <c r="C351" s="1" t="str">
        <f>VLOOKUP(student_internships[[#This Row],[Student_ID]],student_data[],2,0)</f>
        <v>Computer Science</v>
      </c>
      <c r="D351" s="1" t="s">
        <v>1024</v>
      </c>
    </row>
    <row r="352" spans="1:4" x14ac:dyDescent="0.2">
      <c r="A352" s="1" t="s">
        <v>361</v>
      </c>
      <c r="B352" s="1">
        <v>1</v>
      </c>
      <c r="C352" s="1" t="str">
        <f>VLOOKUP(student_internships[[#This Row],[Student_ID]],student_data[],2,0)</f>
        <v>Electronics</v>
      </c>
      <c r="D352" s="1" t="s">
        <v>1025</v>
      </c>
    </row>
    <row r="353" spans="1:4" x14ac:dyDescent="0.2">
      <c r="A353" s="1" t="s">
        <v>362</v>
      </c>
      <c r="B353" s="1">
        <v>1</v>
      </c>
      <c r="C353" s="1" t="str">
        <f>VLOOKUP(student_internships[[#This Row],[Student_ID]],student_data[],2,0)</f>
        <v>Information Technology</v>
      </c>
      <c r="D353" s="1" t="s">
        <v>1025</v>
      </c>
    </row>
    <row r="354" spans="1:4" x14ac:dyDescent="0.2">
      <c r="A354" s="1" t="s">
        <v>363</v>
      </c>
      <c r="B354" s="1">
        <v>1</v>
      </c>
      <c r="C354" s="1" t="str">
        <f>VLOOKUP(student_internships[[#This Row],[Student_ID]],student_data[],2,0)</f>
        <v>Electronics</v>
      </c>
      <c r="D354" s="1" t="s">
        <v>1026</v>
      </c>
    </row>
    <row r="355" spans="1:4" x14ac:dyDescent="0.2">
      <c r="A355" s="1" t="s">
        <v>364</v>
      </c>
      <c r="B355" s="1">
        <v>2</v>
      </c>
      <c r="C355" s="1" t="str">
        <f>VLOOKUP(student_internships[[#This Row],[Student_ID]],student_data[],2,0)</f>
        <v>Electronics</v>
      </c>
      <c r="D355" s="1" t="s">
        <v>1027</v>
      </c>
    </row>
    <row r="356" spans="1:4" x14ac:dyDescent="0.2">
      <c r="A356" s="1" t="s">
        <v>365</v>
      </c>
      <c r="B356" s="1">
        <v>1</v>
      </c>
      <c r="C356" s="1" t="str">
        <f>VLOOKUP(student_internships[[#This Row],[Student_ID]],student_data[],2,0)</f>
        <v>Computer Science</v>
      </c>
      <c r="D356" s="1" t="s">
        <v>1025</v>
      </c>
    </row>
    <row r="357" spans="1:4" x14ac:dyDescent="0.2">
      <c r="A357" s="1" t="s">
        <v>366</v>
      </c>
      <c r="B357" s="1">
        <v>0</v>
      </c>
      <c r="C357" s="1" t="str">
        <f>VLOOKUP(student_internships[[#This Row],[Student_ID]],student_data[],2,0)</f>
        <v>Civil</v>
      </c>
      <c r="D357" s="1" t="s">
        <v>1024</v>
      </c>
    </row>
    <row r="358" spans="1:4" x14ac:dyDescent="0.2">
      <c r="A358" s="1" t="s">
        <v>367</v>
      </c>
      <c r="B358" s="1">
        <v>0</v>
      </c>
      <c r="C358" s="1" t="str">
        <f>VLOOKUP(student_internships[[#This Row],[Student_ID]],student_data[],2,0)</f>
        <v>Electronics</v>
      </c>
      <c r="D358" s="1" t="s">
        <v>1024</v>
      </c>
    </row>
    <row r="359" spans="1:4" x14ac:dyDescent="0.2">
      <c r="A359" s="1" t="s">
        <v>368</v>
      </c>
      <c r="B359" s="1">
        <v>1</v>
      </c>
      <c r="C359" s="1" t="str">
        <f>VLOOKUP(student_internships[[#This Row],[Student_ID]],student_data[],2,0)</f>
        <v>Mechanical</v>
      </c>
      <c r="D359" s="1" t="s">
        <v>1022</v>
      </c>
    </row>
    <row r="360" spans="1:4" x14ac:dyDescent="0.2">
      <c r="A360" s="1" t="s">
        <v>369</v>
      </c>
      <c r="B360" s="1">
        <v>0</v>
      </c>
      <c r="C360" s="1" t="str">
        <f>VLOOKUP(student_internships[[#This Row],[Student_ID]],student_data[],2,0)</f>
        <v>Civil</v>
      </c>
      <c r="D360" s="1" t="s">
        <v>1024</v>
      </c>
    </row>
    <row r="361" spans="1:4" x14ac:dyDescent="0.2">
      <c r="A361" s="1" t="s">
        <v>370</v>
      </c>
      <c r="B361" s="1">
        <v>1</v>
      </c>
      <c r="C361" s="1" t="str">
        <f>VLOOKUP(student_internships[[#This Row],[Student_ID]],student_data[],2,0)</f>
        <v>Information Technology</v>
      </c>
      <c r="D361" s="1" t="s">
        <v>1025</v>
      </c>
    </row>
    <row r="362" spans="1:4" x14ac:dyDescent="0.2">
      <c r="A362" s="1" t="s">
        <v>371</v>
      </c>
      <c r="B362" s="1">
        <v>3</v>
      </c>
      <c r="C362" s="1" t="str">
        <f>VLOOKUP(student_internships[[#This Row],[Student_ID]],student_data[],2,0)</f>
        <v>Computer Science</v>
      </c>
      <c r="D362" s="1" t="s">
        <v>1023</v>
      </c>
    </row>
    <row r="363" spans="1:4" x14ac:dyDescent="0.2">
      <c r="A363" s="1" t="s">
        <v>372</v>
      </c>
      <c r="B363" s="1">
        <v>1</v>
      </c>
      <c r="C363" s="1" t="str">
        <f>VLOOKUP(student_internships[[#This Row],[Student_ID]],student_data[],2,0)</f>
        <v>Information Technology</v>
      </c>
      <c r="D363" s="1" t="s">
        <v>1027</v>
      </c>
    </row>
    <row r="364" spans="1:4" x14ac:dyDescent="0.2">
      <c r="A364" s="1" t="s">
        <v>373</v>
      </c>
      <c r="B364" s="1">
        <v>1</v>
      </c>
      <c r="C364" s="1" t="str">
        <f>VLOOKUP(student_internships[[#This Row],[Student_ID]],student_data[],2,0)</f>
        <v>Civil</v>
      </c>
      <c r="D364" s="1" t="s">
        <v>1023</v>
      </c>
    </row>
    <row r="365" spans="1:4" x14ac:dyDescent="0.2">
      <c r="A365" s="1" t="s">
        <v>374</v>
      </c>
      <c r="B365" s="1">
        <v>1</v>
      </c>
      <c r="C365" s="1" t="str">
        <f>VLOOKUP(student_internships[[#This Row],[Student_ID]],student_data[],2,0)</f>
        <v>Civil</v>
      </c>
      <c r="D365" s="1" t="s">
        <v>1027</v>
      </c>
    </row>
    <row r="366" spans="1:4" x14ac:dyDescent="0.2">
      <c r="A366" s="1" t="s">
        <v>375</v>
      </c>
      <c r="B366" s="1">
        <v>1</v>
      </c>
      <c r="C366" s="1" t="str">
        <f>VLOOKUP(student_internships[[#This Row],[Student_ID]],student_data[],2,0)</f>
        <v>Civil</v>
      </c>
      <c r="D366" s="1" t="s">
        <v>1023</v>
      </c>
    </row>
    <row r="367" spans="1:4" x14ac:dyDescent="0.2">
      <c r="A367" s="1" t="s">
        <v>376</v>
      </c>
      <c r="B367" s="1">
        <v>1</v>
      </c>
      <c r="C367" s="1" t="str">
        <f>VLOOKUP(student_internships[[#This Row],[Student_ID]],student_data[],2,0)</f>
        <v>Information Technology</v>
      </c>
      <c r="D367" s="1" t="s">
        <v>1025</v>
      </c>
    </row>
    <row r="368" spans="1:4" x14ac:dyDescent="0.2">
      <c r="A368" s="1" t="s">
        <v>377</v>
      </c>
      <c r="B368" s="1">
        <v>3</v>
      </c>
      <c r="C368" s="1" t="str">
        <f>VLOOKUP(student_internships[[#This Row],[Student_ID]],student_data[],2,0)</f>
        <v>Civil</v>
      </c>
      <c r="D368" s="1" t="s">
        <v>1025</v>
      </c>
    </row>
    <row r="369" spans="1:4" x14ac:dyDescent="0.2">
      <c r="A369" s="1" t="s">
        <v>378</v>
      </c>
      <c r="B369" s="1">
        <v>1</v>
      </c>
      <c r="C369" s="1" t="str">
        <f>VLOOKUP(student_internships[[#This Row],[Student_ID]],student_data[],2,0)</f>
        <v>Information Technology</v>
      </c>
      <c r="D369" s="1" t="s">
        <v>1026</v>
      </c>
    </row>
    <row r="370" spans="1:4" x14ac:dyDescent="0.2">
      <c r="A370" s="1" t="s">
        <v>379</v>
      </c>
      <c r="B370" s="1">
        <v>3</v>
      </c>
      <c r="C370" s="1" t="str">
        <f>VLOOKUP(student_internships[[#This Row],[Student_ID]],student_data[],2,0)</f>
        <v>Civil</v>
      </c>
      <c r="D370" s="1" t="s">
        <v>1022</v>
      </c>
    </row>
    <row r="371" spans="1:4" x14ac:dyDescent="0.2">
      <c r="A371" s="1" t="s">
        <v>380</v>
      </c>
      <c r="B371" s="1">
        <v>3</v>
      </c>
      <c r="C371" s="1" t="str">
        <f>VLOOKUP(student_internships[[#This Row],[Student_ID]],student_data[],2,0)</f>
        <v>Mechanical</v>
      </c>
      <c r="D371" s="1" t="s">
        <v>1023</v>
      </c>
    </row>
    <row r="372" spans="1:4" x14ac:dyDescent="0.2">
      <c r="A372" s="1" t="s">
        <v>381</v>
      </c>
      <c r="B372" s="1">
        <v>0</v>
      </c>
      <c r="C372" s="1" t="str">
        <f>VLOOKUP(student_internships[[#This Row],[Student_ID]],student_data[],2,0)</f>
        <v>Civil</v>
      </c>
      <c r="D372" s="1" t="s">
        <v>1024</v>
      </c>
    </row>
    <row r="373" spans="1:4" x14ac:dyDescent="0.2">
      <c r="A373" s="1" t="s">
        <v>382</v>
      </c>
      <c r="B373" s="1">
        <v>0</v>
      </c>
      <c r="C373" s="1" t="str">
        <f>VLOOKUP(student_internships[[#This Row],[Student_ID]],student_data[],2,0)</f>
        <v>Information Technology</v>
      </c>
      <c r="D373" s="1" t="s">
        <v>1024</v>
      </c>
    </row>
    <row r="374" spans="1:4" x14ac:dyDescent="0.2">
      <c r="A374" s="1" t="s">
        <v>383</v>
      </c>
      <c r="B374" s="1">
        <v>0</v>
      </c>
      <c r="C374" s="1" t="str">
        <f>VLOOKUP(student_internships[[#This Row],[Student_ID]],student_data[],2,0)</f>
        <v>Electronics</v>
      </c>
      <c r="D374" s="1" t="s">
        <v>1024</v>
      </c>
    </row>
    <row r="375" spans="1:4" x14ac:dyDescent="0.2">
      <c r="A375" s="1" t="s">
        <v>384</v>
      </c>
      <c r="B375" s="1">
        <v>0</v>
      </c>
      <c r="C375" s="1" t="str">
        <f>VLOOKUP(student_internships[[#This Row],[Student_ID]],student_data[],2,0)</f>
        <v>Civil</v>
      </c>
      <c r="D375" s="1" t="s">
        <v>1024</v>
      </c>
    </row>
    <row r="376" spans="1:4" x14ac:dyDescent="0.2">
      <c r="A376" s="1" t="s">
        <v>385</v>
      </c>
      <c r="B376" s="1">
        <v>0</v>
      </c>
      <c r="C376" s="1" t="str">
        <f>VLOOKUP(student_internships[[#This Row],[Student_ID]],student_data[],2,0)</f>
        <v>Electronics</v>
      </c>
      <c r="D376" s="1" t="s">
        <v>1024</v>
      </c>
    </row>
    <row r="377" spans="1:4" x14ac:dyDescent="0.2">
      <c r="A377" s="1" t="s">
        <v>386</v>
      </c>
      <c r="B377" s="1">
        <v>1</v>
      </c>
      <c r="C377" s="1" t="str">
        <f>VLOOKUP(student_internships[[#This Row],[Student_ID]],student_data[],2,0)</f>
        <v>Mechanical</v>
      </c>
      <c r="D377" s="1" t="s">
        <v>1021</v>
      </c>
    </row>
    <row r="378" spans="1:4" x14ac:dyDescent="0.2">
      <c r="A378" s="1" t="s">
        <v>387</v>
      </c>
      <c r="B378" s="1">
        <v>0</v>
      </c>
      <c r="C378" s="1" t="str">
        <f>VLOOKUP(student_internships[[#This Row],[Student_ID]],student_data[],2,0)</f>
        <v>Computer Science</v>
      </c>
      <c r="D378" s="1" t="s">
        <v>1024</v>
      </c>
    </row>
    <row r="379" spans="1:4" x14ac:dyDescent="0.2">
      <c r="A379" s="1" t="s">
        <v>388</v>
      </c>
      <c r="B379" s="1">
        <v>1</v>
      </c>
      <c r="C379" s="1" t="str">
        <f>VLOOKUP(student_internships[[#This Row],[Student_ID]],student_data[],2,0)</f>
        <v>Mechanical</v>
      </c>
      <c r="D379" s="1" t="s">
        <v>1026</v>
      </c>
    </row>
    <row r="380" spans="1:4" x14ac:dyDescent="0.2">
      <c r="A380" s="1" t="s">
        <v>389</v>
      </c>
      <c r="B380" s="1">
        <v>2</v>
      </c>
      <c r="C380" s="1" t="str">
        <f>VLOOKUP(student_internships[[#This Row],[Student_ID]],student_data[],2,0)</f>
        <v>Civil</v>
      </c>
      <c r="D380" s="1" t="s">
        <v>1023</v>
      </c>
    </row>
    <row r="381" spans="1:4" x14ac:dyDescent="0.2">
      <c r="A381" s="1" t="s">
        <v>390</v>
      </c>
      <c r="B381" s="1">
        <v>0</v>
      </c>
      <c r="C381" s="1" t="str">
        <f>VLOOKUP(student_internships[[#This Row],[Student_ID]],student_data[],2,0)</f>
        <v>Electronics</v>
      </c>
      <c r="D381" s="1" t="s">
        <v>1024</v>
      </c>
    </row>
    <row r="382" spans="1:4" x14ac:dyDescent="0.2">
      <c r="A382" s="1" t="s">
        <v>391</v>
      </c>
      <c r="B382" s="1">
        <v>2</v>
      </c>
      <c r="C382" s="1" t="str">
        <f>VLOOKUP(student_internships[[#This Row],[Student_ID]],student_data[],2,0)</f>
        <v>Electronics</v>
      </c>
      <c r="D382" s="1" t="s">
        <v>1023</v>
      </c>
    </row>
    <row r="383" spans="1:4" x14ac:dyDescent="0.2">
      <c r="A383" s="1" t="s">
        <v>392</v>
      </c>
      <c r="B383" s="1">
        <v>0</v>
      </c>
      <c r="C383" s="1" t="str">
        <f>VLOOKUP(student_internships[[#This Row],[Student_ID]],student_data[],2,0)</f>
        <v>Information Technology</v>
      </c>
      <c r="D383" s="1" t="s">
        <v>1024</v>
      </c>
    </row>
    <row r="384" spans="1:4" x14ac:dyDescent="0.2">
      <c r="A384" s="1" t="s">
        <v>393</v>
      </c>
      <c r="B384" s="1">
        <v>0</v>
      </c>
      <c r="C384" s="1" t="str">
        <f>VLOOKUP(student_internships[[#This Row],[Student_ID]],student_data[],2,0)</f>
        <v>Electronics</v>
      </c>
      <c r="D384" s="1" t="s">
        <v>1024</v>
      </c>
    </row>
    <row r="385" spans="1:4" x14ac:dyDescent="0.2">
      <c r="A385" s="1" t="s">
        <v>394</v>
      </c>
      <c r="B385" s="1">
        <v>1</v>
      </c>
      <c r="C385" s="1" t="str">
        <f>VLOOKUP(student_internships[[#This Row],[Student_ID]],student_data[],2,0)</f>
        <v>Information Technology</v>
      </c>
      <c r="D385" s="1" t="s">
        <v>1026</v>
      </c>
    </row>
    <row r="386" spans="1:4" x14ac:dyDescent="0.2">
      <c r="A386" s="1" t="s">
        <v>395</v>
      </c>
      <c r="B386" s="1">
        <v>1</v>
      </c>
      <c r="C386" s="1" t="str">
        <f>VLOOKUP(student_internships[[#This Row],[Student_ID]],student_data[],2,0)</f>
        <v>Computer Science</v>
      </c>
      <c r="D386" s="1" t="s">
        <v>1025</v>
      </c>
    </row>
    <row r="387" spans="1:4" x14ac:dyDescent="0.2">
      <c r="A387" s="1" t="s">
        <v>396</v>
      </c>
      <c r="B387" s="1">
        <v>2</v>
      </c>
      <c r="C387" s="1" t="str">
        <f>VLOOKUP(student_internships[[#This Row],[Student_ID]],student_data[],2,0)</f>
        <v>Civil</v>
      </c>
      <c r="D387" s="1" t="s">
        <v>1023</v>
      </c>
    </row>
    <row r="388" spans="1:4" x14ac:dyDescent="0.2">
      <c r="A388" s="1" t="s">
        <v>397</v>
      </c>
      <c r="B388" s="1">
        <v>2</v>
      </c>
      <c r="C388" s="1" t="str">
        <f>VLOOKUP(student_internships[[#This Row],[Student_ID]],student_data[],2,0)</f>
        <v>Information Technology</v>
      </c>
      <c r="D388" s="1" t="s">
        <v>1025</v>
      </c>
    </row>
    <row r="389" spans="1:4" x14ac:dyDescent="0.2">
      <c r="A389" s="1" t="s">
        <v>398</v>
      </c>
      <c r="B389" s="1">
        <v>2</v>
      </c>
      <c r="C389" s="1" t="str">
        <f>VLOOKUP(student_internships[[#This Row],[Student_ID]],student_data[],2,0)</f>
        <v>Computer Science</v>
      </c>
      <c r="D389" s="1" t="s">
        <v>1026</v>
      </c>
    </row>
    <row r="390" spans="1:4" x14ac:dyDescent="0.2">
      <c r="A390" s="1" t="s">
        <v>399</v>
      </c>
      <c r="B390" s="1">
        <v>0</v>
      </c>
      <c r="C390" s="1" t="str">
        <f>VLOOKUP(student_internships[[#This Row],[Student_ID]],student_data[],2,0)</f>
        <v>Electronics</v>
      </c>
      <c r="D390" s="1" t="s">
        <v>1024</v>
      </c>
    </row>
    <row r="391" spans="1:4" x14ac:dyDescent="0.2">
      <c r="A391" s="1" t="s">
        <v>400</v>
      </c>
      <c r="B391" s="1">
        <v>0</v>
      </c>
      <c r="C391" s="1" t="str">
        <f>VLOOKUP(student_internships[[#This Row],[Student_ID]],student_data[],2,0)</f>
        <v>Electronics</v>
      </c>
      <c r="D391" s="1" t="s">
        <v>1024</v>
      </c>
    </row>
    <row r="392" spans="1:4" x14ac:dyDescent="0.2">
      <c r="A392" s="1" t="s">
        <v>401</v>
      </c>
      <c r="B392" s="1">
        <v>2</v>
      </c>
      <c r="C392" s="1" t="str">
        <f>VLOOKUP(student_internships[[#This Row],[Student_ID]],student_data[],2,0)</f>
        <v>Computer Science</v>
      </c>
      <c r="D392" s="1" t="s">
        <v>1025</v>
      </c>
    </row>
    <row r="393" spans="1:4" x14ac:dyDescent="0.2">
      <c r="A393" s="1" t="s">
        <v>402</v>
      </c>
      <c r="B393" s="1">
        <v>2</v>
      </c>
      <c r="C393" s="1" t="str">
        <f>VLOOKUP(student_internships[[#This Row],[Student_ID]],student_data[],2,0)</f>
        <v>Electronics</v>
      </c>
      <c r="D393" s="1" t="s">
        <v>1027</v>
      </c>
    </row>
    <row r="394" spans="1:4" x14ac:dyDescent="0.2">
      <c r="A394" s="1" t="s">
        <v>403</v>
      </c>
      <c r="B394" s="1">
        <v>3</v>
      </c>
      <c r="C394" s="1" t="str">
        <f>VLOOKUP(student_internships[[#This Row],[Student_ID]],student_data[],2,0)</f>
        <v>Computer Science</v>
      </c>
      <c r="D394" s="1" t="s">
        <v>1021</v>
      </c>
    </row>
    <row r="395" spans="1:4" x14ac:dyDescent="0.2">
      <c r="A395" s="1" t="s">
        <v>404</v>
      </c>
      <c r="B395" s="1">
        <v>1</v>
      </c>
      <c r="C395" s="1" t="str">
        <f>VLOOKUP(student_internships[[#This Row],[Student_ID]],student_data[],2,0)</f>
        <v>Information Technology</v>
      </c>
      <c r="D395" s="1" t="s">
        <v>1020</v>
      </c>
    </row>
    <row r="396" spans="1:4" x14ac:dyDescent="0.2">
      <c r="A396" s="1" t="s">
        <v>405</v>
      </c>
      <c r="B396" s="1">
        <v>1</v>
      </c>
      <c r="C396" s="1" t="str">
        <f>VLOOKUP(student_internships[[#This Row],[Student_ID]],student_data[],2,0)</f>
        <v>Information Technology</v>
      </c>
      <c r="D396" s="1" t="s">
        <v>1023</v>
      </c>
    </row>
    <row r="397" spans="1:4" x14ac:dyDescent="0.2">
      <c r="A397" s="1" t="s">
        <v>406</v>
      </c>
      <c r="B397" s="1">
        <v>2</v>
      </c>
      <c r="C397" s="1" t="str">
        <f>VLOOKUP(student_internships[[#This Row],[Student_ID]],student_data[],2,0)</f>
        <v>Computer Science</v>
      </c>
      <c r="D397" s="1" t="s">
        <v>1022</v>
      </c>
    </row>
    <row r="398" spans="1:4" x14ac:dyDescent="0.2">
      <c r="A398" s="1" t="s">
        <v>407</v>
      </c>
      <c r="B398" s="1">
        <v>1</v>
      </c>
      <c r="C398" s="1" t="str">
        <f>VLOOKUP(student_internships[[#This Row],[Student_ID]],student_data[],2,0)</f>
        <v>Information Technology</v>
      </c>
      <c r="D398" s="1" t="s">
        <v>1021</v>
      </c>
    </row>
    <row r="399" spans="1:4" x14ac:dyDescent="0.2">
      <c r="A399" s="1" t="s">
        <v>408</v>
      </c>
      <c r="B399" s="1">
        <v>3</v>
      </c>
      <c r="C399" s="1" t="str">
        <f>VLOOKUP(student_internships[[#This Row],[Student_ID]],student_data[],2,0)</f>
        <v>Information Technology</v>
      </c>
      <c r="D399" s="1" t="s">
        <v>1020</v>
      </c>
    </row>
    <row r="400" spans="1:4" x14ac:dyDescent="0.2">
      <c r="A400" s="1" t="s">
        <v>409</v>
      </c>
      <c r="B400" s="1">
        <v>2</v>
      </c>
      <c r="C400" s="1" t="str">
        <f>VLOOKUP(student_internships[[#This Row],[Student_ID]],student_data[],2,0)</f>
        <v>Information Technology</v>
      </c>
      <c r="D400" s="1" t="s">
        <v>1025</v>
      </c>
    </row>
    <row r="401" spans="1:4" x14ac:dyDescent="0.2">
      <c r="A401" s="1" t="s">
        <v>410</v>
      </c>
      <c r="B401" s="1">
        <v>1</v>
      </c>
      <c r="C401" s="1" t="str">
        <f>VLOOKUP(student_internships[[#This Row],[Student_ID]],student_data[],2,0)</f>
        <v>Mechanical</v>
      </c>
      <c r="D401" s="1" t="s">
        <v>1023</v>
      </c>
    </row>
    <row r="402" spans="1:4" x14ac:dyDescent="0.2">
      <c r="A402" s="1" t="s">
        <v>411</v>
      </c>
      <c r="B402" s="1">
        <v>2</v>
      </c>
      <c r="C402" s="1" t="str">
        <f>VLOOKUP(student_internships[[#This Row],[Student_ID]],student_data[],2,0)</f>
        <v>Civil</v>
      </c>
      <c r="D402" s="1" t="s">
        <v>1025</v>
      </c>
    </row>
    <row r="403" spans="1:4" x14ac:dyDescent="0.2">
      <c r="A403" s="1" t="s">
        <v>412</v>
      </c>
      <c r="B403" s="1">
        <v>2</v>
      </c>
      <c r="C403" s="1" t="str">
        <f>VLOOKUP(student_internships[[#This Row],[Student_ID]],student_data[],2,0)</f>
        <v>Electronics</v>
      </c>
      <c r="D403" s="1" t="s">
        <v>1027</v>
      </c>
    </row>
    <row r="404" spans="1:4" x14ac:dyDescent="0.2">
      <c r="A404" s="1" t="s">
        <v>413</v>
      </c>
      <c r="B404" s="1">
        <v>0</v>
      </c>
      <c r="C404" s="1" t="str">
        <f>VLOOKUP(student_internships[[#This Row],[Student_ID]],student_data[],2,0)</f>
        <v>Mechanical</v>
      </c>
      <c r="D404" s="1" t="s">
        <v>1024</v>
      </c>
    </row>
    <row r="405" spans="1:4" x14ac:dyDescent="0.2">
      <c r="A405" s="1" t="s">
        <v>414</v>
      </c>
      <c r="B405" s="1">
        <v>3</v>
      </c>
      <c r="C405" s="1" t="str">
        <f>VLOOKUP(student_internships[[#This Row],[Student_ID]],student_data[],2,0)</f>
        <v>Information Technology</v>
      </c>
      <c r="D405" s="1" t="s">
        <v>1026</v>
      </c>
    </row>
    <row r="406" spans="1:4" x14ac:dyDescent="0.2">
      <c r="A406" s="1" t="s">
        <v>415</v>
      </c>
      <c r="B406" s="1">
        <v>1</v>
      </c>
      <c r="C406" s="1" t="str">
        <f>VLOOKUP(student_internships[[#This Row],[Student_ID]],student_data[],2,0)</f>
        <v>Computer Science</v>
      </c>
      <c r="D406" s="1" t="s">
        <v>1023</v>
      </c>
    </row>
    <row r="407" spans="1:4" x14ac:dyDescent="0.2">
      <c r="A407" s="1" t="s">
        <v>416</v>
      </c>
      <c r="B407" s="1">
        <v>2</v>
      </c>
      <c r="C407" s="1" t="str">
        <f>VLOOKUP(student_internships[[#This Row],[Student_ID]],student_data[],2,0)</f>
        <v>Information Technology</v>
      </c>
      <c r="D407" s="1" t="s">
        <v>1020</v>
      </c>
    </row>
    <row r="408" spans="1:4" x14ac:dyDescent="0.2">
      <c r="A408" s="1" t="s">
        <v>417</v>
      </c>
      <c r="B408" s="1">
        <v>1</v>
      </c>
      <c r="C408" s="1" t="str">
        <f>VLOOKUP(student_internships[[#This Row],[Student_ID]],student_data[],2,0)</f>
        <v>Civil</v>
      </c>
      <c r="D408" s="1" t="s">
        <v>1020</v>
      </c>
    </row>
    <row r="409" spans="1:4" x14ac:dyDescent="0.2">
      <c r="A409" s="1" t="s">
        <v>418</v>
      </c>
      <c r="B409" s="1">
        <v>2</v>
      </c>
      <c r="C409" s="1" t="str">
        <f>VLOOKUP(student_internships[[#This Row],[Student_ID]],student_data[],2,0)</f>
        <v>Information Technology</v>
      </c>
      <c r="D409" s="1" t="s">
        <v>1027</v>
      </c>
    </row>
    <row r="410" spans="1:4" x14ac:dyDescent="0.2">
      <c r="A410" s="1" t="s">
        <v>419</v>
      </c>
      <c r="B410" s="1">
        <v>1</v>
      </c>
      <c r="C410" s="1" t="str">
        <f>VLOOKUP(student_internships[[#This Row],[Student_ID]],student_data[],2,0)</f>
        <v>Computer Science</v>
      </c>
      <c r="D410" s="1" t="s">
        <v>1027</v>
      </c>
    </row>
    <row r="411" spans="1:4" x14ac:dyDescent="0.2">
      <c r="A411" s="1" t="s">
        <v>420</v>
      </c>
      <c r="B411" s="1">
        <v>0</v>
      </c>
      <c r="C411" s="1" t="str">
        <f>VLOOKUP(student_internships[[#This Row],[Student_ID]],student_data[],2,0)</f>
        <v>Civil</v>
      </c>
      <c r="D411" s="1" t="s">
        <v>1024</v>
      </c>
    </row>
    <row r="412" spans="1:4" x14ac:dyDescent="0.2">
      <c r="A412" s="1" t="s">
        <v>421</v>
      </c>
      <c r="B412" s="1">
        <v>3</v>
      </c>
      <c r="C412" s="1" t="str">
        <f>VLOOKUP(student_internships[[#This Row],[Student_ID]],student_data[],2,0)</f>
        <v>Information Technology</v>
      </c>
      <c r="D412" s="1" t="s">
        <v>1023</v>
      </c>
    </row>
    <row r="413" spans="1:4" x14ac:dyDescent="0.2">
      <c r="A413" s="1" t="s">
        <v>422</v>
      </c>
      <c r="B413" s="1">
        <v>0</v>
      </c>
      <c r="C413" s="1" t="str">
        <f>VLOOKUP(student_internships[[#This Row],[Student_ID]],student_data[],2,0)</f>
        <v>Civil</v>
      </c>
      <c r="D413" s="1" t="s">
        <v>1024</v>
      </c>
    </row>
    <row r="414" spans="1:4" x14ac:dyDescent="0.2">
      <c r="A414" s="1" t="s">
        <v>423</v>
      </c>
      <c r="B414" s="1">
        <v>1</v>
      </c>
      <c r="C414" s="1" t="str">
        <f>VLOOKUP(student_internships[[#This Row],[Student_ID]],student_data[],2,0)</f>
        <v>Electronics</v>
      </c>
      <c r="D414" s="1" t="s">
        <v>1025</v>
      </c>
    </row>
    <row r="415" spans="1:4" x14ac:dyDescent="0.2">
      <c r="A415" s="1" t="s">
        <v>424</v>
      </c>
      <c r="B415" s="1">
        <v>3</v>
      </c>
      <c r="C415" s="1" t="str">
        <f>VLOOKUP(student_internships[[#This Row],[Student_ID]],student_data[],2,0)</f>
        <v>Electronics</v>
      </c>
      <c r="D415" s="1" t="s">
        <v>1022</v>
      </c>
    </row>
    <row r="416" spans="1:4" x14ac:dyDescent="0.2">
      <c r="A416" s="1" t="s">
        <v>425</v>
      </c>
      <c r="B416" s="1">
        <v>3</v>
      </c>
      <c r="C416" s="1" t="str">
        <f>VLOOKUP(student_internships[[#This Row],[Student_ID]],student_data[],2,0)</f>
        <v>Information Technology</v>
      </c>
      <c r="D416" s="1" t="s">
        <v>1020</v>
      </c>
    </row>
    <row r="417" spans="1:4" x14ac:dyDescent="0.2">
      <c r="A417" s="1" t="s">
        <v>426</v>
      </c>
      <c r="B417" s="1">
        <v>1</v>
      </c>
      <c r="C417" s="1" t="str">
        <f>VLOOKUP(student_internships[[#This Row],[Student_ID]],student_data[],2,0)</f>
        <v>Civil</v>
      </c>
      <c r="D417" s="1" t="s">
        <v>1020</v>
      </c>
    </row>
    <row r="418" spans="1:4" x14ac:dyDescent="0.2">
      <c r="A418" s="1" t="s">
        <v>427</v>
      </c>
      <c r="B418" s="1">
        <v>1</v>
      </c>
      <c r="C418" s="1" t="str">
        <f>VLOOKUP(student_internships[[#This Row],[Student_ID]],student_data[],2,0)</f>
        <v>Computer Science</v>
      </c>
      <c r="D418" s="1" t="s">
        <v>1027</v>
      </c>
    </row>
    <row r="419" spans="1:4" x14ac:dyDescent="0.2">
      <c r="A419" s="1" t="s">
        <v>428</v>
      </c>
      <c r="B419" s="1">
        <v>1</v>
      </c>
      <c r="C419" s="1" t="str">
        <f>VLOOKUP(student_internships[[#This Row],[Student_ID]],student_data[],2,0)</f>
        <v>Information Technology</v>
      </c>
      <c r="D419" s="1" t="s">
        <v>1021</v>
      </c>
    </row>
    <row r="420" spans="1:4" x14ac:dyDescent="0.2">
      <c r="A420" s="1" t="s">
        <v>429</v>
      </c>
      <c r="B420" s="1">
        <v>0</v>
      </c>
      <c r="C420" s="1" t="str">
        <f>VLOOKUP(student_internships[[#This Row],[Student_ID]],student_data[],2,0)</f>
        <v>Electronics</v>
      </c>
      <c r="D420" s="1" t="s">
        <v>1024</v>
      </c>
    </row>
    <row r="421" spans="1:4" x14ac:dyDescent="0.2">
      <c r="A421" s="1" t="s">
        <v>430</v>
      </c>
      <c r="B421" s="1">
        <v>1</v>
      </c>
      <c r="C421" s="1" t="str">
        <f>VLOOKUP(student_internships[[#This Row],[Student_ID]],student_data[],2,0)</f>
        <v>Electronics</v>
      </c>
      <c r="D421" s="1" t="s">
        <v>1027</v>
      </c>
    </row>
    <row r="422" spans="1:4" x14ac:dyDescent="0.2">
      <c r="A422" s="1" t="s">
        <v>431</v>
      </c>
      <c r="B422" s="1">
        <v>1</v>
      </c>
      <c r="C422" s="1" t="str">
        <f>VLOOKUP(student_internships[[#This Row],[Student_ID]],student_data[],2,0)</f>
        <v>Information Technology</v>
      </c>
      <c r="D422" s="1" t="s">
        <v>1022</v>
      </c>
    </row>
    <row r="423" spans="1:4" x14ac:dyDescent="0.2">
      <c r="A423" s="1" t="s">
        <v>432</v>
      </c>
      <c r="B423" s="1">
        <v>2</v>
      </c>
      <c r="C423" s="1" t="str">
        <f>VLOOKUP(student_internships[[#This Row],[Student_ID]],student_data[],2,0)</f>
        <v>Civil</v>
      </c>
      <c r="D423" s="1" t="s">
        <v>1025</v>
      </c>
    </row>
    <row r="424" spans="1:4" x14ac:dyDescent="0.2">
      <c r="A424" s="1" t="s">
        <v>433</v>
      </c>
      <c r="B424" s="1">
        <v>2</v>
      </c>
      <c r="C424" s="1" t="str">
        <f>VLOOKUP(student_internships[[#This Row],[Student_ID]],student_data[],2,0)</f>
        <v>Electronics</v>
      </c>
      <c r="D424" s="1" t="s">
        <v>1025</v>
      </c>
    </row>
    <row r="425" spans="1:4" x14ac:dyDescent="0.2">
      <c r="A425" s="1" t="s">
        <v>434</v>
      </c>
      <c r="B425" s="1">
        <v>2</v>
      </c>
      <c r="C425" s="1" t="str">
        <f>VLOOKUP(student_internships[[#This Row],[Student_ID]],student_data[],2,0)</f>
        <v>Civil</v>
      </c>
      <c r="D425" s="1" t="s">
        <v>1021</v>
      </c>
    </row>
    <row r="426" spans="1:4" x14ac:dyDescent="0.2">
      <c r="A426" s="1" t="s">
        <v>435</v>
      </c>
      <c r="B426" s="1">
        <v>0</v>
      </c>
      <c r="C426" s="1" t="str">
        <f>VLOOKUP(student_internships[[#This Row],[Student_ID]],student_data[],2,0)</f>
        <v>Electronics</v>
      </c>
      <c r="D426" s="1" t="s">
        <v>1024</v>
      </c>
    </row>
    <row r="427" spans="1:4" x14ac:dyDescent="0.2">
      <c r="A427" s="1" t="s">
        <v>436</v>
      </c>
      <c r="B427" s="1">
        <v>1</v>
      </c>
      <c r="C427" s="1" t="str">
        <f>VLOOKUP(student_internships[[#This Row],[Student_ID]],student_data[],2,0)</f>
        <v>Electronics</v>
      </c>
      <c r="D427" s="1" t="s">
        <v>1020</v>
      </c>
    </row>
    <row r="428" spans="1:4" x14ac:dyDescent="0.2">
      <c r="A428" s="1" t="s">
        <v>437</v>
      </c>
      <c r="B428" s="1">
        <v>0</v>
      </c>
      <c r="C428" s="1" t="str">
        <f>VLOOKUP(student_internships[[#This Row],[Student_ID]],student_data[],2,0)</f>
        <v>Mechanical</v>
      </c>
      <c r="D428" s="1" t="s">
        <v>1024</v>
      </c>
    </row>
    <row r="429" spans="1:4" x14ac:dyDescent="0.2">
      <c r="A429" s="1" t="s">
        <v>438</v>
      </c>
      <c r="B429" s="1">
        <v>1</v>
      </c>
      <c r="C429" s="1" t="str">
        <f>VLOOKUP(student_internships[[#This Row],[Student_ID]],student_data[],2,0)</f>
        <v>Electronics</v>
      </c>
      <c r="D429" s="1" t="s">
        <v>1027</v>
      </c>
    </row>
    <row r="430" spans="1:4" x14ac:dyDescent="0.2">
      <c r="A430" s="1" t="s">
        <v>439</v>
      </c>
      <c r="B430" s="1">
        <v>1</v>
      </c>
      <c r="C430" s="1" t="str">
        <f>VLOOKUP(student_internships[[#This Row],[Student_ID]],student_data[],2,0)</f>
        <v>Computer Science</v>
      </c>
      <c r="D430" s="1" t="s">
        <v>1025</v>
      </c>
    </row>
    <row r="431" spans="1:4" x14ac:dyDescent="0.2">
      <c r="A431" s="1" t="s">
        <v>440</v>
      </c>
      <c r="B431" s="1">
        <v>2</v>
      </c>
      <c r="C431" s="1" t="str">
        <f>VLOOKUP(student_internships[[#This Row],[Student_ID]],student_data[],2,0)</f>
        <v>Information Technology</v>
      </c>
      <c r="D431" s="1" t="s">
        <v>1022</v>
      </c>
    </row>
    <row r="432" spans="1:4" x14ac:dyDescent="0.2">
      <c r="A432" s="1" t="s">
        <v>441</v>
      </c>
      <c r="B432" s="1">
        <v>1</v>
      </c>
      <c r="C432" s="1" t="str">
        <f>VLOOKUP(student_internships[[#This Row],[Student_ID]],student_data[],2,0)</f>
        <v>Information Technology</v>
      </c>
      <c r="D432" s="1" t="s">
        <v>1023</v>
      </c>
    </row>
    <row r="433" spans="1:4" x14ac:dyDescent="0.2">
      <c r="A433" s="1" t="s">
        <v>442</v>
      </c>
      <c r="B433" s="1">
        <v>0</v>
      </c>
      <c r="C433" s="1" t="str">
        <f>VLOOKUP(student_internships[[#This Row],[Student_ID]],student_data[],2,0)</f>
        <v>Civil</v>
      </c>
      <c r="D433" s="1" t="s">
        <v>1024</v>
      </c>
    </row>
    <row r="434" spans="1:4" x14ac:dyDescent="0.2">
      <c r="A434" s="1" t="s">
        <v>443</v>
      </c>
      <c r="B434" s="1">
        <v>0</v>
      </c>
      <c r="C434" s="1" t="str">
        <f>VLOOKUP(student_internships[[#This Row],[Student_ID]],student_data[],2,0)</f>
        <v>Electronics</v>
      </c>
      <c r="D434" s="1" t="s">
        <v>1024</v>
      </c>
    </row>
    <row r="435" spans="1:4" x14ac:dyDescent="0.2">
      <c r="A435" s="1" t="s">
        <v>444</v>
      </c>
      <c r="B435" s="1">
        <v>2</v>
      </c>
      <c r="C435" s="1" t="str">
        <f>VLOOKUP(student_internships[[#This Row],[Student_ID]],student_data[],2,0)</f>
        <v>Computer Science</v>
      </c>
      <c r="D435" s="1" t="s">
        <v>1026</v>
      </c>
    </row>
    <row r="436" spans="1:4" x14ac:dyDescent="0.2">
      <c r="A436" s="1" t="s">
        <v>445</v>
      </c>
      <c r="B436" s="1">
        <v>1</v>
      </c>
      <c r="C436" s="1" t="str">
        <f>VLOOKUP(student_internships[[#This Row],[Student_ID]],student_data[],2,0)</f>
        <v>Civil</v>
      </c>
      <c r="D436" s="1" t="s">
        <v>1026</v>
      </c>
    </row>
    <row r="437" spans="1:4" x14ac:dyDescent="0.2">
      <c r="A437" s="1" t="s">
        <v>446</v>
      </c>
      <c r="B437" s="1">
        <v>0</v>
      </c>
      <c r="C437" s="1" t="str">
        <f>VLOOKUP(student_internships[[#This Row],[Student_ID]],student_data[],2,0)</f>
        <v>Mechanical</v>
      </c>
      <c r="D437" s="1" t="s">
        <v>1024</v>
      </c>
    </row>
    <row r="438" spans="1:4" x14ac:dyDescent="0.2">
      <c r="A438" s="1" t="s">
        <v>447</v>
      </c>
      <c r="B438" s="1">
        <v>0</v>
      </c>
      <c r="C438" s="1" t="str">
        <f>VLOOKUP(student_internships[[#This Row],[Student_ID]],student_data[],2,0)</f>
        <v>Civil</v>
      </c>
      <c r="D438" s="1" t="s">
        <v>1024</v>
      </c>
    </row>
    <row r="439" spans="1:4" x14ac:dyDescent="0.2">
      <c r="A439" s="1" t="s">
        <v>448</v>
      </c>
      <c r="B439" s="1">
        <v>2</v>
      </c>
      <c r="C439" s="1" t="str">
        <f>VLOOKUP(student_internships[[#This Row],[Student_ID]],student_data[],2,0)</f>
        <v>Civil</v>
      </c>
      <c r="D439" s="1" t="s">
        <v>1026</v>
      </c>
    </row>
    <row r="440" spans="1:4" x14ac:dyDescent="0.2">
      <c r="A440" s="1" t="s">
        <v>449</v>
      </c>
      <c r="B440" s="1">
        <v>0</v>
      </c>
      <c r="C440" s="1" t="str">
        <f>VLOOKUP(student_internships[[#This Row],[Student_ID]],student_data[],2,0)</f>
        <v>Electronics</v>
      </c>
      <c r="D440" s="1" t="s">
        <v>1024</v>
      </c>
    </row>
    <row r="441" spans="1:4" x14ac:dyDescent="0.2">
      <c r="A441" s="1" t="s">
        <v>450</v>
      </c>
      <c r="B441" s="1">
        <v>2</v>
      </c>
      <c r="C441" s="1" t="str">
        <f>VLOOKUP(student_internships[[#This Row],[Student_ID]],student_data[],2,0)</f>
        <v>Mechanical</v>
      </c>
      <c r="D441" s="1" t="s">
        <v>1020</v>
      </c>
    </row>
    <row r="442" spans="1:4" x14ac:dyDescent="0.2">
      <c r="A442" s="1" t="s">
        <v>451</v>
      </c>
      <c r="B442" s="1">
        <v>2</v>
      </c>
      <c r="C442" s="1" t="str">
        <f>VLOOKUP(student_internships[[#This Row],[Student_ID]],student_data[],2,0)</f>
        <v>Civil</v>
      </c>
      <c r="D442" s="1" t="s">
        <v>1027</v>
      </c>
    </row>
    <row r="443" spans="1:4" x14ac:dyDescent="0.2">
      <c r="A443" s="1" t="s">
        <v>452</v>
      </c>
      <c r="B443" s="1">
        <v>0</v>
      </c>
      <c r="C443" s="1" t="str">
        <f>VLOOKUP(student_internships[[#This Row],[Student_ID]],student_data[],2,0)</f>
        <v>Computer Science</v>
      </c>
      <c r="D443" s="1" t="s">
        <v>1024</v>
      </c>
    </row>
    <row r="444" spans="1:4" x14ac:dyDescent="0.2">
      <c r="A444" s="1" t="s">
        <v>453</v>
      </c>
      <c r="B444" s="1">
        <v>0</v>
      </c>
      <c r="C444" s="1" t="str">
        <f>VLOOKUP(student_internships[[#This Row],[Student_ID]],student_data[],2,0)</f>
        <v>Computer Science</v>
      </c>
      <c r="D444" s="1" t="s">
        <v>1024</v>
      </c>
    </row>
    <row r="445" spans="1:4" x14ac:dyDescent="0.2">
      <c r="A445" s="1" t="s">
        <v>454</v>
      </c>
      <c r="B445" s="1">
        <v>3</v>
      </c>
      <c r="C445" s="1" t="str">
        <f>VLOOKUP(student_internships[[#This Row],[Student_ID]],student_data[],2,0)</f>
        <v>Information Technology</v>
      </c>
      <c r="D445" s="1" t="s">
        <v>1021</v>
      </c>
    </row>
    <row r="446" spans="1:4" x14ac:dyDescent="0.2">
      <c r="A446" s="1" t="s">
        <v>455</v>
      </c>
      <c r="B446" s="1">
        <v>1</v>
      </c>
      <c r="C446" s="1" t="str">
        <f>VLOOKUP(student_internships[[#This Row],[Student_ID]],student_data[],2,0)</f>
        <v>Mechanical</v>
      </c>
      <c r="D446" s="1" t="s">
        <v>1025</v>
      </c>
    </row>
    <row r="447" spans="1:4" x14ac:dyDescent="0.2">
      <c r="A447" s="1" t="s">
        <v>456</v>
      </c>
      <c r="B447" s="1">
        <v>1</v>
      </c>
      <c r="C447" s="1" t="str">
        <f>VLOOKUP(student_internships[[#This Row],[Student_ID]],student_data[],2,0)</f>
        <v>Mechanical</v>
      </c>
      <c r="D447" s="1" t="s">
        <v>1023</v>
      </c>
    </row>
    <row r="448" spans="1:4" x14ac:dyDescent="0.2">
      <c r="A448" s="1" t="s">
        <v>457</v>
      </c>
      <c r="B448" s="1">
        <v>2</v>
      </c>
      <c r="C448" s="1" t="str">
        <f>VLOOKUP(student_internships[[#This Row],[Student_ID]],student_data[],2,0)</f>
        <v>Information Technology</v>
      </c>
      <c r="D448" s="1" t="s">
        <v>1022</v>
      </c>
    </row>
    <row r="449" spans="1:4" x14ac:dyDescent="0.2">
      <c r="A449" s="1" t="s">
        <v>458</v>
      </c>
      <c r="B449" s="1">
        <v>3</v>
      </c>
      <c r="C449" s="1" t="str">
        <f>VLOOKUP(student_internships[[#This Row],[Student_ID]],student_data[],2,0)</f>
        <v>Civil</v>
      </c>
      <c r="D449" s="1" t="s">
        <v>1023</v>
      </c>
    </row>
    <row r="450" spans="1:4" x14ac:dyDescent="0.2">
      <c r="A450" s="1" t="s">
        <v>459</v>
      </c>
      <c r="B450" s="1">
        <v>3</v>
      </c>
      <c r="C450" s="1" t="str">
        <f>VLOOKUP(student_internships[[#This Row],[Student_ID]],student_data[],2,0)</f>
        <v>Mechanical</v>
      </c>
      <c r="D450" s="1" t="s">
        <v>1022</v>
      </c>
    </row>
    <row r="451" spans="1:4" x14ac:dyDescent="0.2">
      <c r="A451" s="1" t="s">
        <v>460</v>
      </c>
      <c r="B451" s="1">
        <v>2</v>
      </c>
      <c r="C451" s="1" t="str">
        <f>VLOOKUP(student_internships[[#This Row],[Student_ID]],student_data[],2,0)</f>
        <v>Computer Science</v>
      </c>
      <c r="D451" s="1" t="s">
        <v>1020</v>
      </c>
    </row>
    <row r="452" spans="1:4" x14ac:dyDescent="0.2">
      <c r="A452" s="1" t="s">
        <v>461</v>
      </c>
      <c r="B452" s="1">
        <v>1</v>
      </c>
      <c r="C452" s="1" t="str">
        <f>VLOOKUP(student_internships[[#This Row],[Student_ID]],student_data[],2,0)</f>
        <v>Computer Science</v>
      </c>
      <c r="D452" s="1" t="s">
        <v>1027</v>
      </c>
    </row>
    <row r="453" spans="1:4" x14ac:dyDescent="0.2">
      <c r="A453" s="1" t="s">
        <v>462</v>
      </c>
      <c r="B453" s="1">
        <v>0</v>
      </c>
      <c r="C453" s="1" t="str">
        <f>VLOOKUP(student_internships[[#This Row],[Student_ID]],student_data[],2,0)</f>
        <v>Electronics</v>
      </c>
      <c r="D453" s="1" t="s">
        <v>1024</v>
      </c>
    </row>
    <row r="454" spans="1:4" x14ac:dyDescent="0.2">
      <c r="A454" s="1" t="s">
        <v>463</v>
      </c>
      <c r="B454" s="1">
        <v>2</v>
      </c>
      <c r="C454" s="1" t="str">
        <f>VLOOKUP(student_internships[[#This Row],[Student_ID]],student_data[],2,0)</f>
        <v>Mechanical</v>
      </c>
      <c r="D454" s="1" t="s">
        <v>1026</v>
      </c>
    </row>
    <row r="455" spans="1:4" x14ac:dyDescent="0.2">
      <c r="A455" s="1" t="s">
        <v>464</v>
      </c>
      <c r="B455" s="1">
        <v>1</v>
      </c>
      <c r="C455" s="1" t="str">
        <f>VLOOKUP(student_internships[[#This Row],[Student_ID]],student_data[],2,0)</f>
        <v>Civil</v>
      </c>
      <c r="D455" s="1" t="s">
        <v>1027</v>
      </c>
    </row>
    <row r="456" spans="1:4" x14ac:dyDescent="0.2">
      <c r="A456" s="1" t="s">
        <v>465</v>
      </c>
      <c r="B456" s="1">
        <v>1</v>
      </c>
      <c r="C456" s="1" t="str">
        <f>VLOOKUP(student_internships[[#This Row],[Student_ID]],student_data[],2,0)</f>
        <v>Information Technology</v>
      </c>
      <c r="D456" s="1" t="s">
        <v>1020</v>
      </c>
    </row>
    <row r="457" spans="1:4" x14ac:dyDescent="0.2">
      <c r="A457" s="1" t="s">
        <v>466</v>
      </c>
      <c r="B457" s="1">
        <v>3</v>
      </c>
      <c r="C457" s="1" t="str">
        <f>VLOOKUP(student_internships[[#This Row],[Student_ID]],student_data[],2,0)</f>
        <v>Information Technology</v>
      </c>
      <c r="D457" s="1" t="s">
        <v>1021</v>
      </c>
    </row>
    <row r="458" spans="1:4" x14ac:dyDescent="0.2">
      <c r="A458" s="1" t="s">
        <v>467</v>
      </c>
      <c r="B458" s="1">
        <v>0</v>
      </c>
      <c r="C458" s="1" t="str">
        <f>VLOOKUP(student_internships[[#This Row],[Student_ID]],student_data[],2,0)</f>
        <v>Civil</v>
      </c>
      <c r="D458" s="1" t="s">
        <v>1024</v>
      </c>
    </row>
    <row r="459" spans="1:4" x14ac:dyDescent="0.2">
      <c r="A459" s="1" t="s">
        <v>468</v>
      </c>
      <c r="B459" s="1">
        <v>1</v>
      </c>
      <c r="C459" s="1" t="str">
        <f>VLOOKUP(student_internships[[#This Row],[Student_ID]],student_data[],2,0)</f>
        <v>Electronics</v>
      </c>
      <c r="D459" s="1" t="s">
        <v>1021</v>
      </c>
    </row>
    <row r="460" spans="1:4" x14ac:dyDescent="0.2">
      <c r="A460" s="1" t="s">
        <v>469</v>
      </c>
      <c r="B460" s="1">
        <v>0</v>
      </c>
      <c r="C460" s="1" t="str">
        <f>VLOOKUP(student_internships[[#This Row],[Student_ID]],student_data[],2,0)</f>
        <v>Information Technology</v>
      </c>
      <c r="D460" s="1" t="s">
        <v>1024</v>
      </c>
    </row>
    <row r="461" spans="1:4" x14ac:dyDescent="0.2">
      <c r="A461" s="1" t="s">
        <v>470</v>
      </c>
      <c r="B461" s="1">
        <v>1</v>
      </c>
      <c r="C461" s="1" t="str">
        <f>VLOOKUP(student_internships[[#This Row],[Student_ID]],student_data[],2,0)</f>
        <v>Mechanical</v>
      </c>
      <c r="D461" s="1" t="s">
        <v>1020</v>
      </c>
    </row>
    <row r="462" spans="1:4" x14ac:dyDescent="0.2">
      <c r="A462" s="1" t="s">
        <v>471</v>
      </c>
      <c r="B462" s="1">
        <v>0</v>
      </c>
      <c r="C462" s="1" t="str">
        <f>VLOOKUP(student_internships[[#This Row],[Student_ID]],student_data[],2,0)</f>
        <v>Electronics</v>
      </c>
      <c r="D462" s="1" t="s">
        <v>1024</v>
      </c>
    </row>
    <row r="463" spans="1:4" x14ac:dyDescent="0.2">
      <c r="A463" s="1" t="s">
        <v>472</v>
      </c>
      <c r="B463" s="1">
        <v>0</v>
      </c>
      <c r="C463" s="1" t="str">
        <f>VLOOKUP(student_internships[[#This Row],[Student_ID]],student_data[],2,0)</f>
        <v>Mechanical</v>
      </c>
      <c r="D463" s="1" t="s">
        <v>1024</v>
      </c>
    </row>
    <row r="464" spans="1:4" x14ac:dyDescent="0.2">
      <c r="A464" s="1" t="s">
        <v>473</v>
      </c>
      <c r="B464" s="1">
        <v>0</v>
      </c>
      <c r="C464" s="1" t="str">
        <f>VLOOKUP(student_internships[[#This Row],[Student_ID]],student_data[],2,0)</f>
        <v>Computer Science</v>
      </c>
      <c r="D464" s="1" t="s">
        <v>1024</v>
      </c>
    </row>
    <row r="465" spans="1:4" x14ac:dyDescent="0.2">
      <c r="A465" s="1" t="s">
        <v>474</v>
      </c>
      <c r="B465" s="1">
        <v>1</v>
      </c>
      <c r="C465" s="1" t="str">
        <f>VLOOKUP(student_internships[[#This Row],[Student_ID]],student_data[],2,0)</f>
        <v>Electronics</v>
      </c>
      <c r="D465" s="1" t="s">
        <v>1022</v>
      </c>
    </row>
    <row r="466" spans="1:4" x14ac:dyDescent="0.2">
      <c r="A466" s="1" t="s">
        <v>475</v>
      </c>
      <c r="B466" s="1">
        <v>2</v>
      </c>
      <c r="C466" s="1" t="str">
        <f>VLOOKUP(student_internships[[#This Row],[Student_ID]],student_data[],2,0)</f>
        <v>Information Technology</v>
      </c>
      <c r="D466" s="1" t="s">
        <v>1025</v>
      </c>
    </row>
    <row r="467" spans="1:4" x14ac:dyDescent="0.2">
      <c r="A467" s="1" t="s">
        <v>476</v>
      </c>
      <c r="B467" s="1">
        <v>1</v>
      </c>
      <c r="C467" s="1" t="str">
        <f>VLOOKUP(student_internships[[#This Row],[Student_ID]],student_data[],2,0)</f>
        <v>Electronics</v>
      </c>
      <c r="D467" s="1" t="s">
        <v>1025</v>
      </c>
    </row>
    <row r="468" spans="1:4" x14ac:dyDescent="0.2">
      <c r="A468" s="1" t="s">
        <v>477</v>
      </c>
      <c r="B468" s="1">
        <v>3</v>
      </c>
      <c r="C468" s="1" t="str">
        <f>VLOOKUP(student_internships[[#This Row],[Student_ID]],student_data[],2,0)</f>
        <v>Electronics</v>
      </c>
      <c r="D468" s="1" t="s">
        <v>1022</v>
      </c>
    </row>
    <row r="469" spans="1:4" x14ac:dyDescent="0.2">
      <c r="A469" s="1" t="s">
        <v>478</v>
      </c>
      <c r="B469" s="1">
        <v>1</v>
      </c>
      <c r="C469" s="1" t="str">
        <f>VLOOKUP(student_internships[[#This Row],[Student_ID]],student_data[],2,0)</f>
        <v>Electronics</v>
      </c>
      <c r="D469" s="1" t="s">
        <v>1021</v>
      </c>
    </row>
    <row r="470" spans="1:4" x14ac:dyDescent="0.2">
      <c r="A470" s="1" t="s">
        <v>479</v>
      </c>
      <c r="B470" s="1">
        <v>0</v>
      </c>
      <c r="C470" s="1" t="str">
        <f>VLOOKUP(student_internships[[#This Row],[Student_ID]],student_data[],2,0)</f>
        <v>Electronics</v>
      </c>
      <c r="D470" s="1" t="s">
        <v>1024</v>
      </c>
    </row>
    <row r="471" spans="1:4" x14ac:dyDescent="0.2">
      <c r="A471" s="1" t="s">
        <v>480</v>
      </c>
      <c r="B471" s="1">
        <v>2</v>
      </c>
      <c r="C471" s="1" t="str">
        <f>VLOOKUP(student_internships[[#This Row],[Student_ID]],student_data[],2,0)</f>
        <v>Mechanical</v>
      </c>
      <c r="D471" s="1" t="s">
        <v>1021</v>
      </c>
    </row>
    <row r="472" spans="1:4" x14ac:dyDescent="0.2">
      <c r="A472" s="1" t="s">
        <v>481</v>
      </c>
      <c r="B472" s="1">
        <v>0</v>
      </c>
      <c r="C472" s="1" t="str">
        <f>VLOOKUP(student_internships[[#This Row],[Student_ID]],student_data[],2,0)</f>
        <v>Computer Science</v>
      </c>
      <c r="D472" s="1" t="s">
        <v>1024</v>
      </c>
    </row>
    <row r="473" spans="1:4" x14ac:dyDescent="0.2">
      <c r="A473" s="1" t="s">
        <v>482</v>
      </c>
      <c r="B473" s="1">
        <v>3</v>
      </c>
      <c r="C473" s="1" t="str">
        <f>VLOOKUP(student_internships[[#This Row],[Student_ID]],student_data[],2,0)</f>
        <v>Civil</v>
      </c>
      <c r="D473" s="1" t="s">
        <v>1021</v>
      </c>
    </row>
    <row r="474" spans="1:4" x14ac:dyDescent="0.2">
      <c r="A474" s="1" t="s">
        <v>483</v>
      </c>
      <c r="B474" s="1">
        <v>0</v>
      </c>
      <c r="C474" s="1" t="str">
        <f>VLOOKUP(student_internships[[#This Row],[Student_ID]],student_data[],2,0)</f>
        <v>Electronics</v>
      </c>
      <c r="D474" s="1" t="s">
        <v>1024</v>
      </c>
    </row>
    <row r="475" spans="1:4" x14ac:dyDescent="0.2">
      <c r="A475" s="1" t="s">
        <v>484</v>
      </c>
      <c r="B475" s="1">
        <v>3</v>
      </c>
      <c r="C475" s="1" t="str">
        <f>VLOOKUP(student_internships[[#This Row],[Student_ID]],student_data[],2,0)</f>
        <v>Information Technology</v>
      </c>
      <c r="D475" s="1" t="s">
        <v>1027</v>
      </c>
    </row>
    <row r="476" spans="1:4" x14ac:dyDescent="0.2">
      <c r="A476" s="1" t="s">
        <v>485</v>
      </c>
      <c r="B476" s="1">
        <v>0</v>
      </c>
      <c r="C476" s="1" t="str">
        <f>VLOOKUP(student_internships[[#This Row],[Student_ID]],student_data[],2,0)</f>
        <v>Electronics</v>
      </c>
      <c r="D476" s="1" t="s">
        <v>1024</v>
      </c>
    </row>
    <row r="477" spans="1:4" x14ac:dyDescent="0.2">
      <c r="A477" s="1" t="s">
        <v>486</v>
      </c>
      <c r="B477" s="1">
        <v>2</v>
      </c>
      <c r="C477" s="1" t="str">
        <f>VLOOKUP(student_internships[[#This Row],[Student_ID]],student_data[],2,0)</f>
        <v>Information Technology</v>
      </c>
      <c r="D477" s="1" t="s">
        <v>1021</v>
      </c>
    </row>
    <row r="478" spans="1:4" x14ac:dyDescent="0.2">
      <c r="A478" s="1" t="s">
        <v>487</v>
      </c>
      <c r="B478" s="1">
        <v>1</v>
      </c>
      <c r="C478" s="1" t="str">
        <f>VLOOKUP(student_internships[[#This Row],[Student_ID]],student_data[],2,0)</f>
        <v>Mechanical</v>
      </c>
      <c r="D478" s="1" t="s">
        <v>1023</v>
      </c>
    </row>
    <row r="479" spans="1:4" x14ac:dyDescent="0.2">
      <c r="A479" s="1" t="s">
        <v>488</v>
      </c>
      <c r="B479" s="1">
        <v>3</v>
      </c>
      <c r="C479" s="1" t="str">
        <f>VLOOKUP(student_internships[[#This Row],[Student_ID]],student_data[],2,0)</f>
        <v>Information Technology</v>
      </c>
      <c r="D479" s="1" t="s">
        <v>1026</v>
      </c>
    </row>
    <row r="480" spans="1:4" x14ac:dyDescent="0.2">
      <c r="A480" s="1" t="s">
        <v>489</v>
      </c>
      <c r="B480" s="1">
        <v>0</v>
      </c>
      <c r="C480" s="1" t="str">
        <f>VLOOKUP(student_internships[[#This Row],[Student_ID]],student_data[],2,0)</f>
        <v>Civil</v>
      </c>
      <c r="D480" s="1" t="s">
        <v>1024</v>
      </c>
    </row>
    <row r="481" spans="1:4" x14ac:dyDescent="0.2">
      <c r="A481" s="1" t="s">
        <v>490</v>
      </c>
      <c r="B481" s="1">
        <v>1</v>
      </c>
      <c r="C481" s="1" t="str">
        <f>VLOOKUP(student_internships[[#This Row],[Student_ID]],student_data[],2,0)</f>
        <v>Computer Science</v>
      </c>
      <c r="D481" s="1" t="s">
        <v>1021</v>
      </c>
    </row>
    <row r="482" spans="1:4" x14ac:dyDescent="0.2">
      <c r="A482" s="1" t="s">
        <v>491</v>
      </c>
      <c r="B482" s="1">
        <v>3</v>
      </c>
      <c r="C482" s="1" t="str">
        <f>VLOOKUP(student_internships[[#This Row],[Student_ID]],student_data[],2,0)</f>
        <v>Information Technology</v>
      </c>
      <c r="D482" s="1" t="s">
        <v>1022</v>
      </c>
    </row>
    <row r="483" spans="1:4" x14ac:dyDescent="0.2">
      <c r="A483" s="1" t="s">
        <v>492</v>
      </c>
      <c r="B483" s="1">
        <v>1</v>
      </c>
      <c r="C483" s="1" t="str">
        <f>VLOOKUP(student_internships[[#This Row],[Student_ID]],student_data[],2,0)</f>
        <v>Information Technology</v>
      </c>
      <c r="D483" s="1" t="s">
        <v>1026</v>
      </c>
    </row>
    <row r="484" spans="1:4" x14ac:dyDescent="0.2">
      <c r="A484" s="1" t="s">
        <v>493</v>
      </c>
      <c r="B484" s="1">
        <v>1</v>
      </c>
      <c r="C484" s="1" t="str">
        <f>VLOOKUP(student_internships[[#This Row],[Student_ID]],student_data[],2,0)</f>
        <v>Computer Science</v>
      </c>
      <c r="D484" s="1" t="s">
        <v>1027</v>
      </c>
    </row>
    <row r="485" spans="1:4" x14ac:dyDescent="0.2">
      <c r="A485" s="1" t="s">
        <v>494</v>
      </c>
      <c r="B485" s="1">
        <v>1</v>
      </c>
      <c r="C485" s="1" t="str">
        <f>VLOOKUP(student_internships[[#This Row],[Student_ID]],student_data[],2,0)</f>
        <v>Civil</v>
      </c>
      <c r="D485" s="1" t="s">
        <v>1022</v>
      </c>
    </row>
    <row r="486" spans="1:4" x14ac:dyDescent="0.2">
      <c r="A486" s="1" t="s">
        <v>495</v>
      </c>
      <c r="B486" s="1">
        <v>1</v>
      </c>
      <c r="C486" s="1" t="str">
        <f>VLOOKUP(student_internships[[#This Row],[Student_ID]],student_data[],2,0)</f>
        <v>Electronics</v>
      </c>
      <c r="D486" s="1" t="s">
        <v>1026</v>
      </c>
    </row>
    <row r="487" spans="1:4" x14ac:dyDescent="0.2">
      <c r="A487" s="1" t="s">
        <v>496</v>
      </c>
      <c r="B487" s="1">
        <v>1</v>
      </c>
      <c r="C487" s="1" t="str">
        <f>VLOOKUP(student_internships[[#This Row],[Student_ID]],student_data[],2,0)</f>
        <v>Information Technology</v>
      </c>
      <c r="D487" s="1" t="s">
        <v>1022</v>
      </c>
    </row>
    <row r="488" spans="1:4" x14ac:dyDescent="0.2">
      <c r="A488" s="1" t="s">
        <v>497</v>
      </c>
      <c r="B488" s="1">
        <v>1</v>
      </c>
      <c r="C488" s="1" t="str">
        <f>VLOOKUP(student_internships[[#This Row],[Student_ID]],student_data[],2,0)</f>
        <v>Computer Science</v>
      </c>
      <c r="D488" s="1" t="s">
        <v>1027</v>
      </c>
    </row>
    <row r="489" spans="1:4" x14ac:dyDescent="0.2">
      <c r="A489" s="1" t="s">
        <v>498</v>
      </c>
      <c r="B489" s="1">
        <v>3</v>
      </c>
      <c r="C489" s="1" t="str">
        <f>VLOOKUP(student_internships[[#This Row],[Student_ID]],student_data[],2,0)</f>
        <v>Mechanical</v>
      </c>
      <c r="D489" s="1" t="s">
        <v>1023</v>
      </c>
    </row>
    <row r="490" spans="1:4" x14ac:dyDescent="0.2">
      <c r="A490" s="1" t="s">
        <v>499</v>
      </c>
      <c r="B490" s="1">
        <v>0</v>
      </c>
      <c r="C490" s="1" t="str">
        <f>VLOOKUP(student_internships[[#This Row],[Student_ID]],student_data[],2,0)</f>
        <v>Computer Science</v>
      </c>
      <c r="D490" s="1" t="s">
        <v>1024</v>
      </c>
    </row>
    <row r="491" spans="1:4" x14ac:dyDescent="0.2">
      <c r="A491" s="1" t="s">
        <v>500</v>
      </c>
      <c r="B491" s="1">
        <v>0</v>
      </c>
      <c r="C491" s="1" t="str">
        <f>VLOOKUP(student_internships[[#This Row],[Student_ID]],student_data[],2,0)</f>
        <v>Mechanical</v>
      </c>
      <c r="D491" s="1" t="s">
        <v>1024</v>
      </c>
    </row>
    <row r="492" spans="1:4" x14ac:dyDescent="0.2">
      <c r="A492" s="1" t="s">
        <v>501</v>
      </c>
      <c r="B492" s="1">
        <v>3</v>
      </c>
      <c r="C492" s="1" t="str">
        <f>VLOOKUP(student_internships[[#This Row],[Student_ID]],student_data[],2,0)</f>
        <v>Civil</v>
      </c>
      <c r="D492" s="1" t="s">
        <v>1027</v>
      </c>
    </row>
    <row r="493" spans="1:4" x14ac:dyDescent="0.2">
      <c r="A493" s="1" t="s">
        <v>502</v>
      </c>
      <c r="B493" s="1">
        <v>2</v>
      </c>
      <c r="C493" s="1" t="str">
        <f>VLOOKUP(student_internships[[#This Row],[Student_ID]],student_data[],2,0)</f>
        <v>Electronics</v>
      </c>
      <c r="D493" s="1" t="s">
        <v>1027</v>
      </c>
    </row>
    <row r="494" spans="1:4" x14ac:dyDescent="0.2">
      <c r="A494" s="1" t="s">
        <v>503</v>
      </c>
      <c r="B494" s="1">
        <v>1</v>
      </c>
      <c r="C494" s="1" t="str">
        <f>VLOOKUP(student_internships[[#This Row],[Student_ID]],student_data[],2,0)</f>
        <v>Computer Science</v>
      </c>
      <c r="D494" s="1" t="s">
        <v>1022</v>
      </c>
    </row>
    <row r="495" spans="1:4" x14ac:dyDescent="0.2">
      <c r="A495" s="1" t="s">
        <v>504</v>
      </c>
      <c r="B495" s="1">
        <v>1</v>
      </c>
      <c r="C495" s="1" t="str">
        <f>VLOOKUP(student_internships[[#This Row],[Student_ID]],student_data[],2,0)</f>
        <v>Information Technology</v>
      </c>
      <c r="D495" s="1" t="s">
        <v>1020</v>
      </c>
    </row>
    <row r="496" spans="1:4" x14ac:dyDescent="0.2">
      <c r="A496" s="1" t="s">
        <v>505</v>
      </c>
      <c r="B496" s="1">
        <v>0</v>
      </c>
      <c r="C496" s="1" t="str">
        <f>VLOOKUP(student_internships[[#This Row],[Student_ID]],student_data[],2,0)</f>
        <v>Civil</v>
      </c>
      <c r="D496" s="1" t="s">
        <v>1024</v>
      </c>
    </row>
    <row r="497" spans="1:4" x14ac:dyDescent="0.2">
      <c r="A497" s="1" t="s">
        <v>506</v>
      </c>
      <c r="B497" s="1">
        <v>0</v>
      </c>
      <c r="C497" s="1" t="str">
        <f>VLOOKUP(student_internships[[#This Row],[Student_ID]],student_data[],2,0)</f>
        <v>Computer Science</v>
      </c>
      <c r="D497" s="1" t="s">
        <v>1024</v>
      </c>
    </row>
    <row r="498" spans="1:4" x14ac:dyDescent="0.2">
      <c r="A498" s="1" t="s">
        <v>507</v>
      </c>
      <c r="B498" s="1">
        <v>1</v>
      </c>
      <c r="C498" s="1" t="str">
        <f>VLOOKUP(student_internships[[#This Row],[Student_ID]],student_data[],2,0)</f>
        <v>Information Technology</v>
      </c>
      <c r="D498" s="1" t="s">
        <v>1025</v>
      </c>
    </row>
    <row r="499" spans="1:4" x14ac:dyDescent="0.2">
      <c r="A499" s="1" t="s">
        <v>508</v>
      </c>
      <c r="B499" s="1">
        <v>1</v>
      </c>
      <c r="C499" s="1" t="str">
        <f>VLOOKUP(student_internships[[#This Row],[Student_ID]],student_data[],2,0)</f>
        <v>Computer Science</v>
      </c>
      <c r="D499" s="1" t="s">
        <v>1021</v>
      </c>
    </row>
    <row r="500" spans="1:4" x14ac:dyDescent="0.2">
      <c r="A500" s="1" t="s">
        <v>509</v>
      </c>
      <c r="B500" s="1">
        <v>1</v>
      </c>
      <c r="C500" s="1" t="str">
        <f>VLOOKUP(student_internships[[#This Row],[Student_ID]],student_data[],2,0)</f>
        <v>Mechanical</v>
      </c>
      <c r="D500" s="1" t="s">
        <v>1021</v>
      </c>
    </row>
    <row r="501" spans="1:4" x14ac:dyDescent="0.2">
      <c r="A501" s="1" t="s">
        <v>510</v>
      </c>
      <c r="B501" s="1">
        <v>0</v>
      </c>
      <c r="C501" s="1" t="str">
        <f>VLOOKUP(student_internships[[#This Row],[Student_ID]],student_data[],2,0)</f>
        <v>Computer Science</v>
      </c>
      <c r="D501" s="1" t="s">
        <v>1024</v>
      </c>
    </row>
    <row r="502" spans="1:4" x14ac:dyDescent="0.2">
      <c r="A502" s="1" t="s">
        <v>511</v>
      </c>
      <c r="B502" s="1">
        <v>3</v>
      </c>
      <c r="C502" s="1" t="str">
        <f>VLOOKUP(student_internships[[#This Row],[Student_ID]],student_data[],2,0)</f>
        <v>Computer Science</v>
      </c>
      <c r="D502" s="1" t="s">
        <v>1023</v>
      </c>
    </row>
    <row r="503" spans="1:4" x14ac:dyDescent="0.2">
      <c r="A503" s="1" t="s">
        <v>512</v>
      </c>
      <c r="B503" s="1">
        <v>3</v>
      </c>
      <c r="C503" s="1" t="str">
        <f>VLOOKUP(student_internships[[#This Row],[Student_ID]],student_data[],2,0)</f>
        <v>Computer Science</v>
      </c>
      <c r="D503" s="1" t="s">
        <v>1023</v>
      </c>
    </row>
    <row r="504" spans="1:4" x14ac:dyDescent="0.2">
      <c r="A504" s="1" t="s">
        <v>513</v>
      </c>
      <c r="B504" s="1">
        <v>1</v>
      </c>
      <c r="C504" s="1" t="str">
        <f>VLOOKUP(student_internships[[#This Row],[Student_ID]],student_data[],2,0)</f>
        <v>Civil</v>
      </c>
      <c r="D504" s="1" t="s">
        <v>1021</v>
      </c>
    </row>
    <row r="505" spans="1:4" x14ac:dyDescent="0.2">
      <c r="A505" s="1" t="s">
        <v>514</v>
      </c>
      <c r="B505" s="1">
        <v>1</v>
      </c>
      <c r="C505" s="1" t="str">
        <f>VLOOKUP(student_internships[[#This Row],[Student_ID]],student_data[],2,0)</f>
        <v>Computer Science</v>
      </c>
      <c r="D505" s="1" t="s">
        <v>1025</v>
      </c>
    </row>
    <row r="506" spans="1:4" x14ac:dyDescent="0.2">
      <c r="A506" s="1" t="s">
        <v>515</v>
      </c>
      <c r="B506" s="1">
        <v>1</v>
      </c>
      <c r="C506" s="1" t="str">
        <f>VLOOKUP(student_internships[[#This Row],[Student_ID]],student_data[],2,0)</f>
        <v>Information Technology</v>
      </c>
      <c r="D506" s="1" t="s">
        <v>1021</v>
      </c>
    </row>
    <row r="507" spans="1:4" x14ac:dyDescent="0.2">
      <c r="A507" s="1" t="s">
        <v>516</v>
      </c>
      <c r="B507" s="1">
        <v>2</v>
      </c>
      <c r="C507" s="1" t="str">
        <f>VLOOKUP(student_internships[[#This Row],[Student_ID]],student_data[],2,0)</f>
        <v>Mechanical</v>
      </c>
      <c r="D507" s="1" t="s">
        <v>1020</v>
      </c>
    </row>
    <row r="508" spans="1:4" x14ac:dyDescent="0.2">
      <c r="A508" s="1" t="s">
        <v>517</v>
      </c>
      <c r="B508" s="1">
        <v>1</v>
      </c>
      <c r="C508" s="1" t="str">
        <f>VLOOKUP(student_internships[[#This Row],[Student_ID]],student_data[],2,0)</f>
        <v>Mechanical</v>
      </c>
      <c r="D508" s="1" t="s">
        <v>1025</v>
      </c>
    </row>
    <row r="509" spans="1:4" x14ac:dyDescent="0.2">
      <c r="A509" s="1" t="s">
        <v>518</v>
      </c>
      <c r="B509" s="1">
        <v>0</v>
      </c>
      <c r="C509" s="1" t="str">
        <f>VLOOKUP(student_internships[[#This Row],[Student_ID]],student_data[],2,0)</f>
        <v>Computer Science</v>
      </c>
      <c r="D509" s="1" t="s">
        <v>1024</v>
      </c>
    </row>
    <row r="510" spans="1:4" x14ac:dyDescent="0.2">
      <c r="A510" s="1" t="s">
        <v>519</v>
      </c>
      <c r="B510" s="1">
        <v>3</v>
      </c>
      <c r="C510" s="1" t="str">
        <f>VLOOKUP(student_internships[[#This Row],[Student_ID]],student_data[],2,0)</f>
        <v>Civil</v>
      </c>
      <c r="D510" s="1" t="s">
        <v>1023</v>
      </c>
    </row>
    <row r="511" spans="1:4" x14ac:dyDescent="0.2">
      <c r="A511" s="1" t="s">
        <v>520</v>
      </c>
      <c r="B511" s="1">
        <v>2</v>
      </c>
      <c r="C511" s="1" t="str">
        <f>VLOOKUP(student_internships[[#This Row],[Student_ID]],student_data[],2,0)</f>
        <v>Civil</v>
      </c>
      <c r="D511" s="1" t="s">
        <v>1026</v>
      </c>
    </row>
    <row r="512" spans="1:4" x14ac:dyDescent="0.2">
      <c r="A512" s="1" t="s">
        <v>521</v>
      </c>
      <c r="B512" s="1">
        <v>3</v>
      </c>
      <c r="C512" s="1" t="str">
        <f>VLOOKUP(student_internships[[#This Row],[Student_ID]],student_data[],2,0)</f>
        <v>Information Technology</v>
      </c>
      <c r="D512" s="1" t="s">
        <v>1022</v>
      </c>
    </row>
    <row r="513" spans="1:4" x14ac:dyDescent="0.2">
      <c r="A513" s="1" t="s">
        <v>522</v>
      </c>
      <c r="B513" s="1">
        <v>2</v>
      </c>
      <c r="C513" s="1" t="str">
        <f>VLOOKUP(student_internships[[#This Row],[Student_ID]],student_data[],2,0)</f>
        <v>Computer Science</v>
      </c>
      <c r="D513" s="1" t="s">
        <v>1020</v>
      </c>
    </row>
    <row r="514" spans="1:4" x14ac:dyDescent="0.2">
      <c r="A514" s="1" t="s">
        <v>523</v>
      </c>
      <c r="B514" s="1">
        <v>1</v>
      </c>
      <c r="C514" s="1" t="str">
        <f>VLOOKUP(student_internships[[#This Row],[Student_ID]],student_data[],2,0)</f>
        <v>Mechanical</v>
      </c>
      <c r="D514" s="1" t="s">
        <v>1020</v>
      </c>
    </row>
    <row r="515" spans="1:4" x14ac:dyDescent="0.2">
      <c r="A515" s="1" t="s">
        <v>524</v>
      </c>
      <c r="B515" s="1">
        <v>1</v>
      </c>
      <c r="C515" s="1" t="str">
        <f>VLOOKUP(student_internships[[#This Row],[Student_ID]],student_data[],2,0)</f>
        <v>Civil</v>
      </c>
      <c r="D515" s="1" t="s">
        <v>1023</v>
      </c>
    </row>
    <row r="516" spans="1:4" x14ac:dyDescent="0.2">
      <c r="A516" s="1" t="s">
        <v>525</v>
      </c>
      <c r="B516" s="1">
        <v>3</v>
      </c>
      <c r="C516" s="1" t="str">
        <f>VLOOKUP(student_internships[[#This Row],[Student_ID]],student_data[],2,0)</f>
        <v>Computer Science</v>
      </c>
      <c r="D516" s="1" t="s">
        <v>1023</v>
      </c>
    </row>
    <row r="517" spans="1:4" x14ac:dyDescent="0.2">
      <c r="A517" s="1" t="s">
        <v>526</v>
      </c>
      <c r="B517" s="1">
        <v>2</v>
      </c>
      <c r="C517" s="1" t="str">
        <f>VLOOKUP(student_internships[[#This Row],[Student_ID]],student_data[],2,0)</f>
        <v>Civil</v>
      </c>
      <c r="D517" s="1" t="s">
        <v>1027</v>
      </c>
    </row>
    <row r="518" spans="1:4" x14ac:dyDescent="0.2">
      <c r="A518" s="1" t="s">
        <v>527</v>
      </c>
      <c r="B518" s="1">
        <v>0</v>
      </c>
      <c r="C518" s="1" t="str">
        <f>VLOOKUP(student_internships[[#This Row],[Student_ID]],student_data[],2,0)</f>
        <v>Civil</v>
      </c>
      <c r="D518" s="1" t="s">
        <v>1024</v>
      </c>
    </row>
    <row r="519" spans="1:4" x14ac:dyDescent="0.2">
      <c r="A519" s="1" t="s">
        <v>528</v>
      </c>
      <c r="B519" s="1">
        <v>0</v>
      </c>
      <c r="C519" s="1" t="str">
        <f>VLOOKUP(student_internships[[#This Row],[Student_ID]],student_data[],2,0)</f>
        <v>Mechanical</v>
      </c>
      <c r="D519" s="1" t="s">
        <v>1024</v>
      </c>
    </row>
    <row r="520" spans="1:4" x14ac:dyDescent="0.2">
      <c r="A520" s="1" t="s">
        <v>529</v>
      </c>
      <c r="B520" s="1">
        <v>1</v>
      </c>
      <c r="C520" s="1" t="str">
        <f>VLOOKUP(student_internships[[#This Row],[Student_ID]],student_data[],2,0)</f>
        <v>Electronics</v>
      </c>
      <c r="D520" s="1" t="s">
        <v>1020</v>
      </c>
    </row>
    <row r="521" spans="1:4" x14ac:dyDescent="0.2">
      <c r="A521" s="1" t="s">
        <v>530</v>
      </c>
      <c r="B521" s="1">
        <v>2</v>
      </c>
      <c r="C521" s="1" t="str">
        <f>VLOOKUP(student_internships[[#This Row],[Student_ID]],student_data[],2,0)</f>
        <v>Information Technology</v>
      </c>
      <c r="D521" s="1" t="s">
        <v>1027</v>
      </c>
    </row>
    <row r="522" spans="1:4" x14ac:dyDescent="0.2">
      <c r="A522" s="1" t="s">
        <v>531</v>
      </c>
      <c r="B522" s="1">
        <v>3</v>
      </c>
      <c r="C522" s="1" t="str">
        <f>VLOOKUP(student_internships[[#This Row],[Student_ID]],student_data[],2,0)</f>
        <v>Information Technology</v>
      </c>
      <c r="D522" s="1" t="s">
        <v>1027</v>
      </c>
    </row>
    <row r="523" spans="1:4" x14ac:dyDescent="0.2">
      <c r="A523" s="1" t="s">
        <v>532</v>
      </c>
      <c r="B523" s="1">
        <v>0</v>
      </c>
      <c r="C523" s="1" t="str">
        <f>VLOOKUP(student_internships[[#This Row],[Student_ID]],student_data[],2,0)</f>
        <v>Mechanical</v>
      </c>
      <c r="D523" s="1" t="s">
        <v>1024</v>
      </c>
    </row>
    <row r="524" spans="1:4" x14ac:dyDescent="0.2">
      <c r="A524" s="1" t="s">
        <v>533</v>
      </c>
      <c r="B524" s="1">
        <v>1</v>
      </c>
      <c r="C524" s="1" t="str">
        <f>VLOOKUP(student_internships[[#This Row],[Student_ID]],student_data[],2,0)</f>
        <v>Civil</v>
      </c>
      <c r="D524" s="1" t="s">
        <v>1022</v>
      </c>
    </row>
    <row r="525" spans="1:4" x14ac:dyDescent="0.2">
      <c r="A525" s="1" t="s">
        <v>534</v>
      </c>
      <c r="B525" s="1">
        <v>1</v>
      </c>
      <c r="C525" s="1" t="str">
        <f>VLOOKUP(student_internships[[#This Row],[Student_ID]],student_data[],2,0)</f>
        <v>Computer Science</v>
      </c>
      <c r="D525" s="1" t="s">
        <v>1027</v>
      </c>
    </row>
    <row r="526" spans="1:4" x14ac:dyDescent="0.2">
      <c r="A526" s="1" t="s">
        <v>535</v>
      </c>
      <c r="B526" s="1">
        <v>3</v>
      </c>
      <c r="C526" s="1" t="str">
        <f>VLOOKUP(student_internships[[#This Row],[Student_ID]],student_data[],2,0)</f>
        <v>Civil</v>
      </c>
      <c r="D526" s="1" t="s">
        <v>1025</v>
      </c>
    </row>
    <row r="527" spans="1:4" x14ac:dyDescent="0.2">
      <c r="A527" s="1" t="s">
        <v>536</v>
      </c>
      <c r="B527" s="1">
        <v>2</v>
      </c>
      <c r="C527" s="1" t="str">
        <f>VLOOKUP(student_internships[[#This Row],[Student_ID]],student_data[],2,0)</f>
        <v>Mechanical</v>
      </c>
      <c r="D527" s="1" t="s">
        <v>1021</v>
      </c>
    </row>
    <row r="528" spans="1:4" x14ac:dyDescent="0.2">
      <c r="A528" s="1" t="s">
        <v>537</v>
      </c>
      <c r="B528" s="1">
        <v>2</v>
      </c>
      <c r="C528" s="1" t="str">
        <f>VLOOKUP(student_internships[[#This Row],[Student_ID]],student_data[],2,0)</f>
        <v>Information Technology</v>
      </c>
      <c r="D528" s="1" t="s">
        <v>1026</v>
      </c>
    </row>
    <row r="529" spans="1:4" x14ac:dyDescent="0.2">
      <c r="A529" s="1" t="s">
        <v>538</v>
      </c>
      <c r="B529" s="1">
        <v>1</v>
      </c>
      <c r="C529" s="1" t="str">
        <f>VLOOKUP(student_internships[[#This Row],[Student_ID]],student_data[],2,0)</f>
        <v>Civil</v>
      </c>
      <c r="D529" s="1" t="s">
        <v>1023</v>
      </c>
    </row>
    <row r="530" spans="1:4" x14ac:dyDescent="0.2">
      <c r="A530" s="1" t="s">
        <v>539</v>
      </c>
      <c r="B530" s="1">
        <v>1</v>
      </c>
      <c r="C530" s="1" t="str">
        <f>VLOOKUP(student_internships[[#This Row],[Student_ID]],student_data[],2,0)</f>
        <v>Information Technology</v>
      </c>
      <c r="D530" s="1" t="s">
        <v>1025</v>
      </c>
    </row>
    <row r="531" spans="1:4" x14ac:dyDescent="0.2">
      <c r="A531" s="1" t="s">
        <v>540</v>
      </c>
      <c r="B531" s="1">
        <v>0</v>
      </c>
      <c r="C531" s="1" t="str">
        <f>VLOOKUP(student_internships[[#This Row],[Student_ID]],student_data[],2,0)</f>
        <v>Computer Science</v>
      </c>
      <c r="D531" s="1" t="s">
        <v>1024</v>
      </c>
    </row>
    <row r="532" spans="1:4" x14ac:dyDescent="0.2">
      <c r="A532" s="1" t="s">
        <v>541</v>
      </c>
      <c r="B532" s="1">
        <v>0</v>
      </c>
      <c r="C532" s="1" t="str">
        <f>VLOOKUP(student_internships[[#This Row],[Student_ID]],student_data[],2,0)</f>
        <v>Information Technology</v>
      </c>
      <c r="D532" s="1" t="s">
        <v>1024</v>
      </c>
    </row>
    <row r="533" spans="1:4" x14ac:dyDescent="0.2">
      <c r="A533" s="1" t="s">
        <v>542</v>
      </c>
      <c r="B533" s="1">
        <v>2</v>
      </c>
      <c r="C533" s="1" t="str">
        <f>VLOOKUP(student_internships[[#This Row],[Student_ID]],student_data[],2,0)</f>
        <v>Information Technology</v>
      </c>
      <c r="D533" s="1" t="s">
        <v>1026</v>
      </c>
    </row>
    <row r="534" spans="1:4" x14ac:dyDescent="0.2">
      <c r="A534" s="1" t="s">
        <v>543</v>
      </c>
      <c r="B534" s="1">
        <v>2</v>
      </c>
      <c r="C534" s="1" t="str">
        <f>VLOOKUP(student_internships[[#This Row],[Student_ID]],student_data[],2,0)</f>
        <v>Electronics</v>
      </c>
      <c r="D534" s="1" t="s">
        <v>1020</v>
      </c>
    </row>
    <row r="535" spans="1:4" x14ac:dyDescent="0.2">
      <c r="A535" s="1" t="s">
        <v>544</v>
      </c>
      <c r="B535" s="1">
        <v>3</v>
      </c>
      <c r="C535" s="1" t="str">
        <f>VLOOKUP(student_internships[[#This Row],[Student_ID]],student_data[],2,0)</f>
        <v>Electronics</v>
      </c>
      <c r="D535" s="1" t="s">
        <v>1020</v>
      </c>
    </row>
    <row r="536" spans="1:4" x14ac:dyDescent="0.2">
      <c r="A536" s="1" t="s">
        <v>545</v>
      </c>
      <c r="B536" s="1">
        <v>3</v>
      </c>
      <c r="C536" s="1" t="str">
        <f>VLOOKUP(student_internships[[#This Row],[Student_ID]],student_data[],2,0)</f>
        <v>Electronics</v>
      </c>
      <c r="D536" s="1" t="s">
        <v>1020</v>
      </c>
    </row>
    <row r="537" spans="1:4" x14ac:dyDescent="0.2">
      <c r="A537" s="1" t="s">
        <v>546</v>
      </c>
      <c r="B537" s="1">
        <v>1</v>
      </c>
      <c r="C537" s="1" t="str">
        <f>VLOOKUP(student_internships[[#This Row],[Student_ID]],student_data[],2,0)</f>
        <v>Information Technology</v>
      </c>
      <c r="D537" s="1" t="s">
        <v>1025</v>
      </c>
    </row>
    <row r="538" spans="1:4" x14ac:dyDescent="0.2">
      <c r="A538" s="1" t="s">
        <v>547</v>
      </c>
      <c r="B538" s="1">
        <v>2</v>
      </c>
      <c r="C538" s="1" t="str">
        <f>VLOOKUP(student_internships[[#This Row],[Student_ID]],student_data[],2,0)</f>
        <v>Mechanical</v>
      </c>
      <c r="D538" s="1" t="s">
        <v>1025</v>
      </c>
    </row>
    <row r="539" spans="1:4" x14ac:dyDescent="0.2">
      <c r="A539" s="1" t="s">
        <v>548</v>
      </c>
      <c r="B539" s="1">
        <v>3</v>
      </c>
      <c r="C539" s="1" t="str">
        <f>VLOOKUP(student_internships[[#This Row],[Student_ID]],student_data[],2,0)</f>
        <v>Information Technology</v>
      </c>
      <c r="D539" s="1" t="s">
        <v>1023</v>
      </c>
    </row>
    <row r="540" spans="1:4" x14ac:dyDescent="0.2">
      <c r="A540" s="1" t="s">
        <v>549</v>
      </c>
      <c r="B540" s="1">
        <v>2</v>
      </c>
      <c r="C540" s="1" t="str">
        <f>VLOOKUP(student_internships[[#This Row],[Student_ID]],student_data[],2,0)</f>
        <v>Mechanical</v>
      </c>
      <c r="D540" s="1" t="s">
        <v>1021</v>
      </c>
    </row>
    <row r="541" spans="1:4" x14ac:dyDescent="0.2">
      <c r="A541" s="1" t="s">
        <v>550</v>
      </c>
      <c r="B541" s="1">
        <v>0</v>
      </c>
      <c r="C541" s="1" t="str">
        <f>VLOOKUP(student_internships[[#This Row],[Student_ID]],student_data[],2,0)</f>
        <v>Mechanical</v>
      </c>
      <c r="D541" s="1" t="s">
        <v>1024</v>
      </c>
    </row>
    <row r="542" spans="1:4" x14ac:dyDescent="0.2">
      <c r="A542" s="1" t="s">
        <v>551</v>
      </c>
      <c r="B542" s="1">
        <v>1</v>
      </c>
      <c r="C542" s="1" t="str">
        <f>VLOOKUP(student_internships[[#This Row],[Student_ID]],student_data[],2,0)</f>
        <v>Electronics</v>
      </c>
      <c r="D542" s="1" t="s">
        <v>1027</v>
      </c>
    </row>
    <row r="543" spans="1:4" x14ac:dyDescent="0.2">
      <c r="A543" s="1" t="s">
        <v>552</v>
      </c>
      <c r="B543" s="1">
        <v>0</v>
      </c>
      <c r="C543" s="1" t="str">
        <f>VLOOKUP(student_internships[[#This Row],[Student_ID]],student_data[],2,0)</f>
        <v>Civil</v>
      </c>
      <c r="D543" s="1" t="s">
        <v>1024</v>
      </c>
    </row>
    <row r="544" spans="1:4" x14ac:dyDescent="0.2">
      <c r="A544" s="1" t="s">
        <v>553</v>
      </c>
      <c r="B544" s="1">
        <v>3</v>
      </c>
      <c r="C544" s="1" t="str">
        <f>VLOOKUP(student_internships[[#This Row],[Student_ID]],student_data[],2,0)</f>
        <v>Computer Science</v>
      </c>
      <c r="D544" s="1" t="s">
        <v>1020</v>
      </c>
    </row>
    <row r="545" spans="1:4" x14ac:dyDescent="0.2">
      <c r="A545" s="1" t="s">
        <v>554</v>
      </c>
      <c r="B545" s="1">
        <v>1</v>
      </c>
      <c r="C545" s="1" t="str">
        <f>VLOOKUP(student_internships[[#This Row],[Student_ID]],student_data[],2,0)</f>
        <v>Electronics</v>
      </c>
      <c r="D545" s="1" t="s">
        <v>1022</v>
      </c>
    </row>
    <row r="546" spans="1:4" x14ac:dyDescent="0.2">
      <c r="A546" s="1" t="s">
        <v>555</v>
      </c>
      <c r="B546" s="1">
        <v>0</v>
      </c>
      <c r="C546" s="1" t="str">
        <f>VLOOKUP(student_internships[[#This Row],[Student_ID]],student_data[],2,0)</f>
        <v>Electronics</v>
      </c>
      <c r="D546" s="1" t="s">
        <v>1024</v>
      </c>
    </row>
    <row r="547" spans="1:4" x14ac:dyDescent="0.2">
      <c r="A547" s="1" t="s">
        <v>556</v>
      </c>
      <c r="B547" s="1">
        <v>1</v>
      </c>
      <c r="C547" s="1" t="str">
        <f>VLOOKUP(student_internships[[#This Row],[Student_ID]],student_data[],2,0)</f>
        <v>Civil</v>
      </c>
      <c r="D547" s="1" t="s">
        <v>1021</v>
      </c>
    </row>
    <row r="548" spans="1:4" x14ac:dyDescent="0.2">
      <c r="A548" s="1" t="s">
        <v>557</v>
      </c>
      <c r="B548" s="1">
        <v>1</v>
      </c>
      <c r="C548" s="1" t="str">
        <f>VLOOKUP(student_internships[[#This Row],[Student_ID]],student_data[],2,0)</f>
        <v>Computer Science</v>
      </c>
      <c r="D548" s="1" t="s">
        <v>1022</v>
      </c>
    </row>
    <row r="549" spans="1:4" x14ac:dyDescent="0.2">
      <c r="A549" s="1" t="s">
        <v>558</v>
      </c>
      <c r="B549" s="1">
        <v>1</v>
      </c>
      <c r="C549" s="1" t="str">
        <f>VLOOKUP(student_internships[[#This Row],[Student_ID]],student_data[],2,0)</f>
        <v>Information Technology</v>
      </c>
      <c r="D549" s="1" t="s">
        <v>1023</v>
      </c>
    </row>
    <row r="550" spans="1:4" x14ac:dyDescent="0.2">
      <c r="A550" s="1" t="s">
        <v>559</v>
      </c>
      <c r="B550" s="1">
        <v>0</v>
      </c>
      <c r="C550" s="1" t="str">
        <f>VLOOKUP(student_internships[[#This Row],[Student_ID]],student_data[],2,0)</f>
        <v>Information Technology</v>
      </c>
      <c r="D550" s="1" t="s">
        <v>1024</v>
      </c>
    </row>
    <row r="551" spans="1:4" x14ac:dyDescent="0.2">
      <c r="A551" s="1" t="s">
        <v>560</v>
      </c>
      <c r="B551" s="1">
        <v>1</v>
      </c>
      <c r="C551" s="1" t="str">
        <f>VLOOKUP(student_internships[[#This Row],[Student_ID]],student_data[],2,0)</f>
        <v>Electronics</v>
      </c>
      <c r="D551" s="1" t="s">
        <v>1023</v>
      </c>
    </row>
    <row r="552" spans="1:4" x14ac:dyDescent="0.2">
      <c r="A552" s="1" t="s">
        <v>561</v>
      </c>
      <c r="B552" s="1">
        <v>1</v>
      </c>
      <c r="C552" s="1" t="str">
        <f>VLOOKUP(student_internships[[#This Row],[Student_ID]],student_data[],2,0)</f>
        <v>Computer Science</v>
      </c>
      <c r="D552" s="1" t="s">
        <v>1023</v>
      </c>
    </row>
    <row r="553" spans="1:4" x14ac:dyDescent="0.2">
      <c r="A553" s="1" t="s">
        <v>562</v>
      </c>
      <c r="B553" s="1">
        <v>2</v>
      </c>
      <c r="C553" s="1" t="str">
        <f>VLOOKUP(student_internships[[#This Row],[Student_ID]],student_data[],2,0)</f>
        <v>Electronics</v>
      </c>
      <c r="D553" s="1" t="s">
        <v>1026</v>
      </c>
    </row>
    <row r="554" spans="1:4" x14ac:dyDescent="0.2">
      <c r="A554" s="1" t="s">
        <v>563</v>
      </c>
      <c r="B554" s="1">
        <v>1</v>
      </c>
      <c r="C554" s="1" t="str">
        <f>VLOOKUP(student_internships[[#This Row],[Student_ID]],student_data[],2,0)</f>
        <v>Mechanical</v>
      </c>
      <c r="D554" s="1" t="s">
        <v>1022</v>
      </c>
    </row>
    <row r="555" spans="1:4" x14ac:dyDescent="0.2">
      <c r="A555" s="1" t="s">
        <v>564</v>
      </c>
      <c r="B555" s="1">
        <v>2</v>
      </c>
      <c r="C555" s="1" t="str">
        <f>VLOOKUP(student_internships[[#This Row],[Student_ID]],student_data[],2,0)</f>
        <v>Electronics</v>
      </c>
      <c r="D555" s="1" t="s">
        <v>1021</v>
      </c>
    </row>
    <row r="556" spans="1:4" x14ac:dyDescent="0.2">
      <c r="A556" s="1" t="s">
        <v>565</v>
      </c>
      <c r="B556" s="1">
        <v>1</v>
      </c>
      <c r="C556" s="1" t="str">
        <f>VLOOKUP(student_internships[[#This Row],[Student_ID]],student_data[],2,0)</f>
        <v>Electronics</v>
      </c>
      <c r="D556" s="1" t="s">
        <v>1021</v>
      </c>
    </row>
    <row r="557" spans="1:4" x14ac:dyDescent="0.2">
      <c r="A557" s="1" t="s">
        <v>566</v>
      </c>
      <c r="B557" s="1">
        <v>1</v>
      </c>
      <c r="C557" s="1" t="str">
        <f>VLOOKUP(student_internships[[#This Row],[Student_ID]],student_data[],2,0)</f>
        <v>Information Technology</v>
      </c>
      <c r="D557" s="1" t="s">
        <v>1025</v>
      </c>
    </row>
    <row r="558" spans="1:4" x14ac:dyDescent="0.2">
      <c r="A558" s="1" t="s">
        <v>567</v>
      </c>
      <c r="B558" s="1">
        <v>2</v>
      </c>
      <c r="C558" s="1" t="str">
        <f>VLOOKUP(student_internships[[#This Row],[Student_ID]],student_data[],2,0)</f>
        <v>Information Technology</v>
      </c>
      <c r="D558" s="1" t="s">
        <v>1025</v>
      </c>
    </row>
    <row r="559" spans="1:4" x14ac:dyDescent="0.2">
      <c r="A559" s="1" t="s">
        <v>568</v>
      </c>
      <c r="B559" s="1">
        <v>1</v>
      </c>
      <c r="C559" s="1" t="str">
        <f>VLOOKUP(student_internships[[#This Row],[Student_ID]],student_data[],2,0)</f>
        <v>Information Technology</v>
      </c>
      <c r="D559" s="1" t="s">
        <v>1020</v>
      </c>
    </row>
    <row r="560" spans="1:4" x14ac:dyDescent="0.2">
      <c r="A560" s="1" t="s">
        <v>569</v>
      </c>
      <c r="B560" s="1">
        <v>0</v>
      </c>
      <c r="C560" s="1" t="str">
        <f>VLOOKUP(student_internships[[#This Row],[Student_ID]],student_data[],2,0)</f>
        <v>Mechanical</v>
      </c>
      <c r="D560" s="1" t="s">
        <v>1024</v>
      </c>
    </row>
    <row r="561" spans="1:4" x14ac:dyDescent="0.2">
      <c r="A561" s="1" t="s">
        <v>570</v>
      </c>
      <c r="B561" s="1">
        <v>0</v>
      </c>
      <c r="C561" s="1" t="str">
        <f>VLOOKUP(student_internships[[#This Row],[Student_ID]],student_data[],2,0)</f>
        <v>Information Technology</v>
      </c>
      <c r="D561" s="1" t="s">
        <v>1024</v>
      </c>
    </row>
    <row r="562" spans="1:4" x14ac:dyDescent="0.2">
      <c r="A562" s="1" t="s">
        <v>571</v>
      </c>
      <c r="B562" s="1">
        <v>2</v>
      </c>
      <c r="C562" s="1" t="str">
        <f>VLOOKUP(student_internships[[#This Row],[Student_ID]],student_data[],2,0)</f>
        <v>Computer Science</v>
      </c>
      <c r="D562" s="1" t="s">
        <v>1025</v>
      </c>
    </row>
    <row r="563" spans="1:4" x14ac:dyDescent="0.2">
      <c r="A563" s="1" t="s">
        <v>572</v>
      </c>
      <c r="B563" s="1">
        <v>1</v>
      </c>
      <c r="C563" s="1" t="str">
        <f>VLOOKUP(student_internships[[#This Row],[Student_ID]],student_data[],2,0)</f>
        <v>Civil</v>
      </c>
      <c r="D563" s="1" t="s">
        <v>1023</v>
      </c>
    </row>
    <row r="564" spans="1:4" x14ac:dyDescent="0.2">
      <c r="A564" s="1" t="s">
        <v>573</v>
      </c>
      <c r="B564" s="1">
        <v>2</v>
      </c>
      <c r="C564" s="1" t="str">
        <f>VLOOKUP(student_internships[[#This Row],[Student_ID]],student_data[],2,0)</f>
        <v>Computer Science</v>
      </c>
      <c r="D564" s="1" t="s">
        <v>1021</v>
      </c>
    </row>
    <row r="565" spans="1:4" x14ac:dyDescent="0.2">
      <c r="A565" s="1" t="s">
        <v>574</v>
      </c>
      <c r="B565" s="1">
        <v>0</v>
      </c>
      <c r="C565" s="1" t="str">
        <f>VLOOKUP(student_internships[[#This Row],[Student_ID]],student_data[],2,0)</f>
        <v>Computer Science</v>
      </c>
      <c r="D565" s="1" t="s">
        <v>1024</v>
      </c>
    </row>
    <row r="566" spans="1:4" x14ac:dyDescent="0.2">
      <c r="A566" s="1" t="s">
        <v>575</v>
      </c>
      <c r="B566" s="1">
        <v>0</v>
      </c>
      <c r="C566" s="1" t="str">
        <f>VLOOKUP(student_internships[[#This Row],[Student_ID]],student_data[],2,0)</f>
        <v>Information Technology</v>
      </c>
      <c r="D566" s="1" t="s">
        <v>1024</v>
      </c>
    </row>
    <row r="567" spans="1:4" x14ac:dyDescent="0.2">
      <c r="A567" s="1" t="s">
        <v>576</v>
      </c>
      <c r="B567" s="1">
        <v>0</v>
      </c>
      <c r="C567" s="1" t="str">
        <f>VLOOKUP(student_internships[[#This Row],[Student_ID]],student_data[],2,0)</f>
        <v>Civil</v>
      </c>
      <c r="D567" s="1" t="s">
        <v>1024</v>
      </c>
    </row>
    <row r="568" spans="1:4" x14ac:dyDescent="0.2">
      <c r="A568" s="1" t="s">
        <v>577</v>
      </c>
      <c r="B568" s="1">
        <v>1</v>
      </c>
      <c r="C568" s="1" t="str">
        <f>VLOOKUP(student_internships[[#This Row],[Student_ID]],student_data[],2,0)</f>
        <v>Civil</v>
      </c>
      <c r="D568" s="1" t="s">
        <v>1022</v>
      </c>
    </row>
    <row r="569" spans="1:4" x14ac:dyDescent="0.2">
      <c r="A569" s="1" t="s">
        <v>578</v>
      </c>
      <c r="B569" s="1">
        <v>1</v>
      </c>
      <c r="C569" s="1" t="str">
        <f>VLOOKUP(student_internships[[#This Row],[Student_ID]],student_data[],2,0)</f>
        <v>Civil</v>
      </c>
      <c r="D569" s="1" t="s">
        <v>1023</v>
      </c>
    </row>
    <row r="570" spans="1:4" x14ac:dyDescent="0.2">
      <c r="A570" s="1" t="s">
        <v>579</v>
      </c>
      <c r="B570" s="1">
        <v>1</v>
      </c>
      <c r="C570" s="1" t="str">
        <f>VLOOKUP(student_internships[[#This Row],[Student_ID]],student_data[],2,0)</f>
        <v>Mechanical</v>
      </c>
      <c r="D570" s="1" t="s">
        <v>1026</v>
      </c>
    </row>
    <row r="571" spans="1:4" x14ac:dyDescent="0.2">
      <c r="A571" s="1" t="s">
        <v>580</v>
      </c>
      <c r="B571" s="1">
        <v>1</v>
      </c>
      <c r="C571" s="1" t="str">
        <f>VLOOKUP(student_internships[[#This Row],[Student_ID]],student_data[],2,0)</f>
        <v>Information Technology</v>
      </c>
      <c r="D571" s="1" t="s">
        <v>1025</v>
      </c>
    </row>
    <row r="572" spans="1:4" x14ac:dyDescent="0.2">
      <c r="A572" s="1" t="s">
        <v>581</v>
      </c>
      <c r="B572" s="1">
        <v>3</v>
      </c>
      <c r="C572" s="1" t="str">
        <f>VLOOKUP(student_internships[[#This Row],[Student_ID]],student_data[],2,0)</f>
        <v>Civil</v>
      </c>
      <c r="D572" s="1" t="s">
        <v>1023</v>
      </c>
    </row>
    <row r="573" spans="1:4" x14ac:dyDescent="0.2">
      <c r="A573" s="1" t="s">
        <v>582</v>
      </c>
      <c r="B573" s="1">
        <v>1</v>
      </c>
      <c r="C573" s="1" t="str">
        <f>VLOOKUP(student_internships[[#This Row],[Student_ID]],student_data[],2,0)</f>
        <v>Mechanical</v>
      </c>
      <c r="D573" s="1" t="s">
        <v>1023</v>
      </c>
    </row>
    <row r="574" spans="1:4" x14ac:dyDescent="0.2">
      <c r="A574" s="1" t="s">
        <v>583</v>
      </c>
      <c r="B574" s="1">
        <v>1</v>
      </c>
      <c r="C574" s="1" t="str">
        <f>VLOOKUP(student_internships[[#This Row],[Student_ID]],student_data[],2,0)</f>
        <v>Electronics</v>
      </c>
      <c r="D574" s="1" t="s">
        <v>1026</v>
      </c>
    </row>
    <row r="575" spans="1:4" x14ac:dyDescent="0.2">
      <c r="A575" s="1" t="s">
        <v>584</v>
      </c>
      <c r="B575" s="1">
        <v>2</v>
      </c>
      <c r="C575" s="1" t="str">
        <f>VLOOKUP(student_internships[[#This Row],[Student_ID]],student_data[],2,0)</f>
        <v>Electronics</v>
      </c>
      <c r="D575" s="1" t="s">
        <v>1027</v>
      </c>
    </row>
    <row r="576" spans="1:4" x14ac:dyDescent="0.2">
      <c r="A576" s="1" t="s">
        <v>585</v>
      </c>
      <c r="B576" s="1">
        <v>1</v>
      </c>
      <c r="C576" s="1" t="str">
        <f>VLOOKUP(student_internships[[#This Row],[Student_ID]],student_data[],2,0)</f>
        <v>Mechanical</v>
      </c>
      <c r="D576" s="1" t="s">
        <v>1021</v>
      </c>
    </row>
    <row r="577" spans="1:4" x14ac:dyDescent="0.2">
      <c r="A577" s="1" t="s">
        <v>586</v>
      </c>
      <c r="B577" s="1">
        <v>1</v>
      </c>
      <c r="C577" s="1" t="str">
        <f>VLOOKUP(student_internships[[#This Row],[Student_ID]],student_data[],2,0)</f>
        <v>Mechanical</v>
      </c>
      <c r="D577" s="1" t="s">
        <v>1022</v>
      </c>
    </row>
    <row r="578" spans="1:4" x14ac:dyDescent="0.2">
      <c r="A578" s="1" t="s">
        <v>587</v>
      </c>
      <c r="B578" s="1">
        <v>2</v>
      </c>
      <c r="C578" s="1" t="str">
        <f>VLOOKUP(student_internships[[#This Row],[Student_ID]],student_data[],2,0)</f>
        <v>Information Technology</v>
      </c>
      <c r="D578" s="1" t="s">
        <v>1020</v>
      </c>
    </row>
    <row r="579" spans="1:4" x14ac:dyDescent="0.2">
      <c r="A579" s="1" t="s">
        <v>588</v>
      </c>
      <c r="B579" s="1">
        <v>3</v>
      </c>
      <c r="C579" s="1" t="str">
        <f>VLOOKUP(student_internships[[#This Row],[Student_ID]],student_data[],2,0)</f>
        <v>Information Technology</v>
      </c>
      <c r="D579" s="1" t="s">
        <v>1027</v>
      </c>
    </row>
    <row r="580" spans="1:4" x14ac:dyDescent="0.2">
      <c r="A580" s="1" t="s">
        <v>589</v>
      </c>
      <c r="B580" s="1">
        <v>0</v>
      </c>
      <c r="C580" s="1" t="str">
        <f>VLOOKUP(student_internships[[#This Row],[Student_ID]],student_data[],2,0)</f>
        <v>Electronics</v>
      </c>
      <c r="D580" s="1" t="s">
        <v>1024</v>
      </c>
    </row>
    <row r="581" spans="1:4" x14ac:dyDescent="0.2">
      <c r="A581" s="1" t="s">
        <v>590</v>
      </c>
      <c r="B581" s="1">
        <v>3</v>
      </c>
      <c r="C581" s="1" t="str">
        <f>VLOOKUP(student_internships[[#This Row],[Student_ID]],student_data[],2,0)</f>
        <v>Civil</v>
      </c>
      <c r="D581" s="1" t="s">
        <v>1025</v>
      </c>
    </row>
    <row r="582" spans="1:4" x14ac:dyDescent="0.2">
      <c r="A582" s="1" t="s">
        <v>591</v>
      </c>
      <c r="B582" s="1">
        <v>1</v>
      </c>
      <c r="C582" s="1" t="str">
        <f>VLOOKUP(student_internships[[#This Row],[Student_ID]],student_data[],2,0)</f>
        <v>Electronics</v>
      </c>
      <c r="D582" s="1" t="s">
        <v>1023</v>
      </c>
    </row>
    <row r="583" spans="1:4" x14ac:dyDescent="0.2">
      <c r="A583" s="1" t="s">
        <v>592</v>
      </c>
      <c r="B583" s="1">
        <v>0</v>
      </c>
      <c r="C583" s="1" t="str">
        <f>VLOOKUP(student_internships[[#This Row],[Student_ID]],student_data[],2,0)</f>
        <v>Civil</v>
      </c>
      <c r="D583" s="1" t="s">
        <v>1024</v>
      </c>
    </row>
    <row r="584" spans="1:4" x14ac:dyDescent="0.2">
      <c r="A584" s="1" t="s">
        <v>593</v>
      </c>
      <c r="B584" s="1">
        <v>1</v>
      </c>
      <c r="C584" s="1" t="str">
        <f>VLOOKUP(student_internships[[#This Row],[Student_ID]],student_data[],2,0)</f>
        <v>Civil</v>
      </c>
      <c r="D584" s="1" t="s">
        <v>1026</v>
      </c>
    </row>
    <row r="585" spans="1:4" x14ac:dyDescent="0.2">
      <c r="A585" s="1" t="s">
        <v>594</v>
      </c>
      <c r="B585" s="1">
        <v>3</v>
      </c>
      <c r="C585" s="1" t="str">
        <f>VLOOKUP(student_internships[[#This Row],[Student_ID]],student_data[],2,0)</f>
        <v>Information Technology</v>
      </c>
      <c r="D585" s="1" t="s">
        <v>1026</v>
      </c>
    </row>
    <row r="586" spans="1:4" x14ac:dyDescent="0.2">
      <c r="A586" s="1" t="s">
        <v>595</v>
      </c>
      <c r="B586" s="1">
        <v>1</v>
      </c>
      <c r="C586" s="1" t="str">
        <f>VLOOKUP(student_internships[[#This Row],[Student_ID]],student_data[],2,0)</f>
        <v>Computer Science</v>
      </c>
      <c r="D586" s="1" t="s">
        <v>1021</v>
      </c>
    </row>
    <row r="587" spans="1:4" x14ac:dyDescent="0.2">
      <c r="A587" s="1" t="s">
        <v>596</v>
      </c>
      <c r="B587" s="1">
        <v>1</v>
      </c>
      <c r="C587" s="1" t="str">
        <f>VLOOKUP(student_internships[[#This Row],[Student_ID]],student_data[],2,0)</f>
        <v>Computer Science</v>
      </c>
      <c r="D587" s="1" t="s">
        <v>1027</v>
      </c>
    </row>
    <row r="588" spans="1:4" x14ac:dyDescent="0.2">
      <c r="A588" s="1" t="s">
        <v>597</v>
      </c>
      <c r="B588" s="1">
        <v>1</v>
      </c>
      <c r="C588" s="1" t="str">
        <f>VLOOKUP(student_internships[[#This Row],[Student_ID]],student_data[],2,0)</f>
        <v>Mechanical</v>
      </c>
      <c r="D588" s="1" t="s">
        <v>1020</v>
      </c>
    </row>
    <row r="589" spans="1:4" x14ac:dyDescent="0.2">
      <c r="A589" s="1" t="s">
        <v>598</v>
      </c>
      <c r="B589" s="1">
        <v>0</v>
      </c>
      <c r="C589" s="1" t="str">
        <f>VLOOKUP(student_internships[[#This Row],[Student_ID]],student_data[],2,0)</f>
        <v>Information Technology</v>
      </c>
      <c r="D589" s="1" t="s">
        <v>1024</v>
      </c>
    </row>
    <row r="590" spans="1:4" x14ac:dyDescent="0.2">
      <c r="A590" s="1" t="s">
        <v>599</v>
      </c>
      <c r="B590" s="1">
        <v>0</v>
      </c>
      <c r="C590" s="1" t="str">
        <f>VLOOKUP(student_internships[[#This Row],[Student_ID]],student_data[],2,0)</f>
        <v>Civil</v>
      </c>
      <c r="D590" s="1" t="s">
        <v>1024</v>
      </c>
    </row>
    <row r="591" spans="1:4" x14ac:dyDescent="0.2">
      <c r="A591" s="1" t="s">
        <v>600</v>
      </c>
      <c r="B591" s="1">
        <v>0</v>
      </c>
      <c r="C591" s="1" t="str">
        <f>VLOOKUP(student_internships[[#This Row],[Student_ID]],student_data[],2,0)</f>
        <v>Computer Science</v>
      </c>
      <c r="D591" s="1" t="s">
        <v>1024</v>
      </c>
    </row>
    <row r="592" spans="1:4" x14ac:dyDescent="0.2">
      <c r="A592" s="1" t="s">
        <v>601</v>
      </c>
      <c r="B592" s="1">
        <v>0</v>
      </c>
      <c r="C592" s="1" t="str">
        <f>VLOOKUP(student_internships[[#This Row],[Student_ID]],student_data[],2,0)</f>
        <v>Civil</v>
      </c>
      <c r="D592" s="1" t="s">
        <v>1024</v>
      </c>
    </row>
    <row r="593" spans="1:4" x14ac:dyDescent="0.2">
      <c r="A593" s="1" t="s">
        <v>602</v>
      </c>
      <c r="B593" s="1">
        <v>0</v>
      </c>
      <c r="C593" s="1" t="str">
        <f>VLOOKUP(student_internships[[#This Row],[Student_ID]],student_data[],2,0)</f>
        <v>Computer Science</v>
      </c>
      <c r="D593" s="1" t="s">
        <v>1024</v>
      </c>
    </row>
    <row r="594" spans="1:4" x14ac:dyDescent="0.2">
      <c r="A594" s="1" t="s">
        <v>603</v>
      </c>
      <c r="B594" s="1">
        <v>0</v>
      </c>
      <c r="C594" s="1" t="str">
        <f>VLOOKUP(student_internships[[#This Row],[Student_ID]],student_data[],2,0)</f>
        <v>Computer Science</v>
      </c>
      <c r="D594" s="1" t="s">
        <v>1024</v>
      </c>
    </row>
    <row r="595" spans="1:4" x14ac:dyDescent="0.2">
      <c r="A595" s="1" t="s">
        <v>604</v>
      </c>
      <c r="B595" s="1">
        <v>1</v>
      </c>
      <c r="C595" s="1" t="str">
        <f>VLOOKUP(student_internships[[#This Row],[Student_ID]],student_data[],2,0)</f>
        <v>Computer Science</v>
      </c>
      <c r="D595" s="1" t="s">
        <v>1021</v>
      </c>
    </row>
    <row r="596" spans="1:4" x14ac:dyDescent="0.2">
      <c r="A596" s="1" t="s">
        <v>605</v>
      </c>
      <c r="B596" s="1">
        <v>0</v>
      </c>
      <c r="C596" s="1" t="str">
        <f>VLOOKUP(student_internships[[#This Row],[Student_ID]],student_data[],2,0)</f>
        <v>Information Technology</v>
      </c>
      <c r="D596" s="1" t="s">
        <v>1024</v>
      </c>
    </row>
    <row r="597" spans="1:4" x14ac:dyDescent="0.2">
      <c r="A597" s="1" t="s">
        <v>606</v>
      </c>
      <c r="B597" s="1">
        <v>1</v>
      </c>
      <c r="C597" s="1" t="str">
        <f>VLOOKUP(student_internships[[#This Row],[Student_ID]],student_data[],2,0)</f>
        <v>Electronics</v>
      </c>
      <c r="D597" s="1" t="s">
        <v>1023</v>
      </c>
    </row>
    <row r="598" spans="1:4" x14ac:dyDescent="0.2">
      <c r="A598" s="1" t="s">
        <v>607</v>
      </c>
      <c r="B598" s="1">
        <v>2</v>
      </c>
      <c r="C598" s="1" t="str">
        <f>VLOOKUP(student_internships[[#This Row],[Student_ID]],student_data[],2,0)</f>
        <v>Civil</v>
      </c>
      <c r="D598" s="1" t="s">
        <v>1021</v>
      </c>
    </row>
    <row r="599" spans="1:4" x14ac:dyDescent="0.2">
      <c r="A599" s="1" t="s">
        <v>608</v>
      </c>
      <c r="B599" s="1">
        <v>1</v>
      </c>
      <c r="C599" s="1" t="str">
        <f>VLOOKUP(student_internships[[#This Row],[Student_ID]],student_data[],2,0)</f>
        <v>Information Technology</v>
      </c>
      <c r="D599" s="1" t="s">
        <v>1022</v>
      </c>
    </row>
    <row r="600" spans="1:4" x14ac:dyDescent="0.2">
      <c r="A600" s="1" t="s">
        <v>609</v>
      </c>
      <c r="B600" s="1">
        <v>1</v>
      </c>
      <c r="C600" s="1" t="str">
        <f>VLOOKUP(student_internships[[#This Row],[Student_ID]],student_data[],2,0)</f>
        <v>Information Technology</v>
      </c>
      <c r="D600" s="1" t="s">
        <v>1026</v>
      </c>
    </row>
    <row r="601" spans="1:4" x14ac:dyDescent="0.2">
      <c r="A601" s="1" t="s">
        <v>610</v>
      </c>
      <c r="B601" s="1">
        <v>0</v>
      </c>
      <c r="C601" s="1" t="str">
        <f>VLOOKUP(student_internships[[#This Row],[Student_ID]],student_data[],2,0)</f>
        <v>Information Technology</v>
      </c>
      <c r="D601" s="1" t="s">
        <v>1024</v>
      </c>
    </row>
    <row r="602" spans="1:4" x14ac:dyDescent="0.2">
      <c r="A602" s="1" t="s">
        <v>611</v>
      </c>
      <c r="B602" s="1">
        <v>0</v>
      </c>
      <c r="C602" s="1" t="str">
        <f>VLOOKUP(student_internships[[#This Row],[Student_ID]],student_data[],2,0)</f>
        <v>Information Technology</v>
      </c>
      <c r="D602" s="1" t="s">
        <v>1024</v>
      </c>
    </row>
    <row r="603" spans="1:4" x14ac:dyDescent="0.2">
      <c r="A603" s="1" t="s">
        <v>612</v>
      </c>
      <c r="B603" s="1">
        <v>0</v>
      </c>
      <c r="C603" s="1" t="str">
        <f>VLOOKUP(student_internships[[#This Row],[Student_ID]],student_data[],2,0)</f>
        <v>Information Technology</v>
      </c>
      <c r="D603" s="1" t="s">
        <v>1024</v>
      </c>
    </row>
    <row r="604" spans="1:4" x14ac:dyDescent="0.2">
      <c r="A604" s="1" t="s">
        <v>613</v>
      </c>
      <c r="B604" s="1">
        <v>0</v>
      </c>
      <c r="C604" s="1" t="str">
        <f>VLOOKUP(student_internships[[#This Row],[Student_ID]],student_data[],2,0)</f>
        <v>Mechanical</v>
      </c>
      <c r="D604" s="1" t="s">
        <v>1024</v>
      </c>
    </row>
    <row r="605" spans="1:4" x14ac:dyDescent="0.2">
      <c r="A605" s="1" t="s">
        <v>614</v>
      </c>
      <c r="B605" s="1">
        <v>0</v>
      </c>
      <c r="C605" s="1" t="str">
        <f>VLOOKUP(student_internships[[#This Row],[Student_ID]],student_data[],2,0)</f>
        <v>Civil</v>
      </c>
      <c r="D605" s="1" t="s">
        <v>1024</v>
      </c>
    </row>
    <row r="606" spans="1:4" x14ac:dyDescent="0.2">
      <c r="A606" s="1" t="s">
        <v>615</v>
      </c>
      <c r="B606" s="1">
        <v>0</v>
      </c>
      <c r="C606" s="1" t="str">
        <f>VLOOKUP(student_internships[[#This Row],[Student_ID]],student_data[],2,0)</f>
        <v>Information Technology</v>
      </c>
      <c r="D606" s="1" t="s">
        <v>1024</v>
      </c>
    </row>
    <row r="607" spans="1:4" x14ac:dyDescent="0.2">
      <c r="A607" s="1" t="s">
        <v>616</v>
      </c>
      <c r="B607" s="1">
        <v>0</v>
      </c>
      <c r="C607" s="1" t="str">
        <f>VLOOKUP(student_internships[[#This Row],[Student_ID]],student_data[],2,0)</f>
        <v>Civil</v>
      </c>
      <c r="D607" s="1" t="s">
        <v>1024</v>
      </c>
    </row>
    <row r="608" spans="1:4" x14ac:dyDescent="0.2">
      <c r="A608" s="1" t="s">
        <v>617</v>
      </c>
      <c r="B608" s="1">
        <v>0</v>
      </c>
      <c r="C608" s="1" t="str">
        <f>VLOOKUP(student_internships[[#This Row],[Student_ID]],student_data[],2,0)</f>
        <v>Mechanical</v>
      </c>
      <c r="D608" s="1" t="s">
        <v>1024</v>
      </c>
    </row>
    <row r="609" spans="1:4" x14ac:dyDescent="0.2">
      <c r="A609" s="1" t="s">
        <v>618</v>
      </c>
      <c r="B609" s="1">
        <v>1</v>
      </c>
      <c r="C609" s="1" t="str">
        <f>VLOOKUP(student_internships[[#This Row],[Student_ID]],student_data[],2,0)</f>
        <v>Mechanical</v>
      </c>
      <c r="D609" s="1" t="s">
        <v>1026</v>
      </c>
    </row>
    <row r="610" spans="1:4" x14ac:dyDescent="0.2">
      <c r="A610" s="1" t="s">
        <v>619</v>
      </c>
      <c r="B610" s="1">
        <v>0</v>
      </c>
      <c r="C610" s="1" t="str">
        <f>VLOOKUP(student_internships[[#This Row],[Student_ID]],student_data[],2,0)</f>
        <v>Civil</v>
      </c>
      <c r="D610" s="1" t="s">
        <v>1024</v>
      </c>
    </row>
    <row r="611" spans="1:4" x14ac:dyDescent="0.2">
      <c r="A611" s="1" t="s">
        <v>620</v>
      </c>
      <c r="B611" s="1">
        <v>1</v>
      </c>
      <c r="C611" s="1" t="str">
        <f>VLOOKUP(student_internships[[#This Row],[Student_ID]],student_data[],2,0)</f>
        <v>Computer Science</v>
      </c>
      <c r="D611" s="1" t="s">
        <v>1025</v>
      </c>
    </row>
    <row r="612" spans="1:4" x14ac:dyDescent="0.2">
      <c r="A612" s="1" t="s">
        <v>621</v>
      </c>
      <c r="B612" s="1">
        <v>1</v>
      </c>
      <c r="C612" s="1" t="str">
        <f>VLOOKUP(student_internships[[#This Row],[Student_ID]],student_data[],2,0)</f>
        <v>Electronics</v>
      </c>
      <c r="D612" s="1" t="s">
        <v>1025</v>
      </c>
    </row>
    <row r="613" spans="1:4" x14ac:dyDescent="0.2">
      <c r="A613" s="1" t="s">
        <v>622</v>
      </c>
      <c r="B613" s="1">
        <v>1</v>
      </c>
      <c r="C613" s="1" t="str">
        <f>VLOOKUP(student_internships[[#This Row],[Student_ID]],student_data[],2,0)</f>
        <v>Computer Science</v>
      </c>
      <c r="D613" s="1" t="s">
        <v>1020</v>
      </c>
    </row>
    <row r="614" spans="1:4" x14ac:dyDescent="0.2">
      <c r="A614" s="1" t="s">
        <v>623</v>
      </c>
      <c r="B614" s="1">
        <v>0</v>
      </c>
      <c r="C614" s="1" t="str">
        <f>VLOOKUP(student_internships[[#This Row],[Student_ID]],student_data[],2,0)</f>
        <v>Computer Science</v>
      </c>
      <c r="D614" s="1" t="s">
        <v>1024</v>
      </c>
    </row>
    <row r="615" spans="1:4" x14ac:dyDescent="0.2">
      <c r="A615" s="1" t="s">
        <v>624</v>
      </c>
      <c r="B615" s="1">
        <v>2</v>
      </c>
      <c r="C615" s="1" t="str">
        <f>VLOOKUP(student_internships[[#This Row],[Student_ID]],student_data[],2,0)</f>
        <v>Computer Science</v>
      </c>
      <c r="D615" s="1" t="s">
        <v>1023</v>
      </c>
    </row>
    <row r="616" spans="1:4" x14ac:dyDescent="0.2">
      <c r="A616" s="1" t="s">
        <v>625</v>
      </c>
      <c r="B616" s="1">
        <v>1</v>
      </c>
      <c r="C616" s="1" t="str">
        <f>VLOOKUP(student_internships[[#This Row],[Student_ID]],student_data[],2,0)</f>
        <v>Information Technology</v>
      </c>
      <c r="D616" s="1" t="s">
        <v>1022</v>
      </c>
    </row>
    <row r="617" spans="1:4" x14ac:dyDescent="0.2">
      <c r="A617" s="1" t="s">
        <v>626</v>
      </c>
      <c r="B617" s="1">
        <v>0</v>
      </c>
      <c r="C617" s="1" t="str">
        <f>VLOOKUP(student_internships[[#This Row],[Student_ID]],student_data[],2,0)</f>
        <v>Mechanical</v>
      </c>
      <c r="D617" s="1" t="s">
        <v>1024</v>
      </c>
    </row>
    <row r="618" spans="1:4" x14ac:dyDescent="0.2">
      <c r="A618" s="1" t="s">
        <v>627</v>
      </c>
      <c r="B618" s="1">
        <v>2</v>
      </c>
      <c r="C618" s="1" t="str">
        <f>VLOOKUP(student_internships[[#This Row],[Student_ID]],student_data[],2,0)</f>
        <v>Computer Science</v>
      </c>
      <c r="D618" s="1" t="s">
        <v>1027</v>
      </c>
    </row>
    <row r="619" spans="1:4" x14ac:dyDescent="0.2">
      <c r="A619" s="1" t="s">
        <v>628</v>
      </c>
      <c r="B619" s="1">
        <v>3</v>
      </c>
      <c r="C619" s="1" t="str">
        <f>VLOOKUP(student_internships[[#This Row],[Student_ID]],student_data[],2,0)</f>
        <v>Mechanical</v>
      </c>
      <c r="D619" s="1" t="s">
        <v>1021</v>
      </c>
    </row>
    <row r="620" spans="1:4" x14ac:dyDescent="0.2">
      <c r="A620" s="1" t="s">
        <v>629</v>
      </c>
      <c r="B620" s="1">
        <v>0</v>
      </c>
      <c r="C620" s="1" t="str">
        <f>VLOOKUP(student_internships[[#This Row],[Student_ID]],student_data[],2,0)</f>
        <v>Civil</v>
      </c>
      <c r="D620" s="1" t="s">
        <v>1024</v>
      </c>
    </row>
    <row r="621" spans="1:4" x14ac:dyDescent="0.2">
      <c r="A621" s="1" t="s">
        <v>630</v>
      </c>
      <c r="B621" s="1">
        <v>0</v>
      </c>
      <c r="C621" s="1" t="str">
        <f>VLOOKUP(student_internships[[#This Row],[Student_ID]],student_data[],2,0)</f>
        <v>Electronics</v>
      </c>
      <c r="D621" s="1" t="s">
        <v>1024</v>
      </c>
    </row>
    <row r="622" spans="1:4" x14ac:dyDescent="0.2">
      <c r="A622" s="1" t="s">
        <v>631</v>
      </c>
      <c r="B622" s="1">
        <v>2</v>
      </c>
      <c r="C622" s="1" t="str">
        <f>VLOOKUP(student_internships[[#This Row],[Student_ID]],student_data[],2,0)</f>
        <v>Civil</v>
      </c>
      <c r="D622" s="1" t="s">
        <v>1020</v>
      </c>
    </row>
    <row r="623" spans="1:4" x14ac:dyDescent="0.2">
      <c r="A623" s="1" t="s">
        <v>632</v>
      </c>
      <c r="B623" s="1">
        <v>2</v>
      </c>
      <c r="C623" s="1" t="str">
        <f>VLOOKUP(student_internships[[#This Row],[Student_ID]],student_data[],2,0)</f>
        <v>Civil</v>
      </c>
      <c r="D623" s="1" t="s">
        <v>1023</v>
      </c>
    </row>
    <row r="624" spans="1:4" x14ac:dyDescent="0.2">
      <c r="A624" s="1" t="s">
        <v>633</v>
      </c>
      <c r="B624" s="1">
        <v>0</v>
      </c>
      <c r="C624" s="1" t="str">
        <f>VLOOKUP(student_internships[[#This Row],[Student_ID]],student_data[],2,0)</f>
        <v>Information Technology</v>
      </c>
      <c r="D624" s="1" t="s">
        <v>1024</v>
      </c>
    </row>
    <row r="625" spans="1:4" x14ac:dyDescent="0.2">
      <c r="A625" s="1" t="s">
        <v>634</v>
      </c>
      <c r="B625" s="1">
        <v>0</v>
      </c>
      <c r="C625" s="1" t="str">
        <f>VLOOKUP(student_internships[[#This Row],[Student_ID]],student_data[],2,0)</f>
        <v>Electronics</v>
      </c>
      <c r="D625" s="1" t="s">
        <v>1024</v>
      </c>
    </row>
    <row r="626" spans="1:4" x14ac:dyDescent="0.2">
      <c r="A626" s="1" t="s">
        <v>635</v>
      </c>
      <c r="B626" s="1">
        <v>1</v>
      </c>
      <c r="C626" s="1" t="str">
        <f>VLOOKUP(student_internships[[#This Row],[Student_ID]],student_data[],2,0)</f>
        <v>Civil</v>
      </c>
      <c r="D626" s="1" t="s">
        <v>1025</v>
      </c>
    </row>
    <row r="627" spans="1:4" x14ac:dyDescent="0.2">
      <c r="A627" s="1" t="s">
        <v>636</v>
      </c>
      <c r="B627" s="1">
        <v>1</v>
      </c>
      <c r="C627" s="1" t="str">
        <f>VLOOKUP(student_internships[[#This Row],[Student_ID]],student_data[],2,0)</f>
        <v>Civil</v>
      </c>
      <c r="D627" s="1" t="s">
        <v>1021</v>
      </c>
    </row>
    <row r="628" spans="1:4" x14ac:dyDescent="0.2">
      <c r="A628" s="1" t="s">
        <v>637</v>
      </c>
      <c r="B628" s="1">
        <v>1</v>
      </c>
      <c r="C628" s="1" t="str">
        <f>VLOOKUP(student_internships[[#This Row],[Student_ID]],student_data[],2,0)</f>
        <v>Electronics</v>
      </c>
      <c r="D628" s="1" t="s">
        <v>1025</v>
      </c>
    </row>
    <row r="629" spans="1:4" x14ac:dyDescent="0.2">
      <c r="A629" s="1" t="s">
        <v>638</v>
      </c>
      <c r="B629" s="1">
        <v>1</v>
      </c>
      <c r="C629" s="1" t="str">
        <f>VLOOKUP(student_internships[[#This Row],[Student_ID]],student_data[],2,0)</f>
        <v>Electronics</v>
      </c>
      <c r="D629" s="1" t="s">
        <v>1021</v>
      </c>
    </row>
    <row r="630" spans="1:4" x14ac:dyDescent="0.2">
      <c r="A630" s="1" t="s">
        <v>639</v>
      </c>
      <c r="B630" s="1">
        <v>1</v>
      </c>
      <c r="C630" s="1" t="str">
        <f>VLOOKUP(student_internships[[#This Row],[Student_ID]],student_data[],2,0)</f>
        <v>Civil</v>
      </c>
      <c r="D630" s="1" t="s">
        <v>1027</v>
      </c>
    </row>
    <row r="631" spans="1:4" x14ac:dyDescent="0.2">
      <c r="A631" s="1" t="s">
        <v>640</v>
      </c>
      <c r="B631" s="1">
        <v>2</v>
      </c>
      <c r="C631" s="1" t="str">
        <f>VLOOKUP(student_internships[[#This Row],[Student_ID]],student_data[],2,0)</f>
        <v>Electronics</v>
      </c>
      <c r="D631" s="1" t="s">
        <v>1023</v>
      </c>
    </row>
    <row r="632" spans="1:4" x14ac:dyDescent="0.2">
      <c r="A632" s="1" t="s">
        <v>641</v>
      </c>
      <c r="B632" s="1">
        <v>0</v>
      </c>
      <c r="C632" s="1" t="str">
        <f>VLOOKUP(student_internships[[#This Row],[Student_ID]],student_data[],2,0)</f>
        <v>Civil</v>
      </c>
      <c r="D632" s="1" t="s">
        <v>1024</v>
      </c>
    </row>
    <row r="633" spans="1:4" x14ac:dyDescent="0.2">
      <c r="A633" s="1" t="s">
        <v>642</v>
      </c>
      <c r="B633" s="1">
        <v>0</v>
      </c>
      <c r="C633" s="1" t="str">
        <f>VLOOKUP(student_internships[[#This Row],[Student_ID]],student_data[],2,0)</f>
        <v>Civil</v>
      </c>
      <c r="D633" s="1" t="s">
        <v>1024</v>
      </c>
    </row>
    <row r="634" spans="1:4" x14ac:dyDescent="0.2">
      <c r="A634" s="1" t="s">
        <v>643</v>
      </c>
      <c r="B634" s="1">
        <v>2</v>
      </c>
      <c r="C634" s="1" t="str">
        <f>VLOOKUP(student_internships[[#This Row],[Student_ID]],student_data[],2,0)</f>
        <v>Information Technology</v>
      </c>
      <c r="D634" s="1" t="s">
        <v>1021</v>
      </c>
    </row>
    <row r="635" spans="1:4" x14ac:dyDescent="0.2">
      <c r="A635" s="1" t="s">
        <v>644</v>
      </c>
      <c r="B635" s="1">
        <v>2</v>
      </c>
      <c r="C635" s="1" t="str">
        <f>VLOOKUP(student_internships[[#This Row],[Student_ID]],student_data[],2,0)</f>
        <v>Computer Science</v>
      </c>
      <c r="D635" s="1" t="s">
        <v>1022</v>
      </c>
    </row>
    <row r="636" spans="1:4" x14ac:dyDescent="0.2">
      <c r="A636" s="1" t="s">
        <v>645</v>
      </c>
      <c r="B636" s="1">
        <v>1</v>
      </c>
      <c r="C636" s="1" t="str">
        <f>VLOOKUP(student_internships[[#This Row],[Student_ID]],student_data[],2,0)</f>
        <v>Civil</v>
      </c>
      <c r="D636" s="1" t="s">
        <v>1020</v>
      </c>
    </row>
    <row r="637" spans="1:4" x14ac:dyDescent="0.2">
      <c r="A637" s="1" t="s">
        <v>646</v>
      </c>
      <c r="B637" s="1">
        <v>1</v>
      </c>
      <c r="C637" s="1" t="str">
        <f>VLOOKUP(student_internships[[#This Row],[Student_ID]],student_data[],2,0)</f>
        <v>Mechanical</v>
      </c>
      <c r="D637" s="1" t="s">
        <v>1026</v>
      </c>
    </row>
    <row r="638" spans="1:4" x14ac:dyDescent="0.2">
      <c r="A638" s="1" t="s">
        <v>647</v>
      </c>
      <c r="B638" s="1">
        <v>0</v>
      </c>
      <c r="C638" s="1" t="str">
        <f>VLOOKUP(student_internships[[#This Row],[Student_ID]],student_data[],2,0)</f>
        <v>Computer Science</v>
      </c>
      <c r="D638" s="1" t="s">
        <v>1024</v>
      </c>
    </row>
    <row r="639" spans="1:4" x14ac:dyDescent="0.2">
      <c r="A639" s="1" t="s">
        <v>648</v>
      </c>
      <c r="B639" s="1">
        <v>1</v>
      </c>
      <c r="C639" s="1" t="str">
        <f>VLOOKUP(student_internships[[#This Row],[Student_ID]],student_data[],2,0)</f>
        <v>Computer Science</v>
      </c>
      <c r="D639" s="1" t="s">
        <v>1022</v>
      </c>
    </row>
    <row r="640" spans="1:4" x14ac:dyDescent="0.2">
      <c r="A640" s="1" t="s">
        <v>649</v>
      </c>
      <c r="B640" s="1">
        <v>1</v>
      </c>
      <c r="C640" s="1" t="str">
        <f>VLOOKUP(student_internships[[#This Row],[Student_ID]],student_data[],2,0)</f>
        <v>Computer Science</v>
      </c>
      <c r="D640" s="1" t="s">
        <v>1022</v>
      </c>
    </row>
    <row r="641" spans="1:4" x14ac:dyDescent="0.2">
      <c r="A641" s="1" t="s">
        <v>650</v>
      </c>
      <c r="B641" s="1">
        <v>0</v>
      </c>
      <c r="C641" s="1" t="str">
        <f>VLOOKUP(student_internships[[#This Row],[Student_ID]],student_data[],2,0)</f>
        <v>Information Technology</v>
      </c>
      <c r="D641" s="1" t="s">
        <v>1024</v>
      </c>
    </row>
    <row r="642" spans="1:4" x14ac:dyDescent="0.2">
      <c r="A642" s="1" t="s">
        <v>651</v>
      </c>
      <c r="B642" s="1">
        <v>0</v>
      </c>
      <c r="C642" s="1" t="str">
        <f>VLOOKUP(student_internships[[#This Row],[Student_ID]],student_data[],2,0)</f>
        <v>Civil</v>
      </c>
      <c r="D642" s="1" t="s">
        <v>1024</v>
      </c>
    </row>
    <row r="643" spans="1:4" x14ac:dyDescent="0.2">
      <c r="A643" s="1" t="s">
        <v>652</v>
      </c>
      <c r="B643" s="1">
        <v>1</v>
      </c>
      <c r="C643" s="1" t="str">
        <f>VLOOKUP(student_internships[[#This Row],[Student_ID]],student_data[],2,0)</f>
        <v>Information Technology</v>
      </c>
      <c r="D643" s="1" t="s">
        <v>1020</v>
      </c>
    </row>
    <row r="644" spans="1:4" x14ac:dyDescent="0.2">
      <c r="A644" s="1" t="s">
        <v>653</v>
      </c>
      <c r="B644" s="1">
        <v>0</v>
      </c>
      <c r="C644" s="1" t="str">
        <f>VLOOKUP(student_internships[[#This Row],[Student_ID]],student_data[],2,0)</f>
        <v>Civil</v>
      </c>
      <c r="D644" s="1" t="s">
        <v>1024</v>
      </c>
    </row>
    <row r="645" spans="1:4" x14ac:dyDescent="0.2">
      <c r="A645" s="1" t="s">
        <v>654</v>
      </c>
      <c r="B645" s="1">
        <v>1</v>
      </c>
      <c r="C645" s="1" t="str">
        <f>VLOOKUP(student_internships[[#This Row],[Student_ID]],student_data[],2,0)</f>
        <v>Information Technology</v>
      </c>
      <c r="D645" s="1" t="s">
        <v>1026</v>
      </c>
    </row>
    <row r="646" spans="1:4" x14ac:dyDescent="0.2">
      <c r="A646" s="1" t="s">
        <v>655</v>
      </c>
      <c r="B646" s="1">
        <v>0</v>
      </c>
      <c r="C646" s="1" t="str">
        <f>VLOOKUP(student_internships[[#This Row],[Student_ID]],student_data[],2,0)</f>
        <v>Information Technology</v>
      </c>
      <c r="D646" s="1" t="s">
        <v>1024</v>
      </c>
    </row>
    <row r="647" spans="1:4" x14ac:dyDescent="0.2">
      <c r="A647" s="1" t="s">
        <v>656</v>
      </c>
      <c r="B647" s="1">
        <v>1</v>
      </c>
      <c r="C647" s="1" t="str">
        <f>VLOOKUP(student_internships[[#This Row],[Student_ID]],student_data[],2,0)</f>
        <v>Mechanical</v>
      </c>
      <c r="D647" s="1" t="s">
        <v>1022</v>
      </c>
    </row>
    <row r="648" spans="1:4" x14ac:dyDescent="0.2">
      <c r="A648" s="1" t="s">
        <v>657</v>
      </c>
      <c r="B648" s="1">
        <v>0</v>
      </c>
      <c r="C648" s="1" t="str">
        <f>VLOOKUP(student_internships[[#This Row],[Student_ID]],student_data[],2,0)</f>
        <v>Information Technology</v>
      </c>
      <c r="D648" s="1" t="s">
        <v>1024</v>
      </c>
    </row>
    <row r="649" spans="1:4" x14ac:dyDescent="0.2">
      <c r="A649" s="1" t="s">
        <v>658</v>
      </c>
      <c r="B649" s="1">
        <v>2</v>
      </c>
      <c r="C649" s="1" t="str">
        <f>VLOOKUP(student_internships[[#This Row],[Student_ID]],student_data[],2,0)</f>
        <v>Electronics</v>
      </c>
      <c r="D649" s="1" t="s">
        <v>1021</v>
      </c>
    </row>
    <row r="650" spans="1:4" x14ac:dyDescent="0.2">
      <c r="A650" s="1" t="s">
        <v>659</v>
      </c>
      <c r="B650" s="1">
        <v>1</v>
      </c>
      <c r="C650" s="1" t="str">
        <f>VLOOKUP(student_internships[[#This Row],[Student_ID]],student_data[],2,0)</f>
        <v>Mechanical</v>
      </c>
      <c r="D650" s="1" t="s">
        <v>1021</v>
      </c>
    </row>
    <row r="651" spans="1:4" x14ac:dyDescent="0.2">
      <c r="A651" s="1" t="s">
        <v>660</v>
      </c>
      <c r="B651" s="1">
        <v>1</v>
      </c>
      <c r="C651" s="1" t="str">
        <f>VLOOKUP(student_internships[[#This Row],[Student_ID]],student_data[],2,0)</f>
        <v>Information Technology</v>
      </c>
      <c r="D651" s="1" t="s">
        <v>1021</v>
      </c>
    </row>
    <row r="652" spans="1:4" x14ac:dyDescent="0.2">
      <c r="A652" s="1" t="s">
        <v>661</v>
      </c>
      <c r="B652" s="1">
        <v>2</v>
      </c>
      <c r="C652" s="1" t="str">
        <f>VLOOKUP(student_internships[[#This Row],[Student_ID]],student_data[],2,0)</f>
        <v>Computer Science</v>
      </c>
      <c r="D652" s="1" t="s">
        <v>1026</v>
      </c>
    </row>
    <row r="653" spans="1:4" x14ac:dyDescent="0.2">
      <c r="A653" s="1" t="s">
        <v>662</v>
      </c>
      <c r="B653" s="1">
        <v>1</v>
      </c>
      <c r="C653" s="1" t="str">
        <f>VLOOKUP(student_internships[[#This Row],[Student_ID]],student_data[],2,0)</f>
        <v>Electronics</v>
      </c>
      <c r="D653" s="1" t="s">
        <v>1022</v>
      </c>
    </row>
    <row r="654" spans="1:4" x14ac:dyDescent="0.2">
      <c r="A654" s="1" t="s">
        <v>663</v>
      </c>
      <c r="B654" s="1">
        <v>0</v>
      </c>
      <c r="C654" s="1" t="str">
        <f>VLOOKUP(student_internships[[#This Row],[Student_ID]],student_data[],2,0)</f>
        <v>Electronics</v>
      </c>
      <c r="D654" s="1" t="s">
        <v>1024</v>
      </c>
    </row>
    <row r="655" spans="1:4" x14ac:dyDescent="0.2">
      <c r="A655" s="1" t="s">
        <v>664</v>
      </c>
      <c r="B655" s="1">
        <v>1</v>
      </c>
      <c r="C655" s="1" t="str">
        <f>VLOOKUP(student_internships[[#This Row],[Student_ID]],student_data[],2,0)</f>
        <v>Electronics</v>
      </c>
      <c r="D655" s="1" t="s">
        <v>1026</v>
      </c>
    </row>
    <row r="656" spans="1:4" x14ac:dyDescent="0.2">
      <c r="A656" s="1" t="s">
        <v>665</v>
      </c>
      <c r="B656" s="1">
        <v>1</v>
      </c>
      <c r="C656" s="1" t="str">
        <f>VLOOKUP(student_internships[[#This Row],[Student_ID]],student_data[],2,0)</f>
        <v>Mechanical</v>
      </c>
      <c r="D656" s="1" t="s">
        <v>1021</v>
      </c>
    </row>
    <row r="657" spans="1:4" x14ac:dyDescent="0.2">
      <c r="A657" s="1" t="s">
        <v>666</v>
      </c>
      <c r="B657" s="1">
        <v>2</v>
      </c>
      <c r="C657" s="1" t="str">
        <f>VLOOKUP(student_internships[[#This Row],[Student_ID]],student_data[],2,0)</f>
        <v>Information Technology</v>
      </c>
      <c r="D657" s="1" t="s">
        <v>1020</v>
      </c>
    </row>
    <row r="658" spans="1:4" x14ac:dyDescent="0.2">
      <c r="A658" s="1" t="s">
        <v>667</v>
      </c>
      <c r="B658" s="1">
        <v>1</v>
      </c>
      <c r="C658" s="1" t="str">
        <f>VLOOKUP(student_internships[[#This Row],[Student_ID]],student_data[],2,0)</f>
        <v>Information Technology</v>
      </c>
      <c r="D658" s="1" t="s">
        <v>1022</v>
      </c>
    </row>
    <row r="659" spans="1:4" x14ac:dyDescent="0.2">
      <c r="A659" s="1" t="s">
        <v>668</v>
      </c>
      <c r="B659" s="1">
        <v>0</v>
      </c>
      <c r="C659" s="1" t="str">
        <f>VLOOKUP(student_internships[[#This Row],[Student_ID]],student_data[],2,0)</f>
        <v>Computer Science</v>
      </c>
      <c r="D659" s="1" t="s">
        <v>1024</v>
      </c>
    </row>
    <row r="660" spans="1:4" x14ac:dyDescent="0.2">
      <c r="A660" s="1" t="s">
        <v>669</v>
      </c>
      <c r="B660" s="1">
        <v>0</v>
      </c>
      <c r="C660" s="1" t="str">
        <f>VLOOKUP(student_internships[[#This Row],[Student_ID]],student_data[],2,0)</f>
        <v>Computer Science</v>
      </c>
      <c r="D660" s="1" t="s">
        <v>1024</v>
      </c>
    </row>
    <row r="661" spans="1:4" x14ac:dyDescent="0.2">
      <c r="A661" s="1" t="s">
        <v>670</v>
      </c>
      <c r="B661" s="1">
        <v>1</v>
      </c>
      <c r="C661" s="1" t="str">
        <f>VLOOKUP(student_internships[[#This Row],[Student_ID]],student_data[],2,0)</f>
        <v>Electronics</v>
      </c>
      <c r="D661" s="1" t="s">
        <v>1022</v>
      </c>
    </row>
    <row r="662" spans="1:4" x14ac:dyDescent="0.2">
      <c r="A662" s="1" t="s">
        <v>671</v>
      </c>
      <c r="B662" s="1">
        <v>1</v>
      </c>
      <c r="C662" s="1" t="str">
        <f>VLOOKUP(student_internships[[#This Row],[Student_ID]],student_data[],2,0)</f>
        <v>Computer Science</v>
      </c>
      <c r="D662" s="1" t="s">
        <v>1025</v>
      </c>
    </row>
    <row r="663" spans="1:4" x14ac:dyDescent="0.2">
      <c r="A663" s="1" t="s">
        <v>672</v>
      </c>
      <c r="B663" s="1">
        <v>1</v>
      </c>
      <c r="C663" s="1" t="str">
        <f>VLOOKUP(student_internships[[#This Row],[Student_ID]],student_data[],2,0)</f>
        <v>Mechanical</v>
      </c>
      <c r="D663" s="1" t="s">
        <v>1025</v>
      </c>
    </row>
    <row r="664" spans="1:4" x14ac:dyDescent="0.2">
      <c r="A664" s="1" t="s">
        <v>673</v>
      </c>
      <c r="B664" s="1">
        <v>1</v>
      </c>
      <c r="C664" s="1" t="str">
        <f>VLOOKUP(student_internships[[#This Row],[Student_ID]],student_data[],2,0)</f>
        <v>Information Technology</v>
      </c>
      <c r="D664" s="1" t="s">
        <v>1027</v>
      </c>
    </row>
    <row r="665" spans="1:4" x14ac:dyDescent="0.2">
      <c r="A665" s="1" t="s">
        <v>674</v>
      </c>
      <c r="B665" s="1">
        <v>3</v>
      </c>
      <c r="C665" s="1" t="str">
        <f>VLOOKUP(student_internships[[#This Row],[Student_ID]],student_data[],2,0)</f>
        <v>Electronics</v>
      </c>
      <c r="D665" s="1" t="s">
        <v>1023</v>
      </c>
    </row>
    <row r="666" spans="1:4" x14ac:dyDescent="0.2">
      <c r="A666" s="1" t="s">
        <v>675</v>
      </c>
      <c r="B666" s="1">
        <v>1</v>
      </c>
      <c r="C666" s="1" t="str">
        <f>VLOOKUP(student_internships[[#This Row],[Student_ID]],student_data[],2,0)</f>
        <v>Computer Science</v>
      </c>
      <c r="D666" s="1" t="s">
        <v>1025</v>
      </c>
    </row>
    <row r="667" spans="1:4" x14ac:dyDescent="0.2">
      <c r="A667" s="1" t="s">
        <v>676</v>
      </c>
      <c r="B667" s="1">
        <v>0</v>
      </c>
      <c r="C667" s="1" t="str">
        <f>VLOOKUP(student_internships[[#This Row],[Student_ID]],student_data[],2,0)</f>
        <v>Mechanical</v>
      </c>
      <c r="D667" s="1" t="s">
        <v>1024</v>
      </c>
    </row>
    <row r="668" spans="1:4" x14ac:dyDescent="0.2">
      <c r="A668" s="1" t="s">
        <v>677</v>
      </c>
      <c r="B668" s="1">
        <v>0</v>
      </c>
      <c r="C668" s="1" t="str">
        <f>VLOOKUP(student_internships[[#This Row],[Student_ID]],student_data[],2,0)</f>
        <v>Mechanical</v>
      </c>
      <c r="D668" s="1" t="s">
        <v>1024</v>
      </c>
    </row>
    <row r="669" spans="1:4" x14ac:dyDescent="0.2">
      <c r="A669" s="1" t="s">
        <v>678</v>
      </c>
      <c r="B669" s="1">
        <v>0</v>
      </c>
      <c r="C669" s="1" t="str">
        <f>VLOOKUP(student_internships[[#This Row],[Student_ID]],student_data[],2,0)</f>
        <v>Computer Science</v>
      </c>
      <c r="D669" s="1" t="s">
        <v>1024</v>
      </c>
    </row>
    <row r="670" spans="1:4" x14ac:dyDescent="0.2">
      <c r="A670" s="1" t="s">
        <v>679</v>
      </c>
      <c r="B670" s="1">
        <v>0</v>
      </c>
      <c r="C670" s="1" t="str">
        <f>VLOOKUP(student_internships[[#This Row],[Student_ID]],student_data[],2,0)</f>
        <v>Information Technology</v>
      </c>
      <c r="D670" s="1" t="s">
        <v>1024</v>
      </c>
    </row>
    <row r="671" spans="1:4" x14ac:dyDescent="0.2">
      <c r="A671" s="1" t="s">
        <v>680</v>
      </c>
      <c r="B671" s="1">
        <v>0</v>
      </c>
      <c r="C671" s="1" t="str">
        <f>VLOOKUP(student_internships[[#This Row],[Student_ID]],student_data[],2,0)</f>
        <v>Computer Science</v>
      </c>
      <c r="D671" s="1" t="s">
        <v>1024</v>
      </c>
    </row>
    <row r="672" spans="1:4" x14ac:dyDescent="0.2">
      <c r="A672" s="1" t="s">
        <v>681</v>
      </c>
      <c r="B672" s="1">
        <v>0</v>
      </c>
      <c r="C672" s="1" t="str">
        <f>VLOOKUP(student_internships[[#This Row],[Student_ID]],student_data[],2,0)</f>
        <v>Electronics</v>
      </c>
      <c r="D672" s="1" t="s">
        <v>1024</v>
      </c>
    </row>
    <row r="673" spans="1:4" x14ac:dyDescent="0.2">
      <c r="A673" s="1" t="s">
        <v>682</v>
      </c>
      <c r="B673" s="1">
        <v>0</v>
      </c>
      <c r="C673" s="1" t="str">
        <f>VLOOKUP(student_internships[[#This Row],[Student_ID]],student_data[],2,0)</f>
        <v>Computer Science</v>
      </c>
      <c r="D673" s="1" t="s">
        <v>1024</v>
      </c>
    </row>
    <row r="674" spans="1:4" x14ac:dyDescent="0.2">
      <c r="A674" s="1" t="s">
        <v>683</v>
      </c>
      <c r="B674" s="1">
        <v>0</v>
      </c>
      <c r="C674" s="1" t="str">
        <f>VLOOKUP(student_internships[[#This Row],[Student_ID]],student_data[],2,0)</f>
        <v>Mechanical</v>
      </c>
      <c r="D674" s="1" t="s">
        <v>1024</v>
      </c>
    </row>
    <row r="675" spans="1:4" x14ac:dyDescent="0.2">
      <c r="A675" s="1" t="s">
        <v>684</v>
      </c>
      <c r="B675" s="1">
        <v>2</v>
      </c>
      <c r="C675" s="1" t="str">
        <f>VLOOKUP(student_internships[[#This Row],[Student_ID]],student_data[],2,0)</f>
        <v>Computer Science</v>
      </c>
      <c r="D675" s="1" t="s">
        <v>1026</v>
      </c>
    </row>
    <row r="676" spans="1:4" x14ac:dyDescent="0.2">
      <c r="A676" s="1" t="s">
        <v>685</v>
      </c>
      <c r="B676" s="1">
        <v>0</v>
      </c>
      <c r="C676" s="1" t="str">
        <f>VLOOKUP(student_internships[[#This Row],[Student_ID]],student_data[],2,0)</f>
        <v>Information Technology</v>
      </c>
      <c r="D676" s="1" t="s">
        <v>1024</v>
      </c>
    </row>
    <row r="677" spans="1:4" x14ac:dyDescent="0.2">
      <c r="A677" s="1" t="s">
        <v>686</v>
      </c>
      <c r="B677" s="1">
        <v>1</v>
      </c>
      <c r="C677" s="1" t="str">
        <f>VLOOKUP(student_internships[[#This Row],[Student_ID]],student_data[],2,0)</f>
        <v>Civil</v>
      </c>
      <c r="D677" s="1" t="s">
        <v>1025</v>
      </c>
    </row>
    <row r="678" spans="1:4" x14ac:dyDescent="0.2">
      <c r="A678" s="1" t="s">
        <v>687</v>
      </c>
      <c r="B678" s="1">
        <v>1</v>
      </c>
      <c r="C678" s="1" t="str">
        <f>VLOOKUP(student_internships[[#This Row],[Student_ID]],student_data[],2,0)</f>
        <v>Computer Science</v>
      </c>
      <c r="D678" s="1" t="s">
        <v>1027</v>
      </c>
    </row>
    <row r="679" spans="1:4" x14ac:dyDescent="0.2">
      <c r="A679" s="1" t="s">
        <v>688</v>
      </c>
      <c r="B679" s="1">
        <v>3</v>
      </c>
      <c r="C679" s="1" t="str">
        <f>VLOOKUP(student_internships[[#This Row],[Student_ID]],student_data[],2,0)</f>
        <v>Information Technology</v>
      </c>
      <c r="D679" s="1" t="s">
        <v>1022</v>
      </c>
    </row>
    <row r="680" spans="1:4" x14ac:dyDescent="0.2">
      <c r="A680" s="1" t="s">
        <v>689</v>
      </c>
      <c r="B680" s="1">
        <v>0</v>
      </c>
      <c r="C680" s="1" t="str">
        <f>VLOOKUP(student_internships[[#This Row],[Student_ID]],student_data[],2,0)</f>
        <v>Information Technology</v>
      </c>
      <c r="D680" s="1" t="s">
        <v>1024</v>
      </c>
    </row>
    <row r="681" spans="1:4" x14ac:dyDescent="0.2">
      <c r="A681" s="1" t="s">
        <v>690</v>
      </c>
      <c r="B681" s="1">
        <v>1</v>
      </c>
      <c r="C681" s="1" t="str">
        <f>VLOOKUP(student_internships[[#This Row],[Student_ID]],student_data[],2,0)</f>
        <v>Mechanical</v>
      </c>
      <c r="D681" s="1" t="s">
        <v>1027</v>
      </c>
    </row>
    <row r="682" spans="1:4" x14ac:dyDescent="0.2">
      <c r="A682" s="1" t="s">
        <v>691</v>
      </c>
      <c r="B682" s="1">
        <v>3</v>
      </c>
      <c r="C682" s="1" t="str">
        <f>VLOOKUP(student_internships[[#This Row],[Student_ID]],student_data[],2,0)</f>
        <v>Information Technology</v>
      </c>
      <c r="D682" s="1" t="s">
        <v>1022</v>
      </c>
    </row>
    <row r="683" spans="1:4" x14ac:dyDescent="0.2">
      <c r="A683" s="1" t="s">
        <v>692</v>
      </c>
      <c r="B683" s="1">
        <v>2</v>
      </c>
      <c r="C683" s="1" t="str">
        <f>VLOOKUP(student_internships[[#This Row],[Student_ID]],student_data[],2,0)</f>
        <v>Information Technology</v>
      </c>
      <c r="D683" s="1" t="s">
        <v>1020</v>
      </c>
    </row>
    <row r="684" spans="1:4" x14ac:dyDescent="0.2">
      <c r="A684" s="1" t="s">
        <v>693</v>
      </c>
      <c r="B684" s="1">
        <v>2</v>
      </c>
      <c r="C684" s="1" t="str">
        <f>VLOOKUP(student_internships[[#This Row],[Student_ID]],student_data[],2,0)</f>
        <v>Information Technology</v>
      </c>
      <c r="D684" s="1" t="s">
        <v>1020</v>
      </c>
    </row>
    <row r="685" spans="1:4" x14ac:dyDescent="0.2">
      <c r="A685" s="1" t="s">
        <v>694</v>
      </c>
      <c r="B685" s="1">
        <v>0</v>
      </c>
      <c r="C685" s="1" t="str">
        <f>VLOOKUP(student_internships[[#This Row],[Student_ID]],student_data[],2,0)</f>
        <v>Information Technology</v>
      </c>
      <c r="D685" s="1" t="s">
        <v>1024</v>
      </c>
    </row>
    <row r="686" spans="1:4" x14ac:dyDescent="0.2">
      <c r="A686" s="1" t="s">
        <v>695</v>
      </c>
      <c r="B686" s="1">
        <v>0</v>
      </c>
      <c r="C686" s="1" t="str">
        <f>VLOOKUP(student_internships[[#This Row],[Student_ID]],student_data[],2,0)</f>
        <v>Electronics</v>
      </c>
      <c r="D686" s="1" t="s">
        <v>1024</v>
      </c>
    </row>
    <row r="687" spans="1:4" x14ac:dyDescent="0.2">
      <c r="A687" s="1" t="s">
        <v>696</v>
      </c>
      <c r="B687" s="1">
        <v>1</v>
      </c>
      <c r="C687" s="1" t="str">
        <f>VLOOKUP(student_internships[[#This Row],[Student_ID]],student_data[],2,0)</f>
        <v>Electronics</v>
      </c>
      <c r="D687" s="1" t="s">
        <v>1022</v>
      </c>
    </row>
    <row r="688" spans="1:4" x14ac:dyDescent="0.2">
      <c r="A688" s="1" t="s">
        <v>697</v>
      </c>
      <c r="B688" s="1">
        <v>3</v>
      </c>
      <c r="C688" s="1" t="str">
        <f>VLOOKUP(student_internships[[#This Row],[Student_ID]],student_data[],2,0)</f>
        <v>Mechanical</v>
      </c>
      <c r="D688" s="1" t="s">
        <v>1023</v>
      </c>
    </row>
    <row r="689" spans="1:4" x14ac:dyDescent="0.2">
      <c r="A689" s="1" t="s">
        <v>698</v>
      </c>
      <c r="B689" s="1">
        <v>1</v>
      </c>
      <c r="C689" s="1" t="str">
        <f>VLOOKUP(student_internships[[#This Row],[Student_ID]],student_data[],2,0)</f>
        <v>Computer Science</v>
      </c>
      <c r="D689" s="1" t="s">
        <v>1025</v>
      </c>
    </row>
    <row r="690" spans="1:4" x14ac:dyDescent="0.2">
      <c r="A690" s="1" t="s">
        <v>699</v>
      </c>
      <c r="B690" s="1">
        <v>1</v>
      </c>
      <c r="C690" s="1" t="str">
        <f>VLOOKUP(student_internships[[#This Row],[Student_ID]],student_data[],2,0)</f>
        <v>Information Technology</v>
      </c>
      <c r="D690" s="1" t="s">
        <v>1026</v>
      </c>
    </row>
    <row r="691" spans="1:4" x14ac:dyDescent="0.2">
      <c r="A691" s="1" t="s">
        <v>700</v>
      </c>
      <c r="B691" s="1">
        <v>0</v>
      </c>
      <c r="C691" s="1" t="str">
        <f>VLOOKUP(student_internships[[#This Row],[Student_ID]],student_data[],2,0)</f>
        <v>Computer Science</v>
      </c>
      <c r="D691" s="1" t="s">
        <v>1024</v>
      </c>
    </row>
    <row r="692" spans="1:4" x14ac:dyDescent="0.2">
      <c r="A692" s="1" t="s">
        <v>701</v>
      </c>
      <c r="B692" s="1">
        <v>2</v>
      </c>
      <c r="C692" s="1" t="str">
        <f>VLOOKUP(student_internships[[#This Row],[Student_ID]],student_data[],2,0)</f>
        <v>Computer Science</v>
      </c>
      <c r="D692" s="1" t="s">
        <v>1026</v>
      </c>
    </row>
    <row r="693" spans="1:4" x14ac:dyDescent="0.2">
      <c r="A693" s="1" t="s">
        <v>702</v>
      </c>
      <c r="B693" s="1">
        <v>0</v>
      </c>
      <c r="C693" s="1" t="str">
        <f>VLOOKUP(student_internships[[#This Row],[Student_ID]],student_data[],2,0)</f>
        <v>Mechanical</v>
      </c>
      <c r="D693" s="1" t="s">
        <v>1024</v>
      </c>
    </row>
    <row r="694" spans="1:4" x14ac:dyDescent="0.2">
      <c r="A694" s="1" t="s">
        <v>703</v>
      </c>
      <c r="B694" s="1">
        <v>1</v>
      </c>
      <c r="C694" s="1" t="str">
        <f>VLOOKUP(student_internships[[#This Row],[Student_ID]],student_data[],2,0)</f>
        <v>Information Technology</v>
      </c>
      <c r="D694" s="1" t="s">
        <v>1021</v>
      </c>
    </row>
    <row r="695" spans="1:4" x14ac:dyDescent="0.2">
      <c r="A695" s="1" t="s">
        <v>704</v>
      </c>
      <c r="B695" s="1">
        <v>1</v>
      </c>
      <c r="C695" s="1" t="str">
        <f>VLOOKUP(student_internships[[#This Row],[Student_ID]],student_data[],2,0)</f>
        <v>Information Technology</v>
      </c>
      <c r="D695" s="1" t="s">
        <v>1022</v>
      </c>
    </row>
    <row r="696" spans="1:4" x14ac:dyDescent="0.2">
      <c r="A696" s="1" t="s">
        <v>705</v>
      </c>
      <c r="B696" s="1">
        <v>1</v>
      </c>
      <c r="C696" s="1" t="str">
        <f>VLOOKUP(student_internships[[#This Row],[Student_ID]],student_data[],2,0)</f>
        <v>Civil</v>
      </c>
      <c r="D696" s="1" t="s">
        <v>1026</v>
      </c>
    </row>
    <row r="697" spans="1:4" x14ac:dyDescent="0.2">
      <c r="A697" s="1" t="s">
        <v>706</v>
      </c>
      <c r="B697" s="1">
        <v>0</v>
      </c>
      <c r="C697" s="1" t="str">
        <f>VLOOKUP(student_internships[[#This Row],[Student_ID]],student_data[],2,0)</f>
        <v>Computer Science</v>
      </c>
      <c r="D697" s="1" t="s">
        <v>1024</v>
      </c>
    </row>
    <row r="698" spans="1:4" x14ac:dyDescent="0.2">
      <c r="A698" s="1" t="s">
        <v>707</v>
      </c>
      <c r="B698" s="1">
        <v>0</v>
      </c>
      <c r="C698" s="1" t="str">
        <f>VLOOKUP(student_internships[[#This Row],[Student_ID]],student_data[],2,0)</f>
        <v>Computer Science</v>
      </c>
      <c r="D698" s="1" t="s">
        <v>1024</v>
      </c>
    </row>
    <row r="699" spans="1:4" x14ac:dyDescent="0.2">
      <c r="A699" s="1" t="s">
        <v>708</v>
      </c>
      <c r="B699" s="1">
        <v>1</v>
      </c>
      <c r="C699" s="1" t="str">
        <f>VLOOKUP(student_internships[[#This Row],[Student_ID]],student_data[],2,0)</f>
        <v>Electronics</v>
      </c>
      <c r="D699" s="1" t="s">
        <v>1023</v>
      </c>
    </row>
    <row r="700" spans="1:4" x14ac:dyDescent="0.2">
      <c r="A700" s="1" t="s">
        <v>709</v>
      </c>
      <c r="B700" s="1">
        <v>0</v>
      </c>
      <c r="C700" s="1" t="str">
        <f>VLOOKUP(student_internships[[#This Row],[Student_ID]],student_data[],2,0)</f>
        <v>Civil</v>
      </c>
      <c r="D700" s="1" t="s">
        <v>1024</v>
      </c>
    </row>
    <row r="701" spans="1:4" x14ac:dyDescent="0.2">
      <c r="A701" s="1" t="s">
        <v>710</v>
      </c>
      <c r="B701" s="1">
        <v>1</v>
      </c>
      <c r="C701" s="1" t="str">
        <f>VLOOKUP(student_internships[[#This Row],[Student_ID]],student_data[],2,0)</f>
        <v>Electronics</v>
      </c>
      <c r="D701" s="1" t="s">
        <v>1022</v>
      </c>
    </row>
    <row r="702" spans="1:4" x14ac:dyDescent="0.2">
      <c r="A702" s="1" t="s">
        <v>711</v>
      </c>
      <c r="B702" s="1">
        <v>0</v>
      </c>
      <c r="C702" s="1" t="str">
        <f>VLOOKUP(student_internships[[#This Row],[Student_ID]],student_data[],2,0)</f>
        <v>Electronics</v>
      </c>
      <c r="D702" s="1" t="s">
        <v>1024</v>
      </c>
    </row>
    <row r="703" spans="1:4" x14ac:dyDescent="0.2">
      <c r="A703" s="1" t="s">
        <v>712</v>
      </c>
      <c r="B703" s="1">
        <v>1</v>
      </c>
      <c r="C703" s="1" t="str">
        <f>VLOOKUP(student_internships[[#This Row],[Student_ID]],student_data[],2,0)</f>
        <v>Electronics</v>
      </c>
      <c r="D703" s="1" t="s">
        <v>1023</v>
      </c>
    </row>
    <row r="704" spans="1:4" x14ac:dyDescent="0.2">
      <c r="A704" s="1" t="s">
        <v>713</v>
      </c>
      <c r="B704" s="1">
        <v>1</v>
      </c>
      <c r="C704" s="1" t="str">
        <f>VLOOKUP(student_internships[[#This Row],[Student_ID]],student_data[],2,0)</f>
        <v>Mechanical</v>
      </c>
      <c r="D704" s="1" t="s">
        <v>1026</v>
      </c>
    </row>
    <row r="705" spans="1:4" x14ac:dyDescent="0.2">
      <c r="A705" s="1" t="s">
        <v>714</v>
      </c>
      <c r="B705" s="1">
        <v>0</v>
      </c>
      <c r="C705" s="1" t="str">
        <f>VLOOKUP(student_internships[[#This Row],[Student_ID]],student_data[],2,0)</f>
        <v>Mechanical</v>
      </c>
      <c r="D705" s="1" t="s">
        <v>1024</v>
      </c>
    </row>
    <row r="706" spans="1:4" x14ac:dyDescent="0.2">
      <c r="A706" s="1" t="s">
        <v>715</v>
      </c>
      <c r="B706" s="1">
        <v>1</v>
      </c>
      <c r="C706" s="1" t="str">
        <f>VLOOKUP(student_internships[[#This Row],[Student_ID]],student_data[],2,0)</f>
        <v>Electronics</v>
      </c>
      <c r="D706" s="1" t="s">
        <v>1026</v>
      </c>
    </row>
    <row r="707" spans="1:4" x14ac:dyDescent="0.2">
      <c r="A707" s="1" t="s">
        <v>716</v>
      </c>
      <c r="B707" s="1">
        <v>0</v>
      </c>
      <c r="C707" s="1" t="str">
        <f>VLOOKUP(student_internships[[#This Row],[Student_ID]],student_data[],2,0)</f>
        <v>Civil</v>
      </c>
      <c r="D707" s="1" t="s">
        <v>1024</v>
      </c>
    </row>
    <row r="708" spans="1:4" x14ac:dyDescent="0.2">
      <c r="A708" s="1" t="s">
        <v>717</v>
      </c>
      <c r="B708" s="1">
        <v>0</v>
      </c>
      <c r="C708" s="1" t="str">
        <f>VLOOKUP(student_internships[[#This Row],[Student_ID]],student_data[],2,0)</f>
        <v>Computer Science</v>
      </c>
      <c r="D708" s="1" t="s">
        <v>1024</v>
      </c>
    </row>
    <row r="709" spans="1:4" x14ac:dyDescent="0.2">
      <c r="A709" s="1" t="s">
        <v>718</v>
      </c>
      <c r="B709" s="1">
        <v>3</v>
      </c>
      <c r="C709" s="1" t="str">
        <f>VLOOKUP(student_internships[[#This Row],[Student_ID]],student_data[],2,0)</f>
        <v>Civil</v>
      </c>
      <c r="D709" s="1" t="s">
        <v>1021</v>
      </c>
    </row>
    <row r="710" spans="1:4" x14ac:dyDescent="0.2">
      <c r="A710" s="1" t="s">
        <v>719</v>
      </c>
      <c r="B710" s="1">
        <v>1</v>
      </c>
      <c r="C710" s="1" t="str">
        <f>VLOOKUP(student_internships[[#This Row],[Student_ID]],student_data[],2,0)</f>
        <v>Information Technology</v>
      </c>
      <c r="D710" s="1" t="s">
        <v>1026</v>
      </c>
    </row>
    <row r="711" spans="1:4" x14ac:dyDescent="0.2">
      <c r="A711" s="1" t="s">
        <v>720</v>
      </c>
      <c r="B711" s="1">
        <v>2</v>
      </c>
      <c r="C711" s="1" t="str">
        <f>VLOOKUP(student_internships[[#This Row],[Student_ID]],student_data[],2,0)</f>
        <v>Mechanical</v>
      </c>
      <c r="D711" s="1" t="s">
        <v>1022</v>
      </c>
    </row>
    <row r="712" spans="1:4" x14ac:dyDescent="0.2">
      <c r="A712" s="1" t="s">
        <v>721</v>
      </c>
      <c r="B712" s="1">
        <v>0</v>
      </c>
      <c r="C712" s="1" t="str">
        <f>VLOOKUP(student_internships[[#This Row],[Student_ID]],student_data[],2,0)</f>
        <v>Computer Science</v>
      </c>
      <c r="D712" s="1" t="s">
        <v>1024</v>
      </c>
    </row>
    <row r="713" spans="1:4" x14ac:dyDescent="0.2">
      <c r="A713" s="1" t="s">
        <v>722</v>
      </c>
      <c r="B713" s="1">
        <v>1</v>
      </c>
      <c r="C713" s="1" t="str">
        <f>VLOOKUP(student_internships[[#This Row],[Student_ID]],student_data[],2,0)</f>
        <v>Computer Science</v>
      </c>
      <c r="D713" s="1" t="s">
        <v>1020</v>
      </c>
    </row>
    <row r="714" spans="1:4" x14ac:dyDescent="0.2">
      <c r="A714" s="1" t="s">
        <v>723</v>
      </c>
      <c r="B714" s="1">
        <v>2</v>
      </c>
      <c r="C714" s="1" t="str">
        <f>VLOOKUP(student_internships[[#This Row],[Student_ID]],student_data[],2,0)</f>
        <v>Information Technology</v>
      </c>
      <c r="D714" s="1" t="s">
        <v>1022</v>
      </c>
    </row>
    <row r="715" spans="1:4" x14ac:dyDescent="0.2">
      <c r="A715" s="1" t="s">
        <v>724</v>
      </c>
      <c r="B715" s="1">
        <v>1</v>
      </c>
      <c r="C715" s="1" t="str">
        <f>VLOOKUP(student_internships[[#This Row],[Student_ID]],student_data[],2,0)</f>
        <v>Information Technology</v>
      </c>
      <c r="D715" s="1" t="s">
        <v>1022</v>
      </c>
    </row>
    <row r="716" spans="1:4" x14ac:dyDescent="0.2">
      <c r="A716" s="1" t="s">
        <v>725</v>
      </c>
      <c r="B716" s="1">
        <v>1</v>
      </c>
      <c r="C716" s="1" t="str">
        <f>VLOOKUP(student_internships[[#This Row],[Student_ID]],student_data[],2,0)</f>
        <v>Electronics</v>
      </c>
      <c r="D716" s="1" t="s">
        <v>1021</v>
      </c>
    </row>
    <row r="717" spans="1:4" x14ac:dyDescent="0.2">
      <c r="A717" s="1" t="s">
        <v>726</v>
      </c>
      <c r="B717" s="1">
        <v>1</v>
      </c>
      <c r="C717" s="1" t="str">
        <f>VLOOKUP(student_internships[[#This Row],[Student_ID]],student_data[],2,0)</f>
        <v>Mechanical</v>
      </c>
      <c r="D717" s="1" t="s">
        <v>1021</v>
      </c>
    </row>
    <row r="718" spans="1:4" x14ac:dyDescent="0.2">
      <c r="A718" s="1" t="s">
        <v>727</v>
      </c>
      <c r="B718" s="1">
        <v>1</v>
      </c>
      <c r="C718" s="1" t="str">
        <f>VLOOKUP(student_internships[[#This Row],[Student_ID]],student_data[],2,0)</f>
        <v>Mechanical</v>
      </c>
      <c r="D718" s="1" t="s">
        <v>1026</v>
      </c>
    </row>
    <row r="719" spans="1:4" x14ac:dyDescent="0.2">
      <c r="A719" s="1" t="s">
        <v>728</v>
      </c>
      <c r="B719" s="1">
        <v>3</v>
      </c>
      <c r="C719" s="1" t="str">
        <f>VLOOKUP(student_internships[[#This Row],[Student_ID]],student_data[],2,0)</f>
        <v>Civil</v>
      </c>
      <c r="D719" s="1" t="s">
        <v>1027</v>
      </c>
    </row>
    <row r="720" spans="1:4" x14ac:dyDescent="0.2">
      <c r="A720" s="1" t="s">
        <v>729</v>
      </c>
      <c r="B720" s="1">
        <v>2</v>
      </c>
      <c r="C720" s="1" t="str">
        <f>VLOOKUP(student_internships[[#This Row],[Student_ID]],student_data[],2,0)</f>
        <v>Electronics</v>
      </c>
      <c r="D720" s="1" t="s">
        <v>1027</v>
      </c>
    </row>
    <row r="721" spans="1:4" x14ac:dyDescent="0.2">
      <c r="A721" s="1" t="s">
        <v>730</v>
      </c>
      <c r="B721" s="1">
        <v>3</v>
      </c>
      <c r="C721" s="1" t="str">
        <f>VLOOKUP(student_internships[[#This Row],[Student_ID]],student_data[],2,0)</f>
        <v>Electronics</v>
      </c>
      <c r="D721" s="1" t="s">
        <v>1021</v>
      </c>
    </row>
    <row r="722" spans="1:4" x14ac:dyDescent="0.2">
      <c r="A722" s="1" t="s">
        <v>731</v>
      </c>
      <c r="B722" s="1">
        <v>0</v>
      </c>
      <c r="C722" s="1" t="str">
        <f>VLOOKUP(student_internships[[#This Row],[Student_ID]],student_data[],2,0)</f>
        <v>Electronics</v>
      </c>
      <c r="D722" s="1" t="s">
        <v>1024</v>
      </c>
    </row>
    <row r="723" spans="1:4" x14ac:dyDescent="0.2">
      <c r="A723" s="1" t="s">
        <v>732</v>
      </c>
      <c r="B723" s="1">
        <v>2</v>
      </c>
      <c r="C723" s="1" t="str">
        <f>VLOOKUP(student_internships[[#This Row],[Student_ID]],student_data[],2,0)</f>
        <v>Electronics</v>
      </c>
      <c r="D723" s="1" t="s">
        <v>1026</v>
      </c>
    </row>
    <row r="724" spans="1:4" x14ac:dyDescent="0.2">
      <c r="A724" s="1" t="s">
        <v>733</v>
      </c>
      <c r="B724" s="1">
        <v>3</v>
      </c>
      <c r="C724" s="1" t="str">
        <f>VLOOKUP(student_internships[[#This Row],[Student_ID]],student_data[],2,0)</f>
        <v>Mechanical</v>
      </c>
      <c r="D724" s="1" t="s">
        <v>1027</v>
      </c>
    </row>
    <row r="725" spans="1:4" x14ac:dyDescent="0.2">
      <c r="A725" s="1" t="s">
        <v>734</v>
      </c>
      <c r="B725" s="1">
        <v>0</v>
      </c>
      <c r="C725" s="1" t="str">
        <f>VLOOKUP(student_internships[[#This Row],[Student_ID]],student_data[],2,0)</f>
        <v>Mechanical</v>
      </c>
      <c r="D725" s="1" t="s">
        <v>1024</v>
      </c>
    </row>
    <row r="726" spans="1:4" x14ac:dyDescent="0.2">
      <c r="A726" s="1" t="s">
        <v>735</v>
      </c>
      <c r="B726" s="1">
        <v>0</v>
      </c>
      <c r="C726" s="1" t="str">
        <f>VLOOKUP(student_internships[[#This Row],[Student_ID]],student_data[],2,0)</f>
        <v>Electronics</v>
      </c>
      <c r="D726" s="1" t="s">
        <v>1024</v>
      </c>
    </row>
    <row r="727" spans="1:4" x14ac:dyDescent="0.2">
      <c r="A727" s="1" t="s">
        <v>736</v>
      </c>
      <c r="B727" s="1">
        <v>2</v>
      </c>
      <c r="C727" s="1" t="str">
        <f>VLOOKUP(student_internships[[#This Row],[Student_ID]],student_data[],2,0)</f>
        <v>Civil</v>
      </c>
      <c r="D727" s="1" t="s">
        <v>1026</v>
      </c>
    </row>
    <row r="728" spans="1:4" x14ac:dyDescent="0.2">
      <c r="A728" s="1" t="s">
        <v>737</v>
      </c>
      <c r="B728" s="1">
        <v>1</v>
      </c>
      <c r="C728" s="1" t="str">
        <f>VLOOKUP(student_internships[[#This Row],[Student_ID]],student_data[],2,0)</f>
        <v>Computer Science</v>
      </c>
      <c r="D728" s="1" t="s">
        <v>1026</v>
      </c>
    </row>
    <row r="729" spans="1:4" x14ac:dyDescent="0.2">
      <c r="A729" s="1" t="s">
        <v>738</v>
      </c>
      <c r="B729" s="1">
        <v>2</v>
      </c>
      <c r="C729" s="1" t="str">
        <f>VLOOKUP(student_internships[[#This Row],[Student_ID]],student_data[],2,0)</f>
        <v>Computer Science</v>
      </c>
      <c r="D729" s="1" t="s">
        <v>1026</v>
      </c>
    </row>
    <row r="730" spans="1:4" x14ac:dyDescent="0.2">
      <c r="A730" s="1" t="s">
        <v>739</v>
      </c>
      <c r="B730" s="1">
        <v>0</v>
      </c>
      <c r="C730" s="1" t="str">
        <f>VLOOKUP(student_internships[[#This Row],[Student_ID]],student_data[],2,0)</f>
        <v>Civil</v>
      </c>
      <c r="D730" s="1" t="s">
        <v>1024</v>
      </c>
    </row>
    <row r="731" spans="1:4" x14ac:dyDescent="0.2">
      <c r="A731" s="1" t="s">
        <v>740</v>
      </c>
      <c r="B731" s="1">
        <v>2</v>
      </c>
      <c r="C731" s="1" t="str">
        <f>VLOOKUP(student_internships[[#This Row],[Student_ID]],student_data[],2,0)</f>
        <v>Electronics</v>
      </c>
      <c r="D731" s="1" t="s">
        <v>1025</v>
      </c>
    </row>
    <row r="732" spans="1:4" x14ac:dyDescent="0.2">
      <c r="A732" s="1" t="s">
        <v>741</v>
      </c>
      <c r="B732" s="1">
        <v>0</v>
      </c>
      <c r="C732" s="1" t="str">
        <f>VLOOKUP(student_internships[[#This Row],[Student_ID]],student_data[],2,0)</f>
        <v>Mechanical</v>
      </c>
      <c r="D732" s="1" t="s">
        <v>1024</v>
      </c>
    </row>
    <row r="733" spans="1:4" x14ac:dyDescent="0.2">
      <c r="A733" s="1" t="s">
        <v>742</v>
      </c>
      <c r="B733" s="1">
        <v>0</v>
      </c>
      <c r="C733" s="1" t="str">
        <f>VLOOKUP(student_internships[[#This Row],[Student_ID]],student_data[],2,0)</f>
        <v>Computer Science</v>
      </c>
      <c r="D733" s="1" t="s">
        <v>1024</v>
      </c>
    </row>
    <row r="734" spans="1:4" x14ac:dyDescent="0.2">
      <c r="A734" s="1" t="s">
        <v>743</v>
      </c>
      <c r="B734" s="1">
        <v>0</v>
      </c>
      <c r="C734" s="1" t="str">
        <f>VLOOKUP(student_internships[[#This Row],[Student_ID]],student_data[],2,0)</f>
        <v>Information Technology</v>
      </c>
      <c r="D734" s="1" t="s">
        <v>1024</v>
      </c>
    </row>
    <row r="735" spans="1:4" x14ac:dyDescent="0.2">
      <c r="A735" s="1" t="s">
        <v>744</v>
      </c>
      <c r="B735" s="1">
        <v>2</v>
      </c>
      <c r="C735" s="1" t="str">
        <f>VLOOKUP(student_internships[[#This Row],[Student_ID]],student_data[],2,0)</f>
        <v>Information Technology</v>
      </c>
      <c r="D735" s="1" t="s">
        <v>1022</v>
      </c>
    </row>
    <row r="736" spans="1:4" x14ac:dyDescent="0.2">
      <c r="A736" s="1" t="s">
        <v>745</v>
      </c>
      <c r="B736" s="1">
        <v>1</v>
      </c>
      <c r="C736" s="1" t="str">
        <f>VLOOKUP(student_internships[[#This Row],[Student_ID]],student_data[],2,0)</f>
        <v>Civil</v>
      </c>
      <c r="D736" s="1" t="s">
        <v>1026</v>
      </c>
    </row>
    <row r="737" spans="1:4" x14ac:dyDescent="0.2">
      <c r="A737" s="1" t="s">
        <v>746</v>
      </c>
      <c r="B737" s="1">
        <v>1</v>
      </c>
      <c r="C737" s="1" t="str">
        <f>VLOOKUP(student_internships[[#This Row],[Student_ID]],student_data[],2,0)</f>
        <v>Electronics</v>
      </c>
      <c r="D737" s="1" t="s">
        <v>1025</v>
      </c>
    </row>
    <row r="738" spans="1:4" x14ac:dyDescent="0.2">
      <c r="A738" s="1" t="s">
        <v>747</v>
      </c>
      <c r="B738" s="1">
        <v>1</v>
      </c>
      <c r="C738" s="1" t="str">
        <f>VLOOKUP(student_internships[[#This Row],[Student_ID]],student_data[],2,0)</f>
        <v>Computer Science</v>
      </c>
      <c r="D738" s="1" t="s">
        <v>1021</v>
      </c>
    </row>
    <row r="739" spans="1:4" x14ac:dyDescent="0.2">
      <c r="A739" s="1" t="s">
        <v>748</v>
      </c>
      <c r="B739" s="1">
        <v>2</v>
      </c>
      <c r="C739" s="1" t="str">
        <f>VLOOKUP(student_internships[[#This Row],[Student_ID]],student_data[],2,0)</f>
        <v>Electronics</v>
      </c>
      <c r="D739" s="1" t="s">
        <v>1027</v>
      </c>
    </row>
    <row r="740" spans="1:4" x14ac:dyDescent="0.2">
      <c r="A740" s="1" t="s">
        <v>749</v>
      </c>
      <c r="B740" s="1">
        <v>1</v>
      </c>
      <c r="C740" s="1" t="str">
        <f>VLOOKUP(student_internships[[#This Row],[Student_ID]],student_data[],2,0)</f>
        <v>Computer Science</v>
      </c>
      <c r="D740" s="1" t="s">
        <v>1022</v>
      </c>
    </row>
    <row r="741" spans="1:4" x14ac:dyDescent="0.2">
      <c r="A741" s="1" t="s">
        <v>750</v>
      </c>
      <c r="B741" s="1">
        <v>2</v>
      </c>
      <c r="C741" s="1" t="str">
        <f>VLOOKUP(student_internships[[#This Row],[Student_ID]],student_data[],2,0)</f>
        <v>Civil</v>
      </c>
      <c r="D741" s="1" t="s">
        <v>1020</v>
      </c>
    </row>
    <row r="742" spans="1:4" x14ac:dyDescent="0.2">
      <c r="A742" s="1" t="s">
        <v>751</v>
      </c>
      <c r="B742" s="1">
        <v>1</v>
      </c>
      <c r="C742" s="1" t="str">
        <f>VLOOKUP(student_internships[[#This Row],[Student_ID]],student_data[],2,0)</f>
        <v>Civil</v>
      </c>
      <c r="D742" s="1" t="s">
        <v>1027</v>
      </c>
    </row>
    <row r="743" spans="1:4" x14ac:dyDescent="0.2">
      <c r="A743" s="1" t="s">
        <v>752</v>
      </c>
      <c r="B743" s="1">
        <v>1</v>
      </c>
      <c r="C743" s="1" t="str">
        <f>VLOOKUP(student_internships[[#This Row],[Student_ID]],student_data[],2,0)</f>
        <v>Information Technology</v>
      </c>
      <c r="D743" s="1" t="s">
        <v>1022</v>
      </c>
    </row>
    <row r="744" spans="1:4" x14ac:dyDescent="0.2">
      <c r="A744" s="1" t="s">
        <v>753</v>
      </c>
      <c r="B744" s="1">
        <v>1</v>
      </c>
      <c r="C744" s="1" t="str">
        <f>VLOOKUP(student_internships[[#This Row],[Student_ID]],student_data[],2,0)</f>
        <v>Electronics</v>
      </c>
      <c r="D744" s="1" t="s">
        <v>1020</v>
      </c>
    </row>
    <row r="745" spans="1:4" x14ac:dyDescent="0.2">
      <c r="A745" s="1" t="s">
        <v>754</v>
      </c>
      <c r="B745" s="1">
        <v>1</v>
      </c>
      <c r="C745" s="1" t="str">
        <f>VLOOKUP(student_internships[[#This Row],[Student_ID]],student_data[],2,0)</f>
        <v>Information Technology</v>
      </c>
      <c r="D745" s="1" t="s">
        <v>1027</v>
      </c>
    </row>
    <row r="746" spans="1:4" x14ac:dyDescent="0.2">
      <c r="A746" s="1" t="s">
        <v>755</v>
      </c>
      <c r="B746" s="1">
        <v>2</v>
      </c>
      <c r="C746" s="1" t="str">
        <f>VLOOKUP(student_internships[[#This Row],[Student_ID]],student_data[],2,0)</f>
        <v>Electronics</v>
      </c>
      <c r="D746" s="1" t="s">
        <v>1022</v>
      </c>
    </row>
    <row r="747" spans="1:4" x14ac:dyDescent="0.2">
      <c r="A747" s="1" t="s">
        <v>756</v>
      </c>
      <c r="B747" s="1">
        <v>1</v>
      </c>
      <c r="C747" s="1" t="str">
        <f>VLOOKUP(student_internships[[#This Row],[Student_ID]],student_data[],2,0)</f>
        <v>Information Technology</v>
      </c>
      <c r="D747" s="1" t="s">
        <v>1027</v>
      </c>
    </row>
    <row r="748" spans="1:4" x14ac:dyDescent="0.2">
      <c r="A748" s="1" t="s">
        <v>757</v>
      </c>
      <c r="B748" s="1">
        <v>0</v>
      </c>
      <c r="C748" s="1" t="str">
        <f>VLOOKUP(student_internships[[#This Row],[Student_ID]],student_data[],2,0)</f>
        <v>Mechanical</v>
      </c>
      <c r="D748" s="1" t="s">
        <v>1024</v>
      </c>
    </row>
    <row r="749" spans="1:4" x14ac:dyDescent="0.2">
      <c r="A749" s="1" t="s">
        <v>758</v>
      </c>
      <c r="B749" s="1">
        <v>2</v>
      </c>
      <c r="C749" s="1" t="str">
        <f>VLOOKUP(student_internships[[#This Row],[Student_ID]],student_data[],2,0)</f>
        <v>Mechanical</v>
      </c>
      <c r="D749" s="1" t="s">
        <v>1027</v>
      </c>
    </row>
    <row r="750" spans="1:4" x14ac:dyDescent="0.2">
      <c r="A750" s="1" t="s">
        <v>759</v>
      </c>
      <c r="B750" s="1">
        <v>1</v>
      </c>
      <c r="C750" s="1" t="str">
        <f>VLOOKUP(student_internships[[#This Row],[Student_ID]],student_data[],2,0)</f>
        <v>Mechanical</v>
      </c>
      <c r="D750" s="1" t="s">
        <v>1020</v>
      </c>
    </row>
    <row r="751" spans="1:4" x14ac:dyDescent="0.2">
      <c r="A751" s="1" t="s">
        <v>760</v>
      </c>
      <c r="B751" s="1">
        <v>1</v>
      </c>
      <c r="C751" s="1" t="str">
        <f>VLOOKUP(student_internships[[#This Row],[Student_ID]],student_data[],2,0)</f>
        <v>Mechanical</v>
      </c>
      <c r="D751" s="1" t="s">
        <v>1027</v>
      </c>
    </row>
    <row r="752" spans="1:4" x14ac:dyDescent="0.2">
      <c r="A752" s="1" t="s">
        <v>761</v>
      </c>
      <c r="B752" s="1">
        <v>3</v>
      </c>
      <c r="C752" s="1" t="str">
        <f>VLOOKUP(student_internships[[#This Row],[Student_ID]],student_data[],2,0)</f>
        <v>Computer Science</v>
      </c>
      <c r="D752" s="1" t="s">
        <v>1027</v>
      </c>
    </row>
    <row r="753" spans="1:4" x14ac:dyDescent="0.2">
      <c r="A753" s="1" t="s">
        <v>762</v>
      </c>
      <c r="B753" s="1">
        <v>1</v>
      </c>
      <c r="C753" s="1" t="str">
        <f>VLOOKUP(student_internships[[#This Row],[Student_ID]],student_data[],2,0)</f>
        <v>Mechanical</v>
      </c>
      <c r="D753" s="1" t="s">
        <v>1020</v>
      </c>
    </row>
    <row r="754" spans="1:4" x14ac:dyDescent="0.2">
      <c r="A754" s="1" t="s">
        <v>763</v>
      </c>
      <c r="B754" s="1">
        <v>0</v>
      </c>
      <c r="C754" s="1" t="str">
        <f>VLOOKUP(student_internships[[#This Row],[Student_ID]],student_data[],2,0)</f>
        <v>Civil</v>
      </c>
      <c r="D754" s="1" t="s">
        <v>1024</v>
      </c>
    </row>
    <row r="755" spans="1:4" x14ac:dyDescent="0.2">
      <c r="A755" s="1" t="s">
        <v>764</v>
      </c>
      <c r="B755" s="1">
        <v>3</v>
      </c>
      <c r="C755" s="1" t="str">
        <f>VLOOKUP(student_internships[[#This Row],[Student_ID]],student_data[],2,0)</f>
        <v>Civil</v>
      </c>
      <c r="D755" s="1" t="s">
        <v>1021</v>
      </c>
    </row>
    <row r="756" spans="1:4" x14ac:dyDescent="0.2">
      <c r="A756" s="1" t="s">
        <v>765</v>
      </c>
      <c r="B756" s="1">
        <v>1</v>
      </c>
      <c r="C756" s="1" t="str">
        <f>VLOOKUP(student_internships[[#This Row],[Student_ID]],student_data[],2,0)</f>
        <v>Computer Science</v>
      </c>
      <c r="D756" s="1" t="s">
        <v>1026</v>
      </c>
    </row>
    <row r="757" spans="1:4" x14ac:dyDescent="0.2">
      <c r="A757" s="1" t="s">
        <v>766</v>
      </c>
      <c r="B757" s="1">
        <v>1</v>
      </c>
      <c r="C757" s="1" t="str">
        <f>VLOOKUP(student_internships[[#This Row],[Student_ID]],student_data[],2,0)</f>
        <v>Mechanical</v>
      </c>
      <c r="D757" s="1" t="s">
        <v>1023</v>
      </c>
    </row>
    <row r="758" spans="1:4" x14ac:dyDescent="0.2">
      <c r="A758" s="1" t="s">
        <v>767</v>
      </c>
      <c r="B758" s="1">
        <v>0</v>
      </c>
      <c r="C758" s="1" t="str">
        <f>VLOOKUP(student_internships[[#This Row],[Student_ID]],student_data[],2,0)</f>
        <v>Mechanical</v>
      </c>
      <c r="D758" s="1" t="s">
        <v>1024</v>
      </c>
    </row>
    <row r="759" spans="1:4" x14ac:dyDescent="0.2">
      <c r="A759" s="1" t="s">
        <v>768</v>
      </c>
      <c r="B759" s="1">
        <v>2</v>
      </c>
      <c r="C759" s="1" t="str">
        <f>VLOOKUP(student_internships[[#This Row],[Student_ID]],student_data[],2,0)</f>
        <v>Mechanical</v>
      </c>
      <c r="D759" s="1" t="s">
        <v>1025</v>
      </c>
    </row>
    <row r="760" spans="1:4" x14ac:dyDescent="0.2">
      <c r="A760" s="1" t="s">
        <v>769</v>
      </c>
      <c r="B760" s="1">
        <v>1</v>
      </c>
      <c r="C760" s="1" t="str">
        <f>VLOOKUP(student_internships[[#This Row],[Student_ID]],student_data[],2,0)</f>
        <v>Information Technology</v>
      </c>
      <c r="D760" s="1" t="s">
        <v>1023</v>
      </c>
    </row>
    <row r="761" spans="1:4" x14ac:dyDescent="0.2">
      <c r="A761" s="1" t="s">
        <v>770</v>
      </c>
      <c r="B761" s="1">
        <v>1</v>
      </c>
      <c r="C761" s="1" t="str">
        <f>VLOOKUP(student_internships[[#This Row],[Student_ID]],student_data[],2,0)</f>
        <v>Electronics</v>
      </c>
      <c r="D761" s="1" t="s">
        <v>1023</v>
      </c>
    </row>
    <row r="762" spans="1:4" x14ac:dyDescent="0.2">
      <c r="A762" s="1" t="s">
        <v>771</v>
      </c>
      <c r="B762" s="1">
        <v>2</v>
      </c>
      <c r="C762" s="1" t="str">
        <f>VLOOKUP(student_internships[[#This Row],[Student_ID]],student_data[],2,0)</f>
        <v>Information Technology</v>
      </c>
      <c r="D762" s="1" t="s">
        <v>1022</v>
      </c>
    </row>
    <row r="763" spans="1:4" x14ac:dyDescent="0.2">
      <c r="A763" s="1" t="s">
        <v>772</v>
      </c>
      <c r="B763" s="1">
        <v>2</v>
      </c>
      <c r="C763" s="1" t="str">
        <f>VLOOKUP(student_internships[[#This Row],[Student_ID]],student_data[],2,0)</f>
        <v>Electronics</v>
      </c>
      <c r="D763" s="1" t="s">
        <v>1026</v>
      </c>
    </row>
    <row r="764" spans="1:4" x14ac:dyDescent="0.2">
      <c r="A764" s="1" t="s">
        <v>773</v>
      </c>
      <c r="B764" s="1">
        <v>0</v>
      </c>
      <c r="C764" s="1" t="str">
        <f>VLOOKUP(student_internships[[#This Row],[Student_ID]],student_data[],2,0)</f>
        <v>Mechanical</v>
      </c>
      <c r="D764" s="1" t="s">
        <v>1024</v>
      </c>
    </row>
    <row r="765" spans="1:4" x14ac:dyDescent="0.2">
      <c r="A765" s="1" t="s">
        <v>774</v>
      </c>
      <c r="B765" s="1">
        <v>1</v>
      </c>
      <c r="C765" s="1" t="str">
        <f>VLOOKUP(student_internships[[#This Row],[Student_ID]],student_data[],2,0)</f>
        <v>Mechanical</v>
      </c>
      <c r="D765" s="1" t="s">
        <v>1022</v>
      </c>
    </row>
    <row r="766" spans="1:4" x14ac:dyDescent="0.2">
      <c r="A766" s="1" t="s">
        <v>775</v>
      </c>
      <c r="B766" s="1">
        <v>0</v>
      </c>
      <c r="C766" s="1" t="str">
        <f>VLOOKUP(student_internships[[#This Row],[Student_ID]],student_data[],2,0)</f>
        <v>Information Technology</v>
      </c>
      <c r="D766" s="1" t="s">
        <v>1024</v>
      </c>
    </row>
    <row r="767" spans="1:4" x14ac:dyDescent="0.2">
      <c r="A767" s="1" t="s">
        <v>776</v>
      </c>
      <c r="B767" s="1">
        <v>2</v>
      </c>
      <c r="C767" s="1" t="str">
        <f>VLOOKUP(student_internships[[#This Row],[Student_ID]],student_data[],2,0)</f>
        <v>Information Technology</v>
      </c>
      <c r="D767" s="1" t="s">
        <v>1026</v>
      </c>
    </row>
    <row r="768" spans="1:4" x14ac:dyDescent="0.2">
      <c r="A768" s="1" t="s">
        <v>777</v>
      </c>
      <c r="B768" s="1">
        <v>0</v>
      </c>
      <c r="C768" s="1" t="str">
        <f>VLOOKUP(student_internships[[#This Row],[Student_ID]],student_data[],2,0)</f>
        <v>Electronics</v>
      </c>
      <c r="D768" s="1" t="s">
        <v>1024</v>
      </c>
    </row>
    <row r="769" spans="1:4" x14ac:dyDescent="0.2">
      <c r="A769" s="1" t="s">
        <v>778</v>
      </c>
      <c r="B769" s="1">
        <v>1</v>
      </c>
      <c r="C769" s="1" t="str">
        <f>VLOOKUP(student_internships[[#This Row],[Student_ID]],student_data[],2,0)</f>
        <v>Civil</v>
      </c>
      <c r="D769" s="1" t="s">
        <v>1020</v>
      </c>
    </row>
    <row r="770" spans="1:4" x14ac:dyDescent="0.2">
      <c r="A770" s="1" t="s">
        <v>779</v>
      </c>
      <c r="B770" s="1">
        <v>2</v>
      </c>
      <c r="C770" s="1" t="str">
        <f>VLOOKUP(student_internships[[#This Row],[Student_ID]],student_data[],2,0)</f>
        <v>Electronics</v>
      </c>
      <c r="D770" s="1" t="s">
        <v>1020</v>
      </c>
    </row>
    <row r="771" spans="1:4" x14ac:dyDescent="0.2">
      <c r="A771" s="1" t="s">
        <v>780</v>
      </c>
      <c r="B771" s="1">
        <v>2</v>
      </c>
      <c r="C771" s="1" t="str">
        <f>VLOOKUP(student_internships[[#This Row],[Student_ID]],student_data[],2,0)</f>
        <v>Information Technology</v>
      </c>
      <c r="D771" s="1" t="s">
        <v>1026</v>
      </c>
    </row>
    <row r="772" spans="1:4" x14ac:dyDescent="0.2">
      <c r="A772" s="1" t="s">
        <v>781</v>
      </c>
      <c r="B772" s="1">
        <v>1</v>
      </c>
      <c r="C772" s="1" t="str">
        <f>VLOOKUP(student_internships[[#This Row],[Student_ID]],student_data[],2,0)</f>
        <v>Information Technology</v>
      </c>
      <c r="D772" s="1" t="s">
        <v>1027</v>
      </c>
    </row>
    <row r="773" spans="1:4" x14ac:dyDescent="0.2">
      <c r="A773" s="1" t="s">
        <v>782</v>
      </c>
      <c r="B773" s="1">
        <v>2</v>
      </c>
      <c r="C773" s="1" t="str">
        <f>VLOOKUP(student_internships[[#This Row],[Student_ID]],student_data[],2,0)</f>
        <v>Computer Science</v>
      </c>
      <c r="D773" s="1" t="s">
        <v>1021</v>
      </c>
    </row>
    <row r="774" spans="1:4" x14ac:dyDescent="0.2">
      <c r="A774" s="1" t="s">
        <v>783</v>
      </c>
      <c r="B774" s="1">
        <v>0</v>
      </c>
      <c r="C774" s="1" t="str">
        <f>VLOOKUP(student_internships[[#This Row],[Student_ID]],student_data[],2,0)</f>
        <v>Information Technology</v>
      </c>
      <c r="D774" s="1" t="s">
        <v>1024</v>
      </c>
    </row>
    <row r="775" spans="1:4" x14ac:dyDescent="0.2">
      <c r="A775" s="1" t="s">
        <v>784</v>
      </c>
      <c r="B775" s="1">
        <v>2</v>
      </c>
      <c r="C775" s="1" t="str">
        <f>VLOOKUP(student_internships[[#This Row],[Student_ID]],student_data[],2,0)</f>
        <v>Computer Science</v>
      </c>
      <c r="D775" s="1" t="s">
        <v>1027</v>
      </c>
    </row>
    <row r="776" spans="1:4" x14ac:dyDescent="0.2">
      <c r="A776" s="1" t="s">
        <v>785</v>
      </c>
      <c r="B776" s="1">
        <v>0</v>
      </c>
      <c r="C776" s="1" t="str">
        <f>VLOOKUP(student_internships[[#This Row],[Student_ID]],student_data[],2,0)</f>
        <v>Civil</v>
      </c>
      <c r="D776" s="1" t="s">
        <v>1024</v>
      </c>
    </row>
    <row r="777" spans="1:4" x14ac:dyDescent="0.2">
      <c r="A777" s="1" t="s">
        <v>786</v>
      </c>
      <c r="B777" s="1">
        <v>1</v>
      </c>
      <c r="C777" s="1" t="str">
        <f>VLOOKUP(student_internships[[#This Row],[Student_ID]],student_data[],2,0)</f>
        <v>Electronics</v>
      </c>
      <c r="D777" s="1" t="s">
        <v>1021</v>
      </c>
    </row>
    <row r="778" spans="1:4" x14ac:dyDescent="0.2">
      <c r="A778" s="1" t="s">
        <v>787</v>
      </c>
      <c r="B778" s="1">
        <v>2</v>
      </c>
      <c r="C778" s="1" t="str">
        <f>VLOOKUP(student_internships[[#This Row],[Student_ID]],student_data[],2,0)</f>
        <v>Electronics</v>
      </c>
      <c r="D778" s="1" t="s">
        <v>1022</v>
      </c>
    </row>
    <row r="779" spans="1:4" x14ac:dyDescent="0.2">
      <c r="A779" s="1" t="s">
        <v>788</v>
      </c>
      <c r="B779" s="1">
        <v>0</v>
      </c>
      <c r="C779" s="1" t="str">
        <f>VLOOKUP(student_internships[[#This Row],[Student_ID]],student_data[],2,0)</f>
        <v>Computer Science</v>
      </c>
      <c r="D779" s="1" t="s">
        <v>1024</v>
      </c>
    </row>
    <row r="780" spans="1:4" x14ac:dyDescent="0.2">
      <c r="A780" s="1" t="s">
        <v>789</v>
      </c>
      <c r="B780" s="1">
        <v>0</v>
      </c>
      <c r="C780" s="1" t="str">
        <f>VLOOKUP(student_internships[[#This Row],[Student_ID]],student_data[],2,0)</f>
        <v>Electronics</v>
      </c>
      <c r="D780" s="1" t="s">
        <v>1024</v>
      </c>
    </row>
    <row r="781" spans="1:4" x14ac:dyDescent="0.2">
      <c r="A781" s="1" t="s">
        <v>790</v>
      </c>
      <c r="B781" s="1">
        <v>2</v>
      </c>
      <c r="C781" s="1" t="str">
        <f>VLOOKUP(student_internships[[#This Row],[Student_ID]],student_data[],2,0)</f>
        <v>Information Technology</v>
      </c>
      <c r="D781" s="1" t="s">
        <v>1021</v>
      </c>
    </row>
    <row r="782" spans="1:4" x14ac:dyDescent="0.2">
      <c r="A782" s="1" t="s">
        <v>791</v>
      </c>
      <c r="B782" s="1">
        <v>2</v>
      </c>
      <c r="C782" s="1" t="str">
        <f>VLOOKUP(student_internships[[#This Row],[Student_ID]],student_data[],2,0)</f>
        <v>Mechanical</v>
      </c>
      <c r="D782" s="1" t="s">
        <v>1022</v>
      </c>
    </row>
    <row r="783" spans="1:4" x14ac:dyDescent="0.2">
      <c r="A783" s="1" t="s">
        <v>792</v>
      </c>
      <c r="B783" s="1">
        <v>1</v>
      </c>
      <c r="C783" s="1" t="str">
        <f>VLOOKUP(student_internships[[#This Row],[Student_ID]],student_data[],2,0)</f>
        <v>Computer Science</v>
      </c>
      <c r="D783" s="1" t="s">
        <v>1020</v>
      </c>
    </row>
    <row r="784" spans="1:4" x14ac:dyDescent="0.2">
      <c r="A784" s="1" t="s">
        <v>793</v>
      </c>
      <c r="B784" s="1">
        <v>1</v>
      </c>
      <c r="C784" s="1" t="str">
        <f>VLOOKUP(student_internships[[#This Row],[Student_ID]],student_data[],2,0)</f>
        <v>Electronics</v>
      </c>
      <c r="D784" s="1" t="s">
        <v>1023</v>
      </c>
    </row>
    <row r="785" spans="1:4" x14ac:dyDescent="0.2">
      <c r="A785" s="1" t="s">
        <v>794</v>
      </c>
      <c r="B785" s="1">
        <v>1</v>
      </c>
      <c r="C785" s="1" t="str">
        <f>VLOOKUP(student_internships[[#This Row],[Student_ID]],student_data[],2,0)</f>
        <v>Computer Science</v>
      </c>
      <c r="D785" s="1" t="s">
        <v>1020</v>
      </c>
    </row>
    <row r="786" spans="1:4" x14ac:dyDescent="0.2">
      <c r="A786" s="1" t="s">
        <v>795</v>
      </c>
      <c r="B786" s="1">
        <v>0</v>
      </c>
      <c r="C786" s="1" t="str">
        <f>VLOOKUP(student_internships[[#This Row],[Student_ID]],student_data[],2,0)</f>
        <v>Computer Science</v>
      </c>
      <c r="D786" s="1" t="s">
        <v>1024</v>
      </c>
    </row>
    <row r="787" spans="1:4" x14ac:dyDescent="0.2">
      <c r="A787" s="1" t="s">
        <v>796</v>
      </c>
      <c r="B787" s="1">
        <v>1</v>
      </c>
      <c r="C787" s="1" t="str">
        <f>VLOOKUP(student_internships[[#This Row],[Student_ID]],student_data[],2,0)</f>
        <v>Mechanical</v>
      </c>
      <c r="D787" s="1" t="s">
        <v>1020</v>
      </c>
    </row>
    <row r="788" spans="1:4" x14ac:dyDescent="0.2">
      <c r="A788" s="1" t="s">
        <v>797</v>
      </c>
      <c r="B788" s="1">
        <v>0</v>
      </c>
      <c r="C788" s="1" t="str">
        <f>VLOOKUP(student_internships[[#This Row],[Student_ID]],student_data[],2,0)</f>
        <v>Information Technology</v>
      </c>
      <c r="D788" s="1" t="s">
        <v>1024</v>
      </c>
    </row>
    <row r="789" spans="1:4" x14ac:dyDescent="0.2">
      <c r="A789" s="1" t="s">
        <v>798</v>
      </c>
      <c r="B789" s="1">
        <v>3</v>
      </c>
      <c r="C789" s="1" t="str">
        <f>VLOOKUP(student_internships[[#This Row],[Student_ID]],student_data[],2,0)</f>
        <v>Computer Science</v>
      </c>
      <c r="D789" s="1" t="s">
        <v>1023</v>
      </c>
    </row>
    <row r="790" spans="1:4" x14ac:dyDescent="0.2">
      <c r="A790" s="1" t="s">
        <v>799</v>
      </c>
      <c r="B790" s="1">
        <v>1</v>
      </c>
      <c r="C790" s="1" t="str">
        <f>VLOOKUP(student_internships[[#This Row],[Student_ID]],student_data[],2,0)</f>
        <v>Electronics</v>
      </c>
      <c r="D790" s="1" t="s">
        <v>1021</v>
      </c>
    </row>
    <row r="791" spans="1:4" x14ac:dyDescent="0.2">
      <c r="A791" s="1" t="s">
        <v>800</v>
      </c>
      <c r="B791" s="1">
        <v>1</v>
      </c>
      <c r="C791" s="1" t="str">
        <f>VLOOKUP(student_internships[[#This Row],[Student_ID]],student_data[],2,0)</f>
        <v>Civil</v>
      </c>
      <c r="D791" s="1" t="s">
        <v>1021</v>
      </c>
    </row>
    <row r="792" spans="1:4" x14ac:dyDescent="0.2">
      <c r="A792" s="1" t="s">
        <v>801</v>
      </c>
      <c r="B792" s="1">
        <v>1</v>
      </c>
      <c r="C792" s="1" t="str">
        <f>VLOOKUP(student_internships[[#This Row],[Student_ID]],student_data[],2,0)</f>
        <v>Computer Science</v>
      </c>
      <c r="D792" s="1" t="s">
        <v>1022</v>
      </c>
    </row>
    <row r="793" spans="1:4" x14ac:dyDescent="0.2">
      <c r="A793" s="1" t="s">
        <v>802</v>
      </c>
      <c r="B793" s="1">
        <v>3</v>
      </c>
      <c r="C793" s="1" t="str">
        <f>VLOOKUP(student_internships[[#This Row],[Student_ID]],student_data[],2,0)</f>
        <v>Computer Science</v>
      </c>
      <c r="D793" s="1" t="s">
        <v>1027</v>
      </c>
    </row>
    <row r="794" spans="1:4" x14ac:dyDescent="0.2">
      <c r="A794" s="1" t="s">
        <v>803</v>
      </c>
      <c r="B794" s="1">
        <v>0</v>
      </c>
      <c r="C794" s="1" t="str">
        <f>VLOOKUP(student_internships[[#This Row],[Student_ID]],student_data[],2,0)</f>
        <v>Mechanical</v>
      </c>
      <c r="D794" s="1" t="s">
        <v>1024</v>
      </c>
    </row>
    <row r="795" spans="1:4" x14ac:dyDescent="0.2">
      <c r="A795" s="1" t="s">
        <v>804</v>
      </c>
      <c r="B795" s="1">
        <v>1</v>
      </c>
      <c r="C795" s="1" t="str">
        <f>VLOOKUP(student_internships[[#This Row],[Student_ID]],student_data[],2,0)</f>
        <v>Information Technology</v>
      </c>
      <c r="D795" s="1" t="s">
        <v>1022</v>
      </c>
    </row>
    <row r="796" spans="1:4" x14ac:dyDescent="0.2">
      <c r="A796" s="1" t="s">
        <v>805</v>
      </c>
      <c r="B796" s="1">
        <v>1</v>
      </c>
      <c r="C796" s="1" t="str">
        <f>VLOOKUP(student_internships[[#This Row],[Student_ID]],student_data[],2,0)</f>
        <v>Civil</v>
      </c>
      <c r="D796" s="1" t="s">
        <v>1027</v>
      </c>
    </row>
    <row r="797" spans="1:4" x14ac:dyDescent="0.2">
      <c r="A797" s="1" t="s">
        <v>806</v>
      </c>
      <c r="B797" s="1">
        <v>1</v>
      </c>
      <c r="C797" s="1" t="str">
        <f>VLOOKUP(student_internships[[#This Row],[Student_ID]],student_data[],2,0)</f>
        <v>Electronics</v>
      </c>
      <c r="D797" s="1" t="s">
        <v>1020</v>
      </c>
    </row>
    <row r="798" spans="1:4" x14ac:dyDescent="0.2">
      <c r="A798" s="1" t="s">
        <v>807</v>
      </c>
      <c r="B798" s="1">
        <v>0</v>
      </c>
      <c r="C798" s="1" t="str">
        <f>VLOOKUP(student_internships[[#This Row],[Student_ID]],student_data[],2,0)</f>
        <v>Civil</v>
      </c>
      <c r="D798" s="1" t="s">
        <v>1024</v>
      </c>
    </row>
    <row r="799" spans="1:4" x14ac:dyDescent="0.2">
      <c r="A799" s="1" t="s">
        <v>808</v>
      </c>
      <c r="B799" s="1">
        <v>2</v>
      </c>
      <c r="C799" s="1" t="str">
        <f>VLOOKUP(student_internships[[#This Row],[Student_ID]],student_data[],2,0)</f>
        <v>Electronics</v>
      </c>
      <c r="D799" s="1" t="s">
        <v>1023</v>
      </c>
    </row>
    <row r="800" spans="1:4" x14ac:dyDescent="0.2">
      <c r="A800" s="1" t="s">
        <v>809</v>
      </c>
      <c r="B800" s="1">
        <v>3</v>
      </c>
      <c r="C800" s="1" t="str">
        <f>VLOOKUP(student_internships[[#This Row],[Student_ID]],student_data[],2,0)</f>
        <v>Information Technology</v>
      </c>
      <c r="D800" s="1" t="s">
        <v>1020</v>
      </c>
    </row>
    <row r="801" spans="1:4" x14ac:dyDescent="0.2">
      <c r="A801" s="1" t="s">
        <v>810</v>
      </c>
      <c r="B801" s="1">
        <v>1</v>
      </c>
      <c r="C801" s="1" t="str">
        <f>VLOOKUP(student_internships[[#This Row],[Student_ID]],student_data[],2,0)</f>
        <v>Electronics</v>
      </c>
      <c r="D801" s="1" t="s">
        <v>1026</v>
      </c>
    </row>
    <row r="802" spans="1:4" x14ac:dyDescent="0.2">
      <c r="A802" s="1" t="s">
        <v>811</v>
      </c>
      <c r="B802" s="1">
        <v>1</v>
      </c>
      <c r="C802" s="1" t="str">
        <f>VLOOKUP(student_internships[[#This Row],[Student_ID]],student_data[],2,0)</f>
        <v>Mechanical</v>
      </c>
      <c r="D802" s="1" t="s">
        <v>1021</v>
      </c>
    </row>
    <row r="803" spans="1:4" x14ac:dyDescent="0.2">
      <c r="A803" s="1" t="s">
        <v>812</v>
      </c>
      <c r="B803" s="1">
        <v>3</v>
      </c>
      <c r="C803" s="1" t="str">
        <f>VLOOKUP(student_internships[[#This Row],[Student_ID]],student_data[],2,0)</f>
        <v>Mechanical</v>
      </c>
      <c r="D803" s="1" t="s">
        <v>1027</v>
      </c>
    </row>
    <row r="804" spans="1:4" x14ac:dyDescent="0.2">
      <c r="A804" s="1" t="s">
        <v>813</v>
      </c>
      <c r="B804" s="1">
        <v>2</v>
      </c>
      <c r="C804" s="1" t="str">
        <f>VLOOKUP(student_internships[[#This Row],[Student_ID]],student_data[],2,0)</f>
        <v>Mechanical</v>
      </c>
      <c r="D804" s="1" t="s">
        <v>1022</v>
      </c>
    </row>
    <row r="805" spans="1:4" x14ac:dyDescent="0.2">
      <c r="A805" s="1" t="s">
        <v>814</v>
      </c>
      <c r="B805" s="1">
        <v>0</v>
      </c>
      <c r="C805" s="1" t="str">
        <f>VLOOKUP(student_internships[[#This Row],[Student_ID]],student_data[],2,0)</f>
        <v>Mechanical</v>
      </c>
      <c r="D805" s="1" t="s">
        <v>1024</v>
      </c>
    </row>
    <row r="806" spans="1:4" x14ac:dyDescent="0.2">
      <c r="A806" s="1" t="s">
        <v>815</v>
      </c>
      <c r="B806" s="1">
        <v>1</v>
      </c>
      <c r="C806" s="1" t="str">
        <f>VLOOKUP(student_internships[[#This Row],[Student_ID]],student_data[],2,0)</f>
        <v>Civil</v>
      </c>
      <c r="D806" s="1" t="s">
        <v>1023</v>
      </c>
    </row>
    <row r="807" spans="1:4" x14ac:dyDescent="0.2">
      <c r="A807" s="1" t="s">
        <v>816</v>
      </c>
      <c r="B807" s="1">
        <v>1</v>
      </c>
      <c r="C807" s="1" t="str">
        <f>VLOOKUP(student_internships[[#This Row],[Student_ID]],student_data[],2,0)</f>
        <v>Information Technology</v>
      </c>
      <c r="D807" s="1" t="s">
        <v>1027</v>
      </c>
    </row>
    <row r="808" spans="1:4" x14ac:dyDescent="0.2">
      <c r="A808" s="1" t="s">
        <v>817</v>
      </c>
      <c r="B808" s="1">
        <v>1</v>
      </c>
      <c r="C808" s="1" t="str">
        <f>VLOOKUP(student_internships[[#This Row],[Student_ID]],student_data[],2,0)</f>
        <v>Electronics</v>
      </c>
      <c r="D808" s="1" t="s">
        <v>1022</v>
      </c>
    </row>
    <row r="809" spans="1:4" x14ac:dyDescent="0.2">
      <c r="A809" s="1" t="s">
        <v>818</v>
      </c>
      <c r="B809" s="1">
        <v>2</v>
      </c>
      <c r="C809" s="1" t="str">
        <f>VLOOKUP(student_internships[[#This Row],[Student_ID]],student_data[],2,0)</f>
        <v>Electronics</v>
      </c>
      <c r="D809" s="1" t="s">
        <v>1021</v>
      </c>
    </row>
    <row r="810" spans="1:4" x14ac:dyDescent="0.2">
      <c r="A810" s="1" t="s">
        <v>819</v>
      </c>
      <c r="B810" s="1">
        <v>3</v>
      </c>
      <c r="C810" s="1" t="str">
        <f>VLOOKUP(student_internships[[#This Row],[Student_ID]],student_data[],2,0)</f>
        <v>Mechanical</v>
      </c>
      <c r="D810" s="1" t="s">
        <v>1020</v>
      </c>
    </row>
    <row r="811" spans="1:4" x14ac:dyDescent="0.2">
      <c r="A811" s="1" t="s">
        <v>820</v>
      </c>
      <c r="B811" s="1">
        <v>3</v>
      </c>
      <c r="C811" s="1" t="str">
        <f>VLOOKUP(student_internships[[#This Row],[Student_ID]],student_data[],2,0)</f>
        <v>Mechanical</v>
      </c>
      <c r="D811" s="1" t="s">
        <v>1021</v>
      </c>
    </row>
    <row r="812" spans="1:4" x14ac:dyDescent="0.2">
      <c r="A812" s="1" t="s">
        <v>821</v>
      </c>
      <c r="B812" s="1">
        <v>1</v>
      </c>
      <c r="C812" s="1" t="str">
        <f>VLOOKUP(student_internships[[#This Row],[Student_ID]],student_data[],2,0)</f>
        <v>Computer Science</v>
      </c>
      <c r="D812" s="1" t="s">
        <v>1025</v>
      </c>
    </row>
    <row r="813" spans="1:4" x14ac:dyDescent="0.2">
      <c r="A813" s="1" t="s">
        <v>822</v>
      </c>
      <c r="B813" s="1">
        <v>0</v>
      </c>
      <c r="C813" s="1" t="str">
        <f>VLOOKUP(student_internships[[#This Row],[Student_ID]],student_data[],2,0)</f>
        <v>Information Technology</v>
      </c>
      <c r="D813" s="1" t="s">
        <v>1024</v>
      </c>
    </row>
    <row r="814" spans="1:4" x14ac:dyDescent="0.2">
      <c r="A814" s="1" t="s">
        <v>823</v>
      </c>
      <c r="B814" s="1">
        <v>3</v>
      </c>
      <c r="C814" s="1" t="str">
        <f>VLOOKUP(student_internships[[#This Row],[Student_ID]],student_data[],2,0)</f>
        <v>Civil</v>
      </c>
      <c r="D814" s="1" t="s">
        <v>1026</v>
      </c>
    </row>
    <row r="815" spans="1:4" x14ac:dyDescent="0.2">
      <c r="A815" s="1" t="s">
        <v>824</v>
      </c>
      <c r="B815" s="1">
        <v>2</v>
      </c>
      <c r="C815" s="1" t="str">
        <f>VLOOKUP(student_internships[[#This Row],[Student_ID]],student_data[],2,0)</f>
        <v>Electronics</v>
      </c>
      <c r="D815" s="1" t="s">
        <v>1025</v>
      </c>
    </row>
    <row r="816" spans="1:4" x14ac:dyDescent="0.2">
      <c r="A816" s="1" t="s">
        <v>825</v>
      </c>
      <c r="B816" s="1">
        <v>0</v>
      </c>
      <c r="C816" s="1" t="str">
        <f>VLOOKUP(student_internships[[#This Row],[Student_ID]],student_data[],2,0)</f>
        <v>Computer Science</v>
      </c>
      <c r="D816" s="1" t="s">
        <v>1024</v>
      </c>
    </row>
    <row r="817" spans="1:4" x14ac:dyDescent="0.2">
      <c r="A817" s="1" t="s">
        <v>826</v>
      </c>
      <c r="B817" s="1">
        <v>3</v>
      </c>
      <c r="C817" s="1" t="str">
        <f>VLOOKUP(student_internships[[#This Row],[Student_ID]],student_data[],2,0)</f>
        <v>Computer Science</v>
      </c>
      <c r="D817" s="1" t="s">
        <v>1023</v>
      </c>
    </row>
    <row r="818" spans="1:4" x14ac:dyDescent="0.2">
      <c r="A818" s="1" t="s">
        <v>827</v>
      </c>
      <c r="B818" s="1">
        <v>2</v>
      </c>
      <c r="C818" s="1" t="str">
        <f>VLOOKUP(student_internships[[#This Row],[Student_ID]],student_data[],2,0)</f>
        <v>Electronics</v>
      </c>
      <c r="D818" s="1" t="s">
        <v>1027</v>
      </c>
    </row>
    <row r="819" spans="1:4" x14ac:dyDescent="0.2">
      <c r="A819" s="1" t="s">
        <v>828</v>
      </c>
      <c r="B819" s="1">
        <v>1</v>
      </c>
      <c r="C819" s="1" t="str">
        <f>VLOOKUP(student_internships[[#This Row],[Student_ID]],student_data[],2,0)</f>
        <v>Civil</v>
      </c>
      <c r="D819" s="1" t="s">
        <v>1023</v>
      </c>
    </row>
    <row r="820" spans="1:4" x14ac:dyDescent="0.2">
      <c r="A820" s="1" t="s">
        <v>829</v>
      </c>
      <c r="B820" s="1">
        <v>1</v>
      </c>
      <c r="C820" s="1" t="str">
        <f>VLOOKUP(student_internships[[#This Row],[Student_ID]],student_data[],2,0)</f>
        <v>Computer Science</v>
      </c>
      <c r="D820" s="1" t="s">
        <v>1020</v>
      </c>
    </row>
    <row r="821" spans="1:4" x14ac:dyDescent="0.2">
      <c r="A821" s="1" t="s">
        <v>830</v>
      </c>
      <c r="B821" s="1">
        <v>1</v>
      </c>
      <c r="C821" s="1" t="str">
        <f>VLOOKUP(student_internships[[#This Row],[Student_ID]],student_data[],2,0)</f>
        <v>Computer Science</v>
      </c>
      <c r="D821" s="1" t="s">
        <v>1022</v>
      </c>
    </row>
    <row r="822" spans="1:4" x14ac:dyDescent="0.2">
      <c r="A822" s="1" t="s">
        <v>831</v>
      </c>
      <c r="B822" s="1">
        <v>0</v>
      </c>
      <c r="C822" s="1" t="str">
        <f>VLOOKUP(student_internships[[#This Row],[Student_ID]],student_data[],2,0)</f>
        <v>Information Technology</v>
      </c>
      <c r="D822" s="1" t="s">
        <v>1024</v>
      </c>
    </row>
    <row r="823" spans="1:4" x14ac:dyDescent="0.2">
      <c r="A823" s="1" t="s">
        <v>832</v>
      </c>
      <c r="B823" s="1">
        <v>1</v>
      </c>
      <c r="C823" s="1" t="str">
        <f>VLOOKUP(student_internships[[#This Row],[Student_ID]],student_data[],2,0)</f>
        <v>Civil</v>
      </c>
      <c r="D823" s="1" t="s">
        <v>1021</v>
      </c>
    </row>
    <row r="824" spans="1:4" x14ac:dyDescent="0.2">
      <c r="A824" s="1" t="s">
        <v>833</v>
      </c>
      <c r="B824" s="1">
        <v>2</v>
      </c>
      <c r="C824" s="1" t="str">
        <f>VLOOKUP(student_internships[[#This Row],[Student_ID]],student_data[],2,0)</f>
        <v>Computer Science</v>
      </c>
      <c r="D824" s="1" t="s">
        <v>1025</v>
      </c>
    </row>
    <row r="825" spans="1:4" x14ac:dyDescent="0.2">
      <c r="A825" s="1" t="s">
        <v>834</v>
      </c>
      <c r="B825" s="1">
        <v>0</v>
      </c>
      <c r="C825" s="1" t="str">
        <f>VLOOKUP(student_internships[[#This Row],[Student_ID]],student_data[],2,0)</f>
        <v>Civil</v>
      </c>
      <c r="D825" s="1" t="s">
        <v>1024</v>
      </c>
    </row>
    <row r="826" spans="1:4" x14ac:dyDescent="0.2">
      <c r="A826" s="1" t="s">
        <v>835</v>
      </c>
      <c r="B826" s="1">
        <v>1</v>
      </c>
      <c r="C826" s="1" t="str">
        <f>VLOOKUP(student_internships[[#This Row],[Student_ID]],student_data[],2,0)</f>
        <v>Electronics</v>
      </c>
      <c r="D826" s="1" t="s">
        <v>1025</v>
      </c>
    </row>
    <row r="827" spans="1:4" x14ac:dyDescent="0.2">
      <c r="A827" s="1" t="s">
        <v>836</v>
      </c>
      <c r="B827" s="1">
        <v>1</v>
      </c>
      <c r="C827" s="1" t="str">
        <f>VLOOKUP(student_internships[[#This Row],[Student_ID]],student_data[],2,0)</f>
        <v>Mechanical</v>
      </c>
      <c r="D827" s="1" t="s">
        <v>1020</v>
      </c>
    </row>
    <row r="828" spans="1:4" x14ac:dyDescent="0.2">
      <c r="A828" s="1" t="s">
        <v>837</v>
      </c>
      <c r="B828" s="1">
        <v>1</v>
      </c>
      <c r="C828" s="1" t="str">
        <f>VLOOKUP(student_internships[[#This Row],[Student_ID]],student_data[],2,0)</f>
        <v>Computer Science</v>
      </c>
      <c r="D828" s="1" t="s">
        <v>1025</v>
      </c>
    </row>
    <row r="829" spans="1:4" x14ac:dyDescent="0.2">
      <c r="A829" s="1" t="s">
        <v>838</v>
      </c>
      <c r="B829" s="1">
        <v>3</v>
      </c>
      <c r="C829" s="1" t="str">
        <f>VLOOKUP(student_internships[[#This Row],[Student_ID]],student_data[],2,0)</f>
        <v>Information Technology</v>
      </c>
      <c r="D829" s="1" t="s">
        <v>1020</v>
      </c>
    </row>
    <row r="830" spans="1:4" x14ac:dyDescent="0.2">
      <c r="A830" s="1" t="s">
        <v>839</v>
      </c>
      <c r="B830" s="1">
        <v>1</v>
      </c>
      <c r="C830" s="1" t="str">
        <f>VLOOKUP(student_internships[[#This Row],[Student_ID]],student_data[],2,0)</f>
        <v>Electronics</v>
      </c>
      <c r="D830" s="1" t="s">
        <v>1023</v>
      </c>
    </row>
    <row r="831" spans="1:4" x14ac:dyDescent="0.2">
      <c r="A831" s="1" t="s">
        <v>840</v>
      </c>
      <c r="B831" s="1">
        <v>1</v>
      </c>
      <c r="C831" s="1" t="str">
        <f>VLOOKUP(student_internships[[#This Row],[Student_ID]],student_data[],2,0)</f>
        <v>Civil</v>
      </c>
      <c r="D831" s="1" t="s">
        <v>1021</v>
      </c>
    </row>
    <row r="832" spans="1:4" x14ac:dyDescent="0.2">
      <c r="A832" s="1" t="s">
        <v>841</v>
      </c>
      <c r="B832" s="1">
        <v>2</v>
      </c>
      <c r="C832" s="1" t="str">
        <f>VLOOKUP(student_internships[[#This Row],[Student_ID]],student_data[],2,0)</f>
        <v>Electronics</v>
      </c>
      <c r="D832" s="1" t="s">
        <v>1027</v>
      </c>
    </row>
    <row r="833" spans="1:4" x14ac:dyDescent="0.2">
      <c r="A833" s="1" t="s">
        <v>842</v>
      </c>
      <c r="B833" s="1">
        <v>1</v>
      </c>
      <c r="C833" s="1" t="str">
        <f>VLOOKUP(student_internships[[#This Row],[Student_ID]],student_data[],2,0)</f>
        <v>Computer Science</v>
      </c>
      <c r="D833" s="1" t="s">
        <v>1022</v>
      </c>
    </row>
    <row r="834" spans="1:4" x14ac:dyDescent="0.2">
      <c r="A834" s="1" t="s">
        <v>843</v>
      </c>
      <c r="B834" s="1">
        <v>0</v>
      </c>
      <c r="C834" s="1" t="str">
        <f>VLOOKUP(student_internships[[#This Row],[Student_ID]],student_data[],2,0)</f>
        <v>Civil</v>
      </c>
      <c r="D834" s="1" t="s">
        <v>1024</v>
      </c>
    </row>
    <row r="835" spans="1:4" x14ac:dyDescent="0.2">
      <c r="A835" s="1" t="s">
        <v>844</v>
      </c>
      <c r="B835" s="1">
        <v>1</v>
      </c>
      <c r="C835" s="1" t="str">
        <f>VLOOKUP(student_internships[[#This Row],[Student_ID]],student_data[],2,0)</f>
        <v>Mechanical</v>
      </c>
      <c r="D835" s="1" t="s">
        <v>1027</v>
      </c>
    </row>
    <row r="836" spans="1:4" x14ac:dyDescent="0.2">
      <c r="A836" s="1" t="s">
        <v>845</v>
      </c>
      <c r="B836" s="1">
        <v>0</v>
      </c>
      <c r="C836" s="1" t="str">
        <f>VLOOKUP(student_internships[[#This Row],[Student_ID]],student_data[],2,0)</f>
        <v>Electronics</v>
      </c>
      <c r="D836" s="1" t="s">
        <v>1024</v>
      </c>
    </row>
    <row r="837" spans="1:4" x14ac:dyDescent="0.2">
      <c r="A837" s="1" t="s">
        <v>846</v>
      </c>
      <c r="B837" s="1">
        <v>0</v>
      </c>
      <c r="C837" s="1" t="str">
        <f>VLOOKUP(student_internships[[#This Row],[Student_ID]],student_data[],2,0)</f>
        <v>Computer Science</v>
      </c>
      <c r="D837" s="1" t="s">
        <v>1024</v>
      </c>
    </row>
    <row r="838" spans="1:4" x14ac:dyDescent="0.2">
      <c r="A838" s="1" t="s">
        <v>847</v>
      </c>
      <c r="B838" s="1">
        <v>1</v>
      </c>
      <c r="C838" s="1" t="str">
        <f>VLOOKUP(student_internships[[#This Row],[Student_ID]],student_data[],2,0)</f>
        <v>Information Technology</v>
      </c>
      <c r="D838" s="1" t="s">
        <v>1023</v>
      </c>
    </row>
    <row r="839" spans="1:4" x14ac:dyDescent="0.2">
      <c r="A839" s="1" t="s">
        <v>848</v>
      </c>
      <c r="B839" s="1">
        <v>1</v>
      </c>
      <c r="C839" s="1" t="str">
        <f>VLOOKUP(student_internships[[#This Row],[Student_ID]],student_data[],2,0)</f>
        <v>Civil</v>
      </c>
      <c r="D839" s="1" t="s">
        <v>1022</v>
      </c>
    </row>
    <row r="840" spans="1:4" x14ac:dyDescent="0.2">
      <c r="A840" s="1" t="s">
        <v>849</v>
      </c>
      <c r="B840" s="1">
        <v>3</v>
      </c>
      <c r="C840" s="1" t="str">
        <f>VLOOKUP(student_internships[[#This Row],[Student_ID]],student_data[],2,0)</f>
        <v>Electronics</v>
      </c>
      <c r="D840" s="1" t="s">
        <v>1025</v>
      </c>
    </row>
    <row r="841" spans="1:4" x14ac:dyDescent="0.2">
      <c r="A841" s="1" t="s">
        <v>850</v>
      </c>
      <c r="B841" s="1">
        <v>1</v>
      </c>
      <c r="C841" s="1" t="str">
        <f>VLOOKUP(student_internships[[#This Row],[Student_ID]],student_data[],2,0)</f>
        <v>Electronics</v>
      </c>
      <c r="D841" s="1" t="s">
        <v>1026</v>
      </c>
    </row>
    <row r="842" spans="1:4" x14ac:dyDescent="0.2">
      <c r="A842" s="1" t="s">
        <v>851</v>
      </c>
      <c r="B842" s="1">
        <v>1</v>
      </c>
      <c r="C842" s="1" t="str">
        <f>VLOOKUP(student_internships[[#This Row],[Student_ID]],student_data[],2,0)</f>
        <v>Mechanical</v>
      </c>
      <c r="D842" s="1" t="s">
        <v>1023</v>
      </c>
    </row>
    <row r="843" spans="1:4" x14ac:dyDescent="0.2">
      <c r="A843" s="1" t="s">
        <v>852</v>
      </c>
      <c r="B843" s="1">
        <v>1</v>
      </c>
      <c r="C843" s="1" t="str">
        <f>VLOOKUP(student_internships[[#This Row],[Student_ID]],student_data[],2,0)</f>
        <v>Mechanical</v>
      </c>
      <c r="D843" s="1" t="s">
        <v>1023</v>
      </c>
    </row>
    <row r="844" spans="1:4" x14ac:dyDescent="0.2">
      <c r="A844" s="1" t="s">
        <v>853</v>
      </c>
      <c r="B844" s="1">
        <v>0</v>
      </c>
      <c r="C844" s="1" t="str">
        <f>VLOOKUP(student_internships[[#This Row],[Student_ID]],student_data[],2,0)</f>
        <v>Information Technology</v>
      </c>
      <c r="D844" s="1" t="s">
        <v>1024</v>
      </c>
    </row>
    <row r="845" spans="1:4" x14ac:dyDescent="0.2">
      <c r="A845" s="1" t="s">
        <v>854</v>
      </c>
      <c r="B845" s="1">
        <v>1</v>
      </c>
      <c r="C845" s="1" t="str">
        <f>VLOOKUP(student_internships[[#This Row],[Student_ID]],student_data[],2,0)</f>
        <v>Information Technology</v>
      </c>
      <c r="D845" s="1" t="s">
        <v>1021</v>
      </c>
    </row>
    <row r="846" spans="1:4" x14ac:dyDescent="0.2">
      <c r="A846" s="1" t="s">
        <v>855</v>
      </c>
      <c r="B846" s="1">
        <v>0</v>
      </c>
      <c r="C846" s="1" t="str">
        <f>VLOOKUP(student_internships[[#This Row],[Student_ID]],student_data[],2,0)</f>
        <v>Computer Science</v>
      </c>
      <c r="D846" s="1" t="s">
        <v>1024</v>
      </c>
    </row>
    <row r="847" spans="1:4" x14ac:dyDescent="0.2">
      <c r="A847" s="1" t="s">
        <v>856</v>
      </c>
      <c r="B847" s="1">
        <v>3</v>
      </c>
      <c r="C847" s="1" t="str">
        <f>VLOOKUP(student_internships[[#This Row],[Student_ID]],student_data[],2,0)</f>
        <v>Computer Science</v>
      </c>
      <c r="D847" s="1" t="s">
        <v>1027</v>
      </c>
    </row>
    <row r="848" spans="1:4" x14ac:dyDescent="0.2">
      <c r="A848" s="1" t="s">
        <v>857</v>
      </c>
      <c r="B848" s="1">
        <v>0</v>
      </c>
      <c r="C848" s="1" t="str">
        <f>VLOOKUP(student_internships[[#This Row],[Student_ID]],student_data[],2,0)</f>
        <v>Information Technology</v>
      </c>
      <c r="D848" s="1" t="s">
        <v>1024</v>
      </c>
    </row>
    <row r="849" spans="1:4" x14ac:dyDescent="0.2">
      <c r="A849" s="1" t="s">
        <v>858</v>
      </c>
      <c r="B849" s="1">
        <v>1</v>
      </c>
      <c r="C849" s="1" t="str">
        <f>VLOOKUP(student_internships[[#This Row],[Student_ID]],student_data[],2,0)</f>
        <v>Information Technology</v>
      </c>
      <c r="D849" s="1" t="s">
        <v>1023</v>
      </c>
    </row>
    <row r="850" spans="1:4" x14ac:dyDescent="0.2">
      <c r="A850" s="1" t="s">
        <v>859</v>
      </c>
      <c r="B850" s="1">
        <v>0</v>
      </c>
      <c r="C850" s="1" t="str">
        <f>VLOOKUP(student_internships[[#This Row],[Student_ID]],student_data[],2,0)</f>
        <v>Civil</v>
      </c>
      <c r="D850" s="1" t="s">
        <v>1024</v>
      </c>
    </row>
    <row r="851" spans="1:4" x14ac:dyDescent="0.2">
      <c r="A851" s="1" t="s">
        <v>860</v>
      </c>
      <c r="B851" s="1">
        <v>3</v>
      </c>
      <c r="C851" s="1" t="str">
        <f>VLOOKUP(student_internships[[#This Row],[Student_ID]],student_data[],2,0)</f>
        <v>Mechanical</v>
      </c>
      <c r="D851" s="1" t="s">
        <v>1023</v>
      </c>
    </row>
    <row r="852" spans="1:4" x14ac:dyDescent="0.2">
      <c r="A852" s="1" t="s">
        <v>861</v>
      </c>
      <c r="B852" s="1">
        <v>1</v>
      </c>
      <c r="C852" s="1" t="str">
        <f>VLOOKUP(student_internships[[#This Row],[Student_ID]],student_data[],2,0)</f>
        <v>Computer Science</v>
      </c>
      <c r="D852" s="1" t="s">
        <v>1025</v>
      </c>
    </row>
    <row r="853" spans="1:4" x14ac:dyDescent="0.2">
      <c r="A853" s="1" t="s">
        <v>862</v>
      </c>
      <c r="B853" s="1">
        <v>1</v>
      </c>
      <c r="C853" s="1" t="str">
        <f>VLOOKUP(student_internships[[#This Row],[Student_ID]],student_data[],2,0)</f>
        <v>Mechanical</v>
      </c>
      <c r="D853" s="1" t="s">
        <v>1025</v>
      </c>
    </row>
    <row r="854" spans="1:4" x14ac:dyDescent="0.2">
      <c r="A854" s="1" t="s">
        <v>863</v>
      </c>
      <c r="B854" s="1">
        <v>0</v>
      </c>
      <c r="C854" s="1" t="str">
        <f>VLOOKUP(student_internships[[#This Row],[Student_ID]],student_data[],2,0)</f>
        <v>Mechanical</v>
      </c>
      <c r="D854" s="1" t="s">
        <v>1024</v>
      </c>
    </row>
    <row r="855" spans="1:4" x14ac:dyDescent="0.2">
      <c r="A855" s="1" t="s">
        <v>864</v>
      </c>
      <c r="B855" s="1">
        <v>2</v>
      </c>
      <c r="C855" s="1" t="str">
        <f>VLOOKUP(student_internships[[#This Row],[Student_ID]],student_data[],2,0)</f>
        <v>Information Technology</v>
      </c>
      <c r="D855" s="1" t="s">
        <v>1022</v>
      </c>
    </row>
    <row r="856" spans="1:4" x14ac:dyDescent="0.2">
      <c r="A856" s="1" t="s">
        <v>865</v>
      </c>
      <c r="B856" s="1">
        <v>0</v>
      </c>
      <c r="C856" s="1" t="str">
        <f>VLOOKUP(student_internships[[#This Row],[Student_ID]],student_data[],2,0)</f>
        <v>Civil</v>
      </c>
      <c r="D856" s="1" t="s">
        <v>1024</v>
      </c>
    </row>
    <row r="857" spans="1:4" x14ac:dyDescent="0.2">
      <c r="A857" s="1" t="s">
        <v>866</v>
      </c>
      <c r="B857" s="1">
        <v>2</v>
      </c>
      <c r="C857" s="1" t="str">
        <f>VLOOKUP(student_internships[[#This Row],[Student_ID]],student_data[],2,0)</f>
        <v>Electronics</v>
      </c>
      <c r="D857" s="1" t="s">
        <v>1020</v>
      </c>
    </row>
    <row r="858" spans="1:4" x14ac:dyDescent="0.2">
      <c r="A858" s="1" t="s">
        <v>867</v>
      </c>
      <c r="B858" s="1">
        <v>0</v>
      </c>
      <c r="C858" s="1" t="str">
        <f>VLOOKUP(student_internships[[#This Row],[Student_ID]],student_data[],2,0)</f>
        <v>Civil</v>
      </c>
      <c r="D858" s="1" t="s">
        <v>1024</v>
      </c>
    </row>
    <row r="859" spans="1:4" x14ac:dyDescent="0.2">
      <c r="A859" s="1" t="s">
        <v>868</v>
      </c>
      <c r="B859" s="1">
        <v>0</v>
      </c>
      <c r="C859" s="1" t="str">
        <f>VLOOKUP(student_internships[[#This Row],[Student_ID]],student_data[],2,0)</f>
        <v>Civil</v>
      </c>
      <c r="D859" s="1" t="s">
        <v>1024</v>
      </c>
    </row>
    <row r="860" spans="1:4" x14ac:dyDescent="0.2">
      <c r="A860" s="1" t="s">
        <v>869</v>
      </c>
      <c r="B860" s="1">
        <v>0</v>
      </c>
      <c r="C860" s="1" t="str">
        <f>VLOOKUP(student_internships[[#This Row],[Student_ID]],student_data[],2,0)</f>
        <v>Mechanical</v>
      </c>
      <c r="D860" s="1" t="s">
        <v>1024</v>
      </c>
    </row>
    <row r="861" spans="1:4" x14ac:dyDescent="0.2">
      <c r="A861" s="1" t="s">
        <v>870</v>
      </c>
      <c r="B861" s="1">
        <v>1</v>
      </c>
      <c r="C861" s="1" t="str">
        <f>VLOOKUP(student_internships[[#This Row],[Student_ID]],student_data[],2,0)</f>
        <v>Civil</v>
      </c>
      <c r="D861" s="1" t="s">
        <v>1020</v>
      </c>
    </row>
    <row r="862" spans="1:4" x14ac:dyDescent="0.2">
      <c r="A862" s="1" t="s">
        <v>871</v>
      </c>
      <c r="B862" s="1">
        <v>1</v>
      </c>
      <c r="C862" s="1" t="str">
        <f>VLOOKUP(student_internships[[#This Row],[Student_ID]],student_data[],2,0)</f>
        <v>Computer Science</v>
      </c>
      <c r="D862" s="1" t="s">
        <v>1026</v>
      </c>
    </row>
    <row r="863" spans="1:4" x14ac:dyDescent="0.2">
      <c r="A863" s="1" t="s">
        <v>872</v>
      </c>
      <c r="B863" s="1">
        <v>0</v>
      </c>
      <c r="C863" s="1" t="str">
        <f>VLOOKUP(student_internships[[#This Row],[Student_ID]],student_data[],2,0)</f>
        <v>Mechanical</v>
      </c>
      <c r="D863" s="1" t="s">
        <v>1024</v>
      </c>
    </row>
    <row r="864" spans="1:4" x14ac:dyDescent="0.2">
      <c r="A864" s="1" t="s">
        <v>873</v>
      </c>
      <c r="B864" s="1">
        <v>2</v>
      </c>
      <c r="C864" s="1" t="str">
        <f>VLOOKUP(student_internships[[#This Row],[Student_ID]],student_data[],2,0)</f>
        <v>Computer Science</v>
      </c>
      <c r="D864" s="1" t="s">
        <v>1020</v>
      </c>
    </row>
    <row r="865" spans="1:4" x14ac:dyDescent="0.2">
      <c r="A865" s="1" t="s">
        <v>874</v>
      </c>
      <c r="B865" s="1">
        <v>1</v>
      </c>
      <c r="C865" s="1" t="str">
        <f>VLOOKUP(student_internships[[#This Row],[Student_ID]],student_data[],2,0)</f>
        <v>Electronics</v>
      </c>
      <c r="D865" s="1" t="s">
        <v>1021</v>
      </c>
    </row>
    <row r="866" spans="1:4" x14ac:dyDescent="0.2">
      <c r="A866" s="1" t="s">
        <v>875</v>
      </c>
      <c r="B866" s="1">
        <v>1</v>
      </c>
      <c r="C866" s="1" t="str">
        <f>VLOOKUP(student_internships[[#This Row],[Student_ID]],student_data[],2,0)</f>
        <v>Mechanical</v>
      </c>
      <c r="D866" s="1" t="s">
        <v>1026</v>
      </c>
    </row>
    <row r="867" spans="1:4" x14ac:dyDescent="0.2">
      <c r="A867" s="1" t="s">
        <v>876</v>
      </c>
      <c r="B867" s="1">
        <v>1</v>
      </c>
      <c r="C867" s="1" t="str">
        <f>VLOOKUP(student_internships[[#This Row],[Student_ID]],student_data[],2,0)</f>
        <v>Electronics</v>
      </c>
      <c r="D867" s="1" t="s">
        <v>1022</v>
      </c>
    </row>
    <row r="868" spans="1:4" x14ac:dyDescent="0.2">
      <c r="A868" s="1" t="s">
        <v>877</v>
      </c>
      <c r="B868" s="1">
        <v>1</v>
      </c>
      <c r="C868" s="1" t="str">
        <f>VLOOKUP(student_internships[[#This Row],[Student_ID]],student_data[],2,0)</f>
        <v>Mechanical</v>
      </c>
      <c r="D868" s="1" t="s">
        <v>1025</v>
      </c>
    </row>
    <row r="869" spans="1:4" x14ac:dyDescent="0.2">
      <c r="A869" s="1" t="s">
        <v>878</v>
      </c>
      <c r="B869" s="1">
        <v>1</v>
      </c>
      <c r="C869" s="1" t="str">
        <f>VLOOKUP(student_internships[[#This Row],[Student_ID]],student_data[],2,0)</f>
        <v>Information Technology</v>
      </c>
      <c r="D869" s="1" t="s">
        <v>1020</v>
      </c>
    </row>
    <row r="870" spans="1:4" x14ac:dyDescent="0.2">
      <c r="A870" s="1" t="s">
        <v>879</v>
      </c>
      <c r="B870" s="1">
        <v>0</v>
      </c>
      <c r="C870" s="1" t="str">
        <f>VLOOKUP(student_internships[[#This Row],[Student_ID]],student_data[],2,0)</f>
        <v>Civil</v>
      </c>
      <c r="D870" s="1" t="s">
        <v>1024</v>
      </c>
    </row>
    <row r="871" spans="1:4" x14ac:dyDescent="0.2">
      <c r="A871" s="1" t="s">
        <v>880</v>
      </c>
      <c r="B871" s="1">
        <v>0</v>
      </c>
      <c r="C871" s="1" t="str">
        <f>VLOOKUP(student_internships[[#This Row],[Student_ID]],student_data[],2,0)</f>
        <v>Information Technology</v>
      </c>
      <c r="D871" s="1" t="s">
        <v>1024</v>
      </c>
    </row>
    <row r="872" spans="1:4" x14ac:dyDescent="0.2">
      <c r="A872" s="1" t="s">
        <v>881</v>
      </c>
      <c r="B872" s="1">
        <v>2</v>
      </c>
      <c r="C872" s="1" t="str">
        <f>VLOOKUP(student_internships[[#This Row],[Student_ID]],student_data[],2,0)</f>
        <v>Electronics</v>
      </c>
      <c r="D872" s="1" t="s">
        <v>1027</v>
      </c>
    </row>
    <row r="873" spans="1:4" x14ac:dyDescent="0.2">
      <c r="A873" s="1" t="s">
        <v>882</v>
      </c>
      <c r="B873" s="1">
        <v>3</v>
      </c>
      <c r="C873" s="1" t="str">
        <f>VLOOKUP(student_internships[[#This Row],[Student_ID]],student_data[],2,0)</f>
        <v>Civil</v>
      </c>
      <c r="D873" s="1" t="s">
        <v>1025</v>
      </c>
    </row>
    <row r="874" spans="1:4" x14ac:dyDescent="0.2">
      <c r="A874" s="1" t="s">
        <v>883</v>
      </c>
      <c r="B874" s="1">
        <v>1</v>
      </c>
      <c r="C874" s="1" t="str">
        <f>VLOOKUP(student_internships[[#This Row],[Student_ID]],student_data[],2,0)</f>
        <v>Mechanical</v>
      </c>
      <c r="D874" s="1" t="s">
        <v>1021</v>
      </c>
    </row>
    <row r="875" spans="1:4" x14ac:dyDescent="0.2">
      <c r="A875" s="1" t="s">
        <v>884</v>
      </c>
      <c r="B875" s="1">
        <v>0</v>
      </c>
      <c r="C875" s="1" t="str">
        <f>VLOOKUP(student_internships[[#This Row],[Student_ID]],student_data[],2,0)</f>
        <v>Civil</v>
      </c>
      <c r="D875" s="1" t="s">
        <v>1024</v>
      </c>
    </row>
    <row r="876" spans="1:4" x14ac:dyDescent="0.2">
      <c r="A876" s="1" t="s">
        <v>885</v>
      </c>
      <c r="B876" s="1">
        <v>1</v>
      </c>
      <c r="C876" s="1" t="str">
        <f>VLOOKUP(student_internships[[#This Row],[Student_ID]],student_data[],2,0)</f>
        <v>Computer Science</v>
      </c>
      <c r="D876" s="1" t="s">
        <v>1025</v>
      </c>
    </row>
    <row r="877" spans="1:4" x14ac:dyDescent="0.2">
      <c r="A877" s="1" t="s">
        <v>886</v>
      </c>
      <c r="B877" s="1">
        <v>1</v>
      </c>
      <c r="C877" s="1" t="str">
        <f>VLOOKUP(student_internships[[#This Row],[Student_ID]],student_data[],2,0)</f>
        <v>Civil</v>
      </c>
      <c r="D877" s="1" t="s">
        <v>1021</v>
      </c>
    </row>
    <row r="878" spans="1:4" x14ac:dyDescent="0.2">
      <c r="A878" s="1" t="s">
        <v>887</v>
      </c>
      <c r="B878" s="1">
        <v>0</v>
      </c>
      <c r="C878" s="1" t="str">
        <f>VLOOKUP(student_internships[[#This Row],[Student_ID]],student_data[],2,0)</f>
        <v>Computer Science</v>
      </c>
      <c r="D878" s="1" t="s">
        <v>1024</v>
      </c>
    </row>
    <row r="879" spans="1:4" x14ac:dyDescent="0.2">
      <c r="A879" s="1" t="s">
        <v>888</v>
      </c>
      <c r="B879" s="1">
        <v>0</v>
      </c>
      <c r="C879" s="1" t="str">
        <f>VLOOKUP(student_internships[[#This Row],[Student_ID]],student_data[],2,0)</f>
        <v>Civil</v>
      </c>
      <c r="D879" s="1" t="s">
        <v>1024</v>
      </c>
    </row>
    <row r="880" spans="1:4" x14ac:dyDescent="0.2">
      <c r="A880" s="1" t="s">
        <v>889</v>
      </c>
      <c r="B880" s="1">
        <v>2</v>
      </c>
      <c r="C880" s="1" t="str">
        <f>VLOOKUP(student_internships[[#This Row],[Student_ID]],student_data[],2,0)</f>
        <v>Computer Science</v>
      </c>
      <c r="D880" s="1" t="s">
        <v>1021</v>
      </c>
    </row>
    <row r="881" spans="1:4" x14ac:dyDescent="0.2">
      <c r="A881" s="1" t="s">
        <v>890</v>
      </c>
      <c r="B881" s="1">
        <v>1</v>
      </c>
      <c r="C881" s="1" t="str">
        <f>VLOOKUP(student_internships[[#This Row],[Student_ID]],student_data[],2,0)</f>
        <v>Electronics</v>
      </c>
      <c r="D881" s="1" t="s">
        <v>1021</v>
      </c>
    </row>
    <row r="882" spans="1:4" x14ac:dyDescent="0.2">
      <c r="A882" s="1" t="s">
        <v>891</v>
      </c>
      <c r="B882" s="1">
        <v>0</v>
      </c>
      <c r="C882" s="1" t="str">
        <f>VLOOKUP(student_internships[[#This Row],[Student_ID]],student_data[],2,0)</f>
        <v>Information Technology</v>
      </c>
      <c r="D882" s="1" t="s">
        <v>1024</v>
      </c>
    </row>
    <row r="883" spans="1:4" x14ac:dyDescent="0.2">
      <c r="A883" s="1" t="s">
        <v>892</v>
      </c>
      <c r="B883" s="1">
        <v>0</v>
      </c>
      <c r="C883" s="1" t="str">
        <f>VLOOKUP(student_internships[[#This Row],[Student_ID]],student_data[],2,0)</f>
        <v>Mechanical</v>
      </c>
      <c r="D883" s="1" t="s">
        <v>1024</v>
      </c>
    </row>
    <row r="884" spans="1:4" x14ac:dyDescent="0.2">
      <c r="A884" s="1" t="s">
        <v>893</v>
      </c>
      <c r="B884" s="1">
        <v>0</v>
      </c>
      <c r="C884" s="1" t="str">
        <f>VLOOKUP(student_internships[[#This Row],[Student_ID]],student_data[],2,0)</f>
        <v>Civil</v>
      </c>
      <c r="D884" s="1" t="s">
        <v>1024</v>
      </c>
    </row>
    <row r="885" spans="1:4" x14ac:dyDescent="0.2">
      <c r="A885" s="1" t="s">
        <v>894</v>
      </c>
      <c r="B885" s="1">
        <v>1</v>
      </c>
      <c r="C885" s="1" t="str">
        <f>VLOOKUP(student_internships[[#This Row],[Student_ID]],student_data[],2,0)</f>
        <v>Information Technology</v>
      </c>
      <c r="D885" s="1" t="s">
        <v>1022</v>
      </c>
    </row>
    <row r="886" spans="1:4" x14ac:dyDescent="0.2">
      <c r="A886" s="1" t="s">
        <v>895</v>
      </c>
      <c r="B886" s="1">
        <v>0</v>
      </c>
      <c r="C886" s="1" t="str">
        <f>VLOOKUP(student_internships[[#This Row],[Student_ID]],student_data[],2,0)</f>
        <v>Mechanical</v>
      </c>
      <c r="D886" s="1" t="s">
        <v>1024</v>
      </c>
    </row>
    <row r="887" spans="1:4" x14ac:dyDescent="0.2">
      <c r="A887" s="1" t="s">
        <v>896</v>
      </c>
      <c r="B887" s="1">
        <v>0</v>
      </c>
      <c r="C887" s="1" t="str">
        <f>VLOOKUP(student_internships[[#This Row],[Student_ID]],student_data[],2,0)</f>
        <v>Mechanical</v>
      </c>
      <c r="D887" s="1" t="s">
        <v>1024</v>
      </c>
    </row>
    <row r="888" spans="1:4" x14ac:dyDescent="0.2">
      <c r="A888" s="1" t="s">
        <v>897</v>
      </c>
      <c r="B888" s="1">
        <v>2</v>
      </c>
      <c r="C888" s="1" t="str">
        <f>VLOOKUP(student_internships[[#This Row],[Student_ID]],student_data[],2,0)</f>
        <v>Computer Science</v>
      </c>
      <c r="D888" s="1" t="s">
        <v>1021</v>
      </c>
    </row>
    <row r="889" spans="1:4" x14ac:dyDescent="0.2">
      <c r="A889" s="1" t="s">
        <v>898</v>
      </c>
      <c r="B889" s="1">
        <v>0</v>
      </c>
      <c r="C889" s="1" t="str">
        <f>VLOOKUP(student_internships[[#This Row],[Student_ID]],student_data[],2,0)</f>
        <v>Electronics</v>
      </c>
      <c r="D889" s="1" t="s">
        <v>1024</v>
      </c>
    </row>
    <row r="890" spans="1:4" x14ac:dyDescent="0.2">
      <c r="A890" s="1" t="s">
        <v>899</v>
      </c>
      <c r="B890" s="1">
        <v>1</v>
      </c>
      <c r="C890" s="1" t="str">
        <f>VLOOKUP(student_internships[[#This Row],[Student_ID]],student_data[],2,0)</f>
        <v>Electronics</v>
      </c>
      <c r="D890" s="1" t="s">
        <v>1021</v>
      </c>
    </row>
    <row r="891" spans="1:4" x14ac:dyDescent="0.2">
      <c r="A891" s="1" t="s">
        <v>900</v>
      </c>
      <c r="B891" s="1">
        <v>0</v>
      </c>
      <c r="C891" s="1" t="str">
        <f>VLOOKUP(student_internships[[#This Row],[Student_ID]],student_data[],2,0)</f>
        <v>Information Technology</v>
      </c>
      <c r="D891" s="1" t="s">
        <v>1024</v>
      </c>
    </row>
    <row r="892" spans="1:4" x14ac:dyDescent="0.2">
      <c r="A892" s="1" t="s">
        <v>901</v>
      </c>
      <c r="B892" s="1">
        <v>0</v>
      </c>
      <c r="C892" s="1" t="str">
        <f>VLOOKUP(student_internships[[#This Row],[Student_ID]],student_data[],2,0)</f>
        <v>Electronics</v>
      </c>
      <c r="D892" s="1" t="s">
        <v>1024</v>
      </c>
    </row>
    <row r="893" spans="1:4" x14ac:dyDescent="0.2">
      <c r="A893" s="1" t="s">
        <v>902</v>
      </c>
      <c r="B893" s="1">
        <v>0</v>
      </c>
      <c r="C893" s="1" t="str">
        <f>VLOOKUP(student_internships[[#This Row],[Student_ID]],student_data[],2,0)</f>
        <v>Civil</v>
      </c>
      <c r="D893" s="1" t="s">
        <v>1024</v>
      </c>
    </row>
    <row r="894" spans="1:4" x14ac:dyDescent="0.2">
      <c r="A894" s="1" t="s">
        <v>903</v>
      </c>
      <c r="B894" s="1">
        <v>2</v>
      </c>
      <c r="C894" s="1" t="str">
        <f>VLOOKUP(student_internships[[#This Row],[Student_ID]],student_data[],2,0)</f>
        <v>Electronics</v>
      </c>
      <c r="D894" s="1" t="s">
        <v>1027</v>
      </c>
    </row>
    <row r="895" spans="1:4" x14ac:dyDescent="0.2">
      <c r="A895" s="1" t="s">
        <v>904</v>
      </c>
      <c r="B895" s="1">
        <v>2</v>
      </c>
      <c r="C895" s="1" t="str">
        <f>VLOOKUP(student_internships[[#This Row],[Student_ID]],student_data[],2,0)</f>
        <v>Information Technology</v>
      </c>
      <c r="D895" s="1" t="s">
        <v>1026</v>
      </c>
    </row>
    <row r="896" spans="1:4" x14ac:dyDescent="0.2">
      <c r="A896" s="1" t="s">
        <v>905</v>
      </c>
      <c r="B896" s="1">
        <v>2</v>
      </c>
      <c r="C896" s="1" t="str">
        <f>VLOOKUP(student_internships[[#This Row],[Student_ID]],student_data[],2,0)</f>
        <v>Electronics</v>
      </c>
      <c r="D896" s="1" t="s">
        <v>1023</v>
      </c>
    </row>
    <row r="897" spans="1:4" x14ac:dyDescent="0.2">
      <c r="A897" s="1" t="s">
        <v>906</v>
      </c>
      <c r="B897" s="1">
        <v>1</v>
      </c>
      <c r="C897" s="1" t="str">
        <f>VLOOKUP(student_internships[[#This Row],[Student_ID]],student_data[],2,0)</f>
        <v>Civil</v>
      </c>
      <c r="D897" s="1" t="s">
        <v>1026</v>
      </c>
    </row>
    <row r="898" spans="1:4" x14ac:dyDescent="0.2">
      <c r="A898" s="1" t="s">
        <v>907</v>
      </c>
      <c r="B898" s="1">
        <v>1</v>
      </c>
      <c r="C898" s="1" t="str">
        <f>VLOOKUP(student_internships[[#This Row],[Student_ID]],student_data[],2,0)</f>
        <v>Computer Science</v>
      </c>
      <c r="D898" s="1" t="s">
        <v>1021</v>
      </c>
    </row>
    <row r="899" spans="1:4" x14ac:dyDescent="0.2">
      <c r="A899" s="1" t="s">
        <v>908</v>
      </c>
      <c r="B899" s="1">
        <v>0</v>
      </c>
      <c r="C899" s="1" t="str">
        <f>VLOOKUP(student_internships[[#This Row],[Student_ID]],student_data[],2,0)</f>
        <v>Information Technology</v>
      </c>
      <c r="D899" s="1" t="s">
        <v>1024</v>
      </c>
    </row>
    <row r="900" spans="1:4" x14ac:dyDescent="0.2">
      <c r="A900" s="1" t="s">
        <v>909</v>
      </c>
      <c r="B900" s="1">
        <v>0</v>
      </c>
      <c r="C900" s="1" t="str">
        <f>VLOOKUP(student_internships[[#This Row],[Student_ID]],student_data[],2,0)</f>
        <v>Computer Science</v>
      </c>
      <c r="D900" s="1" t="s">
        <v>1024</v>
      </c>
    </row>
    <row r="901" spans="1:4" x14ac:dyDescent="0.2">
      <c r="A901" s="1" t="s">
        <v>910</v>
      </c>
      <c r="B901" s="1">
        <v>2</v>
      </c>
      <c r="C901" s="1" t="str">
        <f>VLOOKUP(student_internships[[#This Row],[Student_ID]],student_data[],2,0)</f>
        <v>Computer Science</v>
      </c>
      <c r="D901" s="1" t="s">
        <v>1027</v>
      </c>
    </row>
    <row r="902" spans="1:4" x14ac:dyDescent="0.2">
      <c r="A902" s="1" t="s">
        <v>911</v>
      </c>
      <c r="B902" s="1">
        <v>0</v>
      </c>
      <c r="C902" s="1" t="str">
        <f>VLOOKUP(student_internships[[#This Row],[Student_ID]],student_data[],2,0)</f>
        <v>Computer Science</v>
      </c>
      <c r="D902" s="1" t="s">
        <v>1024</v>
      </c>
    </row>
    <row r="903" spans="1:4" x14ac:dyDescent="0.2">
      <c r="A903" s="1" t="s">
        <v>912</v>
      </c>
      <c r="B903" s="1">
        <v>0</v>
      </c>
      <c r="C903" s="1" t="str">
        <f>VLOOKUP(student_internships[[#This Row],[Student_ID]],student_data[],2,0)</f>
        <v>Mechanical</v>
      </c>
      <c r="D903" s="1" t="s">
        <v>1024</v>
      </c>
    </row>
    <row r="904" spans="1:4" x14ac:dyDescent="0.2">
      <c r="A904" s="1" t="s">
        <v>913</v>
      </c>
      <c r="B904" s="1">
        <v>0</v>
      </c>
      <c r="C904" s="1" t="str">
        <f>VLOOKUP(student_internships[[#This Row],[Student_ID]],student_data[],2,0)</f>
        <v>Mechanical</v>
      </c>
      <c r="D904" s="1" t="s">
        <v>1024</v>
      </c>
    </row>
    <row r="905" spans="1:4" x14ac:dyDescent="0.2">
      <c r="A905" s="1" t="s">
        <v>914</v>
      </c>
      <c r="B905" s="1">
        <v>0</v>
      </c>
      <c r="C905" s="1" t="str">
        <f>VLOOKUP(student_internships[[#This Row],[Student_ID]],student_data[],2,0)</f>
        <v>Computer Science</v>
      </c>
      <c r="D905" s="1" t="s">
        <v>1024</v>
      </c>
    </row>
    <row r="906" spans="1:4" x14ac:dyDescent="0.2">
      <c r="A906" s="1" t="s">
        <v>915</v>
      </c>
      <c r="B906" s="1">
        <v>0</v>
      </c>
      <c r="C906" s="1" t="str">
        <f>VLOOKUP(student_internships[[#This Row],[Student_ID]],student_data[],2,0)</f>
        <v>Information Technology</v>
      </c>
      <c r="D906" s="1" t="s">
        <v>1024</v>
      </c>
    </row>
    <row r="907" spans="1:4" x14ac:dyDescent="0.2">
      <c r="A907" s="1" t="s">
        <v>916</v>
      </c>
      <c r="B907" s="1">
        <v>1</v>
      </c>
      <c r="C907" s="1" t="str">
        <f>VLOOKUP(student_internships[[#This Row],[Student_ID]],student_data[],2,0)</f>
        <v>Civil</v>
      </c>
      <c r="D907" s="1" t="s">
        <v>1025</v>
      </c>
    </row>
    <row r="908" spans="1:4" x14ac:dyDescent="0.2">
      <c r="A908" s="1" t="s">
        <v>917</v>
      </c>
      <c r="B908" s="1">
        <v>1</v>
      </c>
      <c r="C908" s="1" t="str">
        <f>VLOOKUP(student_internships[[#This Row],[Student_ID]],student_data[],2,0)</f>
        <v>Civil</v>
      </c>
      <c r="D908" s="1" t="s">
        <v>1027</v>
      </c>
    </row>
    <row r="909" spans="1:4" x14ac:dyDescent="0.2">
      <c r="A909" s="1" t="s">
        <v>918</v>
      </c>
      <c r="B909" s="1">
        <v>2</v>
      </c>
      <c r="C909" s="1" t="str">
        <f>VLOOKUP(student_internships[[#This Row],[Student_ID]],student_data[],2,0)</f>
        <v>Electronics</v>
      </c>
      <c r="D909" s="1" t="s">
        <v>1021</v>
      </c>
    </row>
    <row r="910" spans="1:4" x14ac:dyDescent="0.2">
      <c r="A910" s="1" t="s">
        <v>919</v>
      </c>
      <c r="B910" s="1">
        <v>2</v>
      </c>
      <c r="C910" s="1" t="str">
        <f>VLOOKUP(student_internships[[#This Row],[Student_ID]],student_data[],2,0)</f>
        <v>Information Technology</v>
      </c>
      <c r="D910" s="1" t="s">
        <v>1027</v>
      </c>
    </row>
    <row r="911" spans="1:4" x14ac:dyDescent="0.2">
      <c r="A911" s="1" t="s">
        <v>920</v>
      </c>
      <c r="B911" s="1">
        <v>1</v>
      </c>
      <c r="C911" s="1" t="str">
        <f>VLOOKUP(student_internships[[#This Row],[Student_ID]],student_data[],2,0)</f>
        <v>Mechanical</v>
      </c>
      <c r="D911" s="1" t="s">
        <v>1020</v>
      </c>
    </row>
    <row r="912" spans="1:4" x14ac:dyDescent="0.2">
      <c r="A912" s="1" t="s">
        <v>921</v>
      </c>
      <c r="B912" s="1">
        <v>0</v>
      </c>
      <c r="C912" s="1" t="str">
        <f>VLOOKUP(student_internships[[#This Row],[Student_ID]],student_data[],2,0)</f>
        <v>Computer Science</v>
      </c>
      <c r="D912" s="1" t="s">
        <v>1024</v>
      </c>
    </row>
    <row r="913" spans="1:4" x14ac:dyDescent="0.2">
      <c r="A913" s="1" t="s">
        <v>922</v>
      </c>
      <c r="B913" s="1">
        <v>1</v>
      </c>
      <c r="C913" s="1" t="str">
        <f>VLOOKUP(student_internships[[#This Row],[Student_ID]],student_data[],2,0)</f>
        <v>Electronics</v>
      </c>
      <c r="D913" s="1" t="s">
        <v>1027</v>
      </c>
    </row>
    <row r="914" spans="1:4" x14ac:dyDescent="0.2">
      <c r="A914" s="1" t="s">
        <v>923</v>
      </c>
      <c r="B914" s="1">
        <v>1</v>
      </c>
      <c r="C914" s="1" t="str">
        <f>VLOOKUP(student_internships[[#This Row],[Student_ID]],student_data[],2,0)</f>
        <v>Civil</v>
      </c>
      <c r="D914" s="1" t="s">
        <v>1021</v>
      </c>
    </row>
    <row r="915" spans="1:4" x14ac:dyDescent="0.2">
      <c r="A915" s="1" t="s">
        <v>924</v>
      </c>
      <c r="B915" s="1">
        <v>0</v>
      </c>
      <c r="C915" s="1" t="str">
        <f>VLOOKUP(student_internships[[#This Row],[Student_ID]],student_data[],2,0)</f>
        <v>Mechanical</v>
      </c>
      <c r="D915" s="1" t="s">
        <v>1024</v>
      </c>
    </row>
    <row r="916" spans="1:4" x14ac:dyDescent="0.2">
      <c r="A916" s="1" t="s">
        <v>925</v>
      </c>
      <c r="B916" s="1">
        <v>1</v>
      </c>
      <c r="C916" s="1" t="str">
        <f>VLOOKUP(student_internships[[#This Row],[Student_ID]],student_data[],2,0)</f>
        <v>Mechanical</v>
      </c>
      <c r="D916" s="1" t="s">
        <v>1022</v>
      </c>
    </row>
    <row r="917" spans="1:4" x14ac:dyDescent="0.2">
      <c r="A917" s="1" t="s">
        <v>926</v>
      </c>
      <c r="B917" s="1">
        <v>1</v>
      </c>
      <c r="C917" s="1" t="str">
        <f>VLOOKUP(student_internships[[#This Row],[Student_ID]],student_data[],2,0)</f>
        <v>Computer Science</v>
      </c>
      <c r="D917" s="1" t="s">
        <v>1020</v>
      </c>
    </row>
    <row r="918" spans="1:4" x14ac:dyDescent="0.2">
      <c r="A918" s="1" t="s">
        <v>927</v>
      </c>
      <c r="B918" s="1">
        <v>1</v>
      </c>
      <c r="C918" s="1" t="str">
        <f>VLOOKUP(student_internships[[#This Row],[Student_ID]],student_data[],2,0)</f>
        <v>Civil</v>
      </c>
      <c r="D918" s="1" t="s">
        <v>1027</v>
      </c>
    </row>
    <row r="919" spans="1:4" x14ac:dyDescent="0.2">
      <c r="A919" s="1" t="s">
        <v>928</v>
      </c>
      <c r="B919" s="1">
        <v>1</v>
      </c>
      <c r="C919" s="1" t="str">
        <f>VLOOKUP(student_internships[[#This Row],[Student_ID]],student_data[],2,0)</f>
        <v>Information Technology</v>
      </c>
      <c r="D919" s="1" t="s">
        <v>1023</v>
      </c>
    </row>
    <row r="920" spans="1:4" x14ac:dyDescent="0.2">
      <c r="A920" s="1" t="s">
        <v>929</v>
      </c>
      <c r="B920" s="1">
        <v>0</v>
      </c>
      <c r="C920" s="1" t="str">
        <f>VLOOKUP(student_internships[[#This Row],[Student_ID]],student_data[],2,0)</f>
        <v>Mechanical</v>
      </c>
      <c r="D920" s="1" t="s">
        <v>1024</v>
      </c>
    </row>
    <row r="921" spans="1:4" x14ac:dyDescent="0.2">
      <c r="A921" s="1" t="s">
        <v>930</v>
      </c>
      <c r="B921" s="1">
        <v>3</v>
      </c>
      <c r="C921" s="1" t="str">
        <f>VLOOKUP(student_internships[[#This Row],[Student_ID]],student_data[],2,0)</f>
        <v>Computer Science</v>
      </c>
      <c r="D921" s="1" t="s">
        <v>1023</v>
      </c>
    </row>
    <row r="922" spans="1:4" x14ac:dyDescent="0.2">
      <c r="A922" s="1" t="s">
        <v>931</v>
      </c>
      <c r="B922" s="1">
        <v>2</v>
      </c>
      <c r="C922" s="1" t="str">
        <f>VLOOKUP(student_internships[[#This Row],[Student_ID]],student_data[],2,0)</f>
        <v>Information Technology</v>
      </c>
      <c r="D922" s="1" t="s">
        <v>1027</v>
      </c>
    </row>
    <row r="923" spans="1:4" x14ac:dyDescent="0.2">
      <c r="A923" s="1" t="s">
        <v>932</v>
      </c>
      <c r="B923" s="1">
        <v>0</v>
      </c>
      <c r="C923" s="1" t="str">
        <f>VLOOKUP(student_internships[[#This Row],[Student_ID]],student_data[],2,0)</f>
        <v>Civil</v>
      </c>
      <c r="D923" s="1" t="s">
        <v>1024</v>
      </c>
    </row>
    <row r="924" spans="1:4" x14ac:dyDescent="0.2">
      <c r="A924" s="1" t="s">
        <v>933</v>
      </c>
      <c r="B924" s="1">
        <v>2</v>
      </c>
      <c r="C924" s="1" t="str">
        <f>VLOOKUP(student_internships[[#This Row],[Student_ID]],student_data[],2,0)</f>
        <v>Mechanical</v>
      </c>
      <c r="D924" s="1" t="s">
        <v>1022</v>
      </c>
    </row>
    <row r="925" spans="1:4" x14ac:dyDescent="0.2">
      <c r="A925" s="1" t="s">
        <v>934</v>
      </c>
      <c r="B925" s="1">
        <v>1</v>
      </c>
      <c r="C925" s="1" t="str">
        <f>VLOOKUP(student_internships[[#This Row],[Student_ID]],student_data[],2,0)</f>
        <v>Information Technology</v>
      </c>
      <c r="D925" s="1" t="s">
        <v>1025</v>
      </c>
    </row>
    <row r="926" spans="1:4" x14ac:dyDescent="0.2">
      <c r="A926" s="1" t="s">
        <v>935</v>
      </c>
      <c r="B926" s="1">
        <v>2</v>
      </c>
      <c r="C926" s="1" t="str">
        <f>VLOOKUP(student_internships[[#This Row],[Student_ID]],student_data[],2,0)</f>
        <v>Information Technology</v>
      </c>
      <c r="D926" s="1" t="s">
        <v>1021</v>
      </c>
    </row>
    <row r="927" spans="1:4" x14ac:dyDescent="0.2">
      <c r="A927" s="1" t="s">
        <v>936</v>
      </c>
      <c r="B927" s="1">
        <v>2</v>
      </c>
      <c r="C927" s="1" t="str">
        <f>VLOOKUP(student_internships[[#This Row],[Student_ID]],student_data[],2,0)</f>
        <v>Information Technology</v>
      </c>
      <c r="D927" s="1" t="s">
        <v>1023</v>
      </c>
    </row>
    <row r="928" spans="1:4" x14ac:dyDescent="0.2">
      <c r="A928" s="1" t="s">
        <v>937</v>
      </c>
      <c r="B928" s="1">
        <v>1</v>
      </c>
      <c r="C928" s="1" t="str">
        <f>VLOOKUP(student_internships[[#This Row],[Student_ID]],student_data[],2,0)</f>
        <v>Mechanical</v>
      </c>
      <c r="D928" s="1" t="s">
        <v>1025</v>
      </c>
    </row>
    <row r="929" spans="1:4" x14ac:dyDescent="0.2">
      <c r="A929" s="1" t="s">
        <v>938</v>
      </c>
      <c r="B929" s="1">
        <v>0</v>
      </c>
      <c r="C929" s="1" t="str">
        <f>VLOOKUP(student_internships[[#This Row],[Student_ID]],student_data[],2,0)</f>
        <v>Mechanical</v>
      </c>
      <c r="D929" s="1" t="s">
        <v>1024</v>
      </c>
    </row>
    <row r="930" spans="1:4" x14ac:dyDescent="0.2">
      <c r="A930" s="1" t="s">
        <v>939</v>
      </c>
      <c r="B930" s="1">
        <v>0</v>
      </c>
      <c r="C930" s="1" t="str">
        <f>VLOOKUP(student_internships[[#This Row],[Student_ID]],student_data[],2,0)</f>
        <v>Electronics</v>
      </c>
      <c r="D930" s="1" t="s">
        <v>1024</v>
      </c>
    </row>
    <row r="931" spans="1:4" x14ac:dyDescent="0.2">
      <c r="A931" s="1" t="s">
        <v>940</v>
      </c>
      <c r="B931" s="1">
        <v>1</v>
      </c>
      <c r="C931" s="1" t="str">
        <f>VLOOKUP(student_internships[[#This Row],[Student_ID]],student_data[],2,0)</f>
        <v>Civil</v>
      </c>
      <c r="D931" s="1" t="s">
        <v>1027</v>
      </c>
    </row>
    <row r="932" spans="1:4" x14ac:dyDescent="0.2">
      <c r="A932" s="1" t="s">
        <v>941</v>
      </c>
      <c r="B932" s="1">
        <v>1</v>
      </c>
      <c r="C932" s="1" t="str">
        <f>VLOOKUP(student_internships[[#This Row],[Student_ID]],student_data[],2,0)</f>
        <v>Computer Science</v>
      </c>
      <c r="D932" s="1" t="s">
        <v>1025</v>
      </c>
    </row>
    <row r="933" spans="1:4" x14ac:dyDescent="0.2">
      <c r="A933" s="1" t="s">
        <v>942</v>
      </c>
      <c r="B933" s="1">
        <v>0</v>
      </c>
      <c r="C933" s="1" t="str">
        <f>VLOOKUP(student_internships[[#This Row],[Student_ID]],student_data[],2,0)</f>
        <v>Information Technology</v>
      </c>
      <c r="D933" s="1" t="s">
        <v>1024</v>
      </c>
    </row>
    <row r="934" spans="1:4" x14ac:dyDescent="0.2">
      <c r="A934" s="1" t="s">
        <v>943</v>
      </c>
      <c r="B934" s="1">
        <v>0</v>
      </c>
      <c r="C934" s="1" t="str">
        <f>VLOOKUP(student_internships[[#This Row],[Student_ID]],student_data[],2,0)</f>
        <v>Electronics</v>
      </c>
      <c r="D934" s="1" t="s">
        <v>1024</v>
      </c>
    </row>
    <row r="935" spans="1:4" x14ac:dyDescent="0.2">
      <c r="A935" s="1" t="s">
        <v>944</v>
      </c>
      <c r="B935" s="1">
        <v>2</v>
      </c>
      <c r="C935" s="1" t="str">
        <f>VLOOKUP(student_internships[[#This Row],[Student_ID]],student_data[],2,0)</f>
        <v>Computer Science</v>
      </c>
      <c r="D935" s="1" t="s">
        <v>1020</v>
      </c>
    </row>
    <row r="936" spans="1:4" x14ac:dyDescent="0.2">
      <c r="A936" s="1" t="s">
        <v>945</v>
      </c>
      <c r="B936" s="1">
        <v>3</v>
      </c>
      <c r="C936" s="1" t="str">
        <f>VLOOKUP(student_internships[[#This Row],[Student_ID]],student_data[],2,0)</f>
        <v>Electronics</v>
      </c>
      <c r="D936" s="1" t="s">
        <v>1026</v>
      </c>
    </row>
    <row r="937" spans="1:4" x14ac:dyDescent="0.2">
      <c r="A937" s="1" t="s">
        <v>946</v>
      </c>
      <c r="B937" s="1">
        <v>1</v>
      </c>
      <c r="C937" s="1" t="str">
        <f>VLOOKUP(student_internships[[#This Row],[Student_ID]],student_data[],2,0)</f>
        <v>Mechanical</v>
      </c>
      <c r="D937" s="1" t="s">
        <v>1023</v>
      </c>
    </row>
    <row r="938" spans="1:4" x14ac:dyDescent="0.2">
      <c r="A938" s="1" t="s">
        <v>947</v>
      </c>
      <c r="B938" s="1">
        <v>0</v>
      </c>
      <c r="C938" s="1" t="str">
        <f>VLOOKUP(student_internships[[#This Row],[Student_ID]],student_data[],2,0)</f>
        <v>Information Technology</v>
      </c>
      <c r="D938" s="1" t="s">
        <v>1024</v>
      </c>
    </row>
    <row r="939" spans="1:4" x14ac:dyDescent="0.2">
      <c r="A939" s="1" t="s">
        <v>948</v>
      </c>
      <c r="B939" s="1">
        <v>0</v>
      </c>
      <c r="C939" s="1" t="str">
        <f>VLOOKUP(student_internships[[#This Row],[Student_ID]],student_data[],2,0)</f>
        <v>Computer Science</v>
      </c>
      <c r="D939" s="1" t="s">
        <v>1024</v>
      </c>
    </row>
    <row r="940" spans="1:4" x14ac:dyDescent="0.2">
      <c r="A940" s="1" t="s">
        <v>949</v>
      </c>
      <c r="B940" s="1">
        <v>0</v>
      </c>
      <c r="C940" s="1" t="str">
        <f>VLOOKUP(student_internships[[#This Row],[Student_ID]],student_data[],2,0)</f>
        <v>Computer Science</v>
      </c>
      <c r="D940" s="1" t="s">
        <v>1024</v>
      </c>
    </row>
    <row r="941" spans="1:4" x14ac:dyDescent="0.2">
      <c r="A941" s="1" t="s">
        <v>950</v>
      </c>
      <c r="B941" s="1">
        <v>3</v>
      </c>
      <c r="C941" s="1" t="str">
        <f>VLOOKUP(student_internships[[#This Row],[Student_ID]],student_data[],2,0)</f>
        <v>Computer Science</v>
      </c>
      <c r="D941" s="1" t="s">
        <v>1027</v>
      </c>
    </row>
    <row r="942" spans="1:4" x14ac:dyDescent="0.2">
      <c r="A942" s="1" t="s">
        <v>951</v>
      </c>
      <c r="B942" s="1">
        <v>0</v>
      </c>
      <c r="C942" s="1" t="str">
        <f>VLOOKUP(student_internships[[#This Row],[Student_ID]],student_data[],2,0)</f>
        <v>Computer Science</v>
      </c>
      <c r="D942" s="1" t="s">
        <v>1024</v>
      </c>
    </row>
    <row r="943" spans="1:4" x14ac:dyDescent="0.2">
      <c r="A943" s="1" t="s">
        <v>952</v>
      </c>
      <c r="B943" s="1">
        <v>1</v>
      </c>
      <c r="C943" s="1" t="str">
        <f>VLOOKUP(student_internships[[#This Row],[Student_ID]],student_data[],2,0)</f>
        <v>Computer Science</v>
      </c>
      <c r="D943" s="1" t="s">
        <v>1021</v>
      </c>
    </row>
    <row r="944" spans="1:4" x14ac:dyDescent="0.2">
      <c r="A944" s="1" t="s">
        <v>953</v>
      </c>
      <c r="B944" s="1">
        <v>0</v>
      </c>
      <c r="C944" s="1" t="str">
        <f>VLOOKUP(student_internships[[#This Row],[Student_ID]],student_data[],2,0)</f>
        <v>Electronics</v>
      </c>
      <c r="D944" s="1" t="s">
        <v>1024</v>
      </c>
    </row>
    <row r="945" spans="1:4" x14ac:dyDescent="0.2">
      <c r="A945" s="1" t="s">
        <v>954</v>
      </c>
      <c r="B945" s="1">
        <v>1</v>
      </c>
      <c r="C945" s="1" t="str">
        <f>VLOOKUP(student_internships[[#This Row],[Student_ID]],student_data[],2,0)</f>
        <v>Information Technology</v>
      </c>
      <c r="D945" s="1" t="s">
        <v>1022</v>
      </c>
    </row>
    <row r="946" spans="1:4" x14ac:dyDescent="0.2">
      <c r="A946" s="1" t="s">
        <v>955</v>
      </c>
      <c r="B946" s="1">
        <v>1</v>
      </c>
      <c r="C946" s="1" t="str">
        <f>VLOOKUP(student_internships[[#This Row],[Student_ID]],student_data[],2,0)</f>
        <v>Mechanical</v>
      </c>
      <c r="D946" s="1" t="s">
        <v>1020</v>
      </c>
    </row>
    <row r="947" spans="1:4" x14ac:dyDescent="0.2">
      <c r="A947" s="1" t="s">
        <v>956</v>
      </c>
      <c r="B947" s="1">
        <v>2</v>
      </c>
      <c r="C947" s="1" t="str">
        <f>VLOOKUP(student_internships[[#This Row],[Student_ID]],student_data[],2,0)</f>
        <v>Mechanical</v>
      </c>
      <c r="D947" s="1" t="s">
        <v>1027</v>
      </c>
    </row>
    <row r="948" spans="1:4" x14ac:dyDescent="0.2">
      <c r="A948" s="1" t="s">
        <v>957</v>
      </c>
      <c r="B948" s="1">
        <v>0</v>
      </c>
      <c r="C948" s="1" t="str">
        <f>VLOOKUP(student_internships[[#This Row],[Student_ID]],student_data[],2,0)</f>
        <v>Mechanical</v>
      </c>
      <c r="D948" s="1" t="s">
        <v>1024</v>
      </c>
    </row>
    <row r="949" spans="1:4" x14ac:dyDescent="0.2">
      <c r="A949" s="1" t="s">
        <v>958</v>
      </c>
      <c r="B949" s="1">
        <v>0</v>
      </c>
      <c r="C949" s="1" t="str">
        <f>VLOOKUP(student_internships[[#This Row],[Student_ID]],student_data[],2,0)</f>
        <v>Mechanical</v>
      </c>
      <c r="D949" s="1" t="s">
        <v>1024</v>
      </c>
    </row>
    <row r="950" spans="1:4" x14ac:dyDescent="0.2">
      <c r="A950" s="1" t="s">
        <v>959</v>
      </c>
      <c r="B950" s="1">
        <v>0</v>
      </c>
      <c r="C950" s="1" t="str">
        <f>VLOOKUP(student_internships[[#This Row],[Student_ID]],student_data[],2,0)</f>
        <v>Electronics</v>
      </c>
      <c r="D950" s="1" t="s">
        <v>1024</v>
      </c>
    </row>
    <row r="951" spans="1:4" x14ac:dyDescent="0.2">
      <c r="A951" s="1" t="s">
        <v>960</v>
      </c>
      <c r="B951" s="1">
        <v>3</v>
      </c>
      <c r="C951" s="1" t="str">
        <f>VLOOKUP(student_internships[[#This Row],[Student_ID]],student_data[],2,0)</f>
        <v>Civil</v>
      </c>
      <c r="D951" s="1" t="s">
        <v>1021</v>
      </c>
    </row>
    <row r="952" spans="1:4" x14ac:dyDescent="0.2">
      <c r="A952" s="1" t="s">
        <v>961</v>
      </c>
      <c r="B952" s="1">
        <v>2</v>
      </c>
      <c r="C952" s="1" t="str">
        <f>VLOOKUP(student_internships[[#This Row],[Student_ID]],student_data[],2,0)</f>
        <v>Information Technology</v>
      </c>
      <c r="D952" s="1" t="s">
        <v>1022</v>
      </c>
    </row>
    <row r="953" spans="1:4" x14ac:dyDescent="0.2">
      <c r="A953" s="1" t="s">
        <v>962</v>
      </c>
      <c r="B953" s="1">
        <v>1</v>
      </c>
      <c r="C953" s="1" t="str">
        <f>VLOOKUP(student_internships[[#This Row],[Student_ID]],student_data[],2,0)</f>
        <v>Computer Science</v>
      </c>
      <c r="D953" s="1" t="s">
        <v>1022</v>
      </c>
    </row>
    <row r="954" spans="1:4" x14ac:dyDescent="0.2">
      <c r="A954" s="1" t="s">
        <v>963</v>
      </c>
      <c r="B954" s="1">
        <v>1</v>
      </c>
      <c r="C954" s="1" t="str">
        <f>VLOOKUP(student_internships[[#This Row],[Student_ID]],student_data[],2,0)</f>
        <v>Civil</v>
      </c>
      <c r="D954" s="1" t="s">
        <v>1027</v>
      </c>
    </row>
    <row r="955" spans="1:4" x14ac:dyDescent="0.2">
      <c r="A955" s="1" t="s">
        <v>964</v>
      </c>
      <c r="B955" s="1">
        <v>1</v>
      </c>
      <c r="C955" s="1" t="str">
        <f>VLOOKUP(student_internships[[#This Row],[Student_ID]],student_data[],2,0)</f>
        <v>Mechanical</v>
      </c>
      <c r="D955" s="1" t="s">
        <v>1020</v>
      </c>
    </row>
    <row r="956" spans="1:4" x14ac:dyDescent="0.2">
      <c r="A956" s="1" t="s">
        <v>965</v>
      </c>
      <c r="B956" s="1">
        <v>0</v>
      </c>
      <c r="C956" s="1" t="str">
        <f>VLOOKUP(student_internships[[#This Row],[Student_ID]],student_data[],2,0)</f>
        <v>Civil</v>
      </c>
      <c r="D956" s="1" t="s">
        <v>1024</v>
      </c>
    </row>
    <row r="957" spans="1:4" x14ac:dyDescent="0.2">
      <c r="A957" s="1" t="s">
        <v>966</v>
      </c>
      <c r="B957" s="1">
        <v>3</v>
      </c>
      <c r="C957" s="1" t="str">
        <f>VLOOKUP(student_internships[[#This Row],[Student_ID]],student_data[],2,0)</f>
        <v>Information Technology</v>
      </c>
      <c r="D957" s="1" t="s">
        <v>1025</v>
      </c>
    </row>
    <row r="958" spans="1:4" x14ac:dyDescent="0.2">
      <c r="A958" s="1" t="s">
        <v>967</v>
      </c>
      <c r="B958" s="1">
        <v>1</v>
      </c>
      <c r="C958" s="1" t="str">
        <f>VLOOKUP(student_internships[[#This Row],[Student_ID]],student_data[],2,0)</f>
        <v>Computer Science</v>
      </c>
      <c r="D958" s="1" t="s">
        <v>1025</v>
      </c>
    </row>
    <row r="959" spans="1:4" x14ac:dyDescent="0.2">
      <c r="A959" s="1" t="s">
        <v>968</v>
      </c>
      <c r="B959" s="1">
        <v>1</v>
      </c>
      <c r="C959" s="1" t="str">
        <f>VLOOKUP(student_internships[[#This Row],[Student_ID]],student_data[],2,0)</f>
        <v>Computer Science</v>
      </c>
      <c r="D959" s="1" t="s">
        <v>1022</v>
      </c>
    </row>
    <row r="960" spans="1:4" x14ac:dyDescent="0.2">
      <c r="A960" s="1" t="s">
        <v>969</v>
      </c>
      <c r="B960" s="1">
        <v>1</v>
      </c>
      <c r="C960" s="1" t="str">
        <f>VLOOKUP(student_internships[[#This Row],[Student_ID]],student_data[],2,0)</f>
        <v>Information Technology</v>
      </c>
      <c r="D960" s="1" t="s">
        <v>1025</v>
      </c>
    </row>
    <row r="961" spans="1:4" x14ac:dyDescent="0.2">
      <c r="A961" s="1" t="s">
        <v>970</v>
      </c>
      <c r="B961" s="1">
        <v>0</v>
      </c>
      <c r="C961" s="1" t="str">
        <f>VLOOKUP(student_internships[[#This Row],[Student_ID]],student_data[],2,0)</f>
        <v>Information Technology</v>
      </c>
      <c r="D961" s="1" t="s">
        <v>1024</v>
      </c>
    </row>
    <row r="962" spans="1:4" x14ac:dyDescent="0.2">
      <c r="A962" s="1" t="s">
        <v>971</v>
      </c>
      <c r="B962" s="1">
        <v>0</v>
      </c>
      <c r="C962" s="1" t="str">
        <f>VLOOKUP(student_internships[[#This Row],[Student_ID]],student_data[],2,0)</f>
        <v>Mechanical</v>
      </c>
      <c r="D962" s="1" t="s">
        <v>1024</v>
      </c>
    </row>
    <row r="963" spans="1:4" x14ac:dyDescent="0.2">
      <c r="A963" s="1" t="s">
        <v>972</v>
      </c>
      <c r="B963" s="1">
        <v>2</v>
      </c>
      <c r="C963" s="1" t="str">
        <f>VLOOKUP(student_internships[[#This Row],[Student_ID]],student_data[],2,0)</f>
        <v>Computer Science</v>
      </c>
      <c r="D963" s="1" t="s">
        <v>1026</v>
      </c>
    </row>
    <row r="964" spans="1:4" x14ac:dyDescent="0.2">
      <c r="A964" s="1" t="s">
        <v>973</v>
      </c>
      <c r="B964" s="1">
        <v>0</v>
      </c>
      <c r="C964" s="1" t="str">
        <f>VLOOKUP(student_internships[[#This Row],[Student_ID]],student_data[],2,0)</f>
        <v>Civil</v>
      </c>
      <c r="D964" s="1" t="s">
        <v>1024</v>
      </c>
    </row>
    <row r="965" spans="1:4" x14ac:dyDescent="0.2">
      <c r="A965" s="1" t="s">
        <v>974</v>
      </c>
      <c r="B965" s="1">
        <v>1</v>
      </c>
      <c r="C965" s="1" t="str">
        <f>VLOOKUP(student_internships[[#This Row],[Student_ID]],student_data[],2,0)</f>
        <v>Electronics</v>
      </c>
      <c r="D965" s="1" t="s">
        <v>1022</v>
      </c>
    </row>
    <row r="966" spans="1:4" x14ac:dyDescent="0.2">
      <c r="A966" s="1" t="s">
        <v>975</v>
      </c>
      <c r="B966" s="1">
        <v>0</v>
      </c>
      <c r="C966" s="1" t="str">
        <f>VLOOKUP(student_internships[[#This Row],[Student_ID]],student_data[],2,0)</f>
        <v>Electronics</v>
      </c>
      <c r="D966" s="1" t="s">
        <v>1024</v>
      </c>
    </row>
    <row r="967" spans="1:4" x14ac:dyDescent="0.2">
      <c r="A967" s="1" t="s">
        <v>976</v>
      </c>
      <c r="B967" s="1">
        <v>1</v>
      </c>
      <c r="C967" s="1" t="str">
        <f>VLOOKUP(student_internships[[#This Row],[Student_ID]],student_data[],2,0)</f>
        <v>Information Technology</v>
      </c>
      <c r="D967" s="1" t="s">
        <v>1022</v>
      </c>
    </row>
    <row r="968" spans="1:4" x14ac:dyDescent="0.2">
      <c r="A968" s="1" t="s">
        <v>977</v>
      </c>
      <c r="B968" s="1">
        <v>0</v>
      </c>
      <c r="C968" s="1" t="str">
        <f>VLOOKUP(student_internships[[#This Row],[Student_ID]],student_data[],2,0)</f>
        <v>Mechanical</v>
      </c>
      <c r="D968" s="1" t="s">
        <v>1024</v>
      </c>
    </row>
    <row r="969" spans="1:4" x14ac:dyDescent="0.2">
      <c r="A969" s="1" t="s">
        <v>978</v>
      </c>
      <c r="B969" s="1">
        <v>1</v>
      </c>
      <c r="C969" s="1" t="str">
        <f>VLOOKUP(student_internships[[#This Row],[Student_ID]],student_data[],2,0)</f>
        <v>Electronics</v>
      </c>
      <c r="D969" s="1" t="s">
        <v>1021</v>
      </c>
    </row>
    <row r="970" spans="1:4" x14ac:dyDescent="0.2">
      <c r="A970" s="1" t="s">
        <v>979</v>
      </c>
      <c r="B970" s="1">
        <v>2</v>
      </c>
      <c r="C970" s="1" t="str">
        <f>VLOOKUP(student_internships[[#This Row],[Student_ID]],student_data[],2,0)</f>
        <v>Computer Science</v>
      </c>
      <c r="D970" s="1" t="s">
        <v>1025</v>
      </c>
    </row>
    <row r="971" spans="1:4" x14ac:dyDescent="0.2">
      <c r="A971" s="1" t="s">
        <v>980</v>
      </c>
      <c r="B971" s="1">
        <v>0</v>
      </c>
      <c r="C971" s="1" t="str">
        <f>VLOOKUP(student_internships[[#This Row],[Student_ID]],student_data[],2,0)</f>
        <v>Information Technology</v>
      </c>
      <c r="D971" s="1" t="s">
        <v>1024</v>
      </c>
    </row>
    <row r="972" spans="1:4" x14ac:dyDescent="0.2">
      <c r="A972" s="1" t="s">
        <v>981</v>
      </c>
      <c r="B972" s="1">
        <v>1</v>
      </c>
      <c r="C972" s="1" t="str">
        <f>VLOOKUP(student_internships[[#This Row],[Student_ID]],student_data[],2,0)</f>
        <v>Civil</v>
      </c>
      <c r="D972" s="1" t="s">
        <v>1020</v>
      </c>
    </row>
    <row r="973" spans="1:4" x14ac:dyDescent="0.2">
      <c r="A973" s="1" t="s">
        <v>982</v>
      </c>
      <c r="B973" s="1">
        <v>1</v>
      </c>
      <c r="C973" s="1" t="str">
        <f>VLOOKUP(student_internships[[#This Row],[Student_ID]],student_data[],2,0)</f>
        <v>Information Technology</v>
      </c>
      <c r="D973" s="1" t="s">
        <v>1022</v>
      </c>
    </row>
    <row r="974" spans="1:4" x14ac:dyDescent="0.2">
      <c r="A974" s="1" t="s">
        <v>983</v>
      </c>
      <c r="B974" s="1">
        <v>1</v>
      </c>
      <c r="C974" s="1" t="str">
        <f>VLOOKUP(student_internships[[#This Row],[Student_ID]],student_data[],2,0)</f>
        <v>Civil</v>
      </c>
      <c r="D974" s="1" t="s">
        <v>1020</v>
      </c>
    </row>
    <row r="975" spans="1:4" x14ac:dyDescent="0.2">
      <c r="A975" s="1" t="s">
        <v>984</v>
      </c>
      <c r="B975" s="1">
        <v>3</v>
      </c>
      <c r="C975" s="1" t="str">
        <f>VLOOKUP(student_internships[[#This Row],[Student_ID]],student_data[],2,0)</f>
        <v>Information Technology</v>
      </c>
      <c r="D975" s="1" t="s">
        <v>1026</v>
      </c>
    </row>
    <row r="976" spans="1:4" x14ac:dyDescent="0.2">
      <c r="A976" s="1" t="s">
        <v>985</v>
      </c>
      <c r="B976" s="1">
        <v>2</v>
      </c>
      <c r="C976" s="1" t="str">
        <f>VLOOKUP(student_internships[[#This Row],[Student_ID]],student_data[],2,0)</f>
        <v>Information Technology</v>
      </c>
      <c r="D976" s="1" t="s">
        <v>1021</v>
      </c>
    </row>
    <row r="977" spans="1:4" x14ac:dyDescent="0.2">
      <c r="A977" s="1" t="s">
        <v>986</v>
      </c>
      <c r="B977" s="1">
        <v>0</v>
      </c>
      <c r="C977" s="1" t="str">
        <f>VLOOKUP(student_internships[[#This Row],[Student_ID]],student_data[],2,0)</f>
        <v>Information Technology</v>
      </c>
      <c r="D977" s="1" t="s">
        <v>1024</v>
      </c>
    </row>
    <row r="978" spans="1:4" x14ac:dyDescent="0.2">
      <c r="A978" s="1" t="s">
        <v>987</v>
      </c>
      <c r="B978" s="1">
        <v>0</v>
      </c>
      <c r="C978" s="1" t="str">
        <f>VLOOKUP(student_internships[[#This Row],[Student_ID]],student_data[],2,0)</f>
        <v>Civil</v>
      </c>
      <c r="D978" s="1" t="s">
        <v>1024</v>
      </c>
    </row>
    <row r="979" spans="1:4" x14ac:dyDescent="0.2">
      <c r="A979" s="1" t="s">
        <v>988</v>
      </c>
      <c r="B979" s="1">
        <v>0</v>
      </c>
      <c r="C979" s="1" t="str">
        <f>VLOOKUP(student_internships[[#This Row],[Student_ID]],student_data[],2,0)</f>
        <v>Civil</v>
      </c>
      <c r="D979" s="1" t="s">
        <v>1024</v>
      </c>
    </row>
    <row r="980" spans="1:4" x14ac:dyDescent="0.2">
      <c r="A980" s="1" t="s">
        <v>989</v>
      </c>
      <c r="B980" s="1">
        <v>1</v>
      </c>
      <c r="C980" s="1" t="str">
        <f>VLOOKUP(student_internships[[#This Row],[Student_ID]],student_data[],2,0)</f>
        <v>Information Technology</v>
      </c>
      <c r="D980" s="1" t="s">
        <v>1027</v>
      </c>
    </row>
    <row r="981" spans="1:4" x14ac:dyDescent="0.2">
      <c r="A981" s="1" t="s">
        <v>990</v>
      </c>
      <c r="B981" s="1">
        <v>0</v>
      </c>
      <c r="C981" s="1" t="str">
        <f>VLOOKUP(student_internships[[#This Row],[Student_ID]],student_data[],2,0)</f>
        <v>Electronics</v>
      </c>
      <c r="D981" s="1" t="s">
        <v>1024</v>
      </c>
    </row>
    <row r="982" spans="1:4" x14ac:dyDescent="0.2">
      <c r="A982" s="1" t="s">
        <v>991</v>
      </c>
      <c r="B982" s="1">
        <v>1</v>
      </c>
      <c r="C982" s="1" t="str">
        <f>VLOOKUP(student_internships[[#This Row],[Student_ID]],student_data[],2,0)</f>
        <v>Mechanical</v>
      </c>
      <c r="D982" s="1" t="s">
        <v>1020</v>
      </c>
    </row>
    <row r="983" spans="1:4" x14ac:dyDescent="0.2">
      <c r="A983" s="1" t="s">
        <v>992</v>
      </c>
      <c r="B983" s="1">
        <v>1</v>
      </c>
      <c r="C983" s="1" t="str">
        <f>VLOOKUP(student_internships[[#This Row],[Student_ID]],student_data[],2,0)</f>
        <v>Mechanical</v>
      </c>
      <c r="D983" s="1" t="s">
        <v>1022</v>
      </c>
    </row>
    <row r="984" spans="1:4" x14ac:dyDescent="0.2">
      <c r="A984" s="1" t="s">
        <v>993</v>
      </c>
      <c r="B984" s="1">
        <v>1</v>
      </c>
      <c r="C984" s="1" t="str">
        <f>VLOOKUP(student_internships[[#This Row],[Student_ID]],student_data[],2,0)</f>
        <v>Mechanical</v>
      </c>
      <c r="D984" s="1" t="s">
        <v>1026</v>
      </c>
    </row>
    <row r="985" spans="1:4" x14ac:dyDescent="0.2">
      <c r="A985" s="1" t="s">
        <v>994</v>
      </c>
      <c r="B985" s="1">
        <v>2</v>
      </c>
      <c r="C985" s="1" t="str">
        <f>VLOOKUP(student_internships[[#This Row],[Student_ID]],student_data[],2,0)</f>
        <v>Civil</v>
      </c>
      <c r="D985" s="1" t="s">
        <v>1023</v>
      </c>
    </row>
    <row r="986" spans="1:4" x14ac:dyDescent="0.2">
      <c r="A986" s="1" t="s">
        <v>995</v>
      </c>
      <c r="B986" s="1">
        <v>0</v>
      </c>
      <c r="C986" s="1" t="str">
        <f>VLOOKUP(student_internships[[#This Row],[Student_ID]],student_data[],2,0)</f>
        <v>Civil</v>
      </c>
      <c r="D986" s="1" t="s">
        <v>1024</v>
      </c>
    </row>
    <row r="987" spans="1:4" x14ac:dyDescent="0.2">
      <c r="A987" s="1" t="s">
        <v>996</v>
      </c>
      <c r="B987" s="1">
        <v>0</v>
      </c>
      <c r="C987" s="1" t="str">
        <f>VLOOKUP(student_internships[[#This Row],[Student_ID]],student_data[],2,0)</f>
        <v>Electronics</v>
      </c>
      <c r="D987" s="1" t="s">
        <v>1024</v>
      </c>
    </row>
    <row r="988" spans="1:4" x14ac:dyDescent="0.2">
      <c r="A988" s="1" t="s">
        <v>997</v>
      </c>
      <c r="B988" s="1">
        <v>2</v>
      </c>
      <c r="C988" s="1" t="str">
        <f>VLOOKUP(student_internships[[#This Row],[Student_ID]],student_data[],2,0)</f>
        <v>Mechanical</v>
      </c>
      <c r="D988" s="1" t="s">
        <v>1026</v>
      </c>
    </row>
    <row r="989" spans="1:4" x14ac:dyDescent="0.2">
      <c r="A989" s="1" t="s">
        <v>998</v>
      </c>
      <c r="B989" s="1">
        <v>1</v>
      </c>
      <c r="C989" s="1" t="str">
        <f>VLOOKUP(student_internships[[#This Row],[Student_ID]],student_data[],2,0)</f>
        <v>Mechanical</v>
      </c>
      <c r="D989" s="1" t="s">
        <v>1026</v>
      </c>
    </row>
    <row r="990" spans="1:4" x14ac:dyDescent="0.2">
      <c r="A990" s="1" t="s">
        <v>999</v>
      </c>
      <c r="B990" s="1">
        <v>1</v>
      </c>
      <c r="C990" s="1" t="str">
        <f>VLOOKUP(student_internships[[#This Row],[Student_ID]],student_data[],2,0)</f>
        <v>Information Technology</v>
      </c>
      <c r="D990" s="1" t="s">
        <v>1021</v>
      </c>
    </row>
    <row r="991" spans="1:4" x14ac:dyDescent="0.2">
      <c r="A991" s="1" t="s">
        <v>1000</v>
      </c>
      <c r="B991" s="1">
        <v>1</v>
      </c>
      <c r="C991" s="1" t="str">
        <f>VLOOKUP(student_internships[[#This Row],[Student_ID]],student_data[],2,0)</f>
        <v>Civil</v>
      </c>
      <c r="D991" s="1" t="s">
        <v>1027</v>
      </c>
    </row>
    <row r="992" spans="1:4" x14ac:dyDescent="0.2">
      <c r="A992" s="1" t="s">
        <v>1001</v>
      </c>
      <c r="B992" s="1">
        <v>0</v>
      </c>
      <c r="C992" s="1" t="str">
        <f>VLOOKUP(student_internships[[#This Row],[Student_ID]],student_data[],2,0)</f>
        <v>Mechanical</v>
      </c>
      <c r="D992" s="1" t="s">
        <v>1024</v>
      </c>
    </row>
    <row r="993" spans="1:4" x14ac:dyDescent="0.2">
      <c r="A993" s="1" t="s">
        <v>1002</v>
      </c>
      <c r="B993" s="1">
        <v>2</v>
      </c>
      <c r="C993" s="1" t="str">
        <f>VLOOKUP(student_internships[[#This Row],[Student_ID]],student_data[],2,0)</f>
        <v>Electronics</v>
      </c>
      <c r="D993" s="1" t="s">
        <v>1023</v>
      </c>
    </row>
    <row r="994" spans="1:4" x14ac:dyDescent="0.2">
      <c r="A994" s="1" t="s">
        <v>1003</v>
      </c>
      <c r="B994" s="1">
        <v>2</v>
      </c>
      <c r="C994" s="1" t="str">
        <f>VLOOKUP(student_internships[[#This Row],[Student_ID]],student_data[],2,0)</f>
        <v>Electronics</v>
      </c>
      <c r="D994" s="1" t="s">
        <v>1025</v>
      </c>
    </row>
    <row r="995" spans="1:4" x14ac:dyDescent="0.2">
      <c r="A995" s="1" t="s">
        <v>1004</v>
      </c>
      <c r="B995" s="1">
        <v>1</v>
      </c>
      <c r="C995" s="1" t="str">
        <f>VLOOKUP(student_internships[[#This Row],[Student_ID]],student_data[],2,0)</f>
        <v>Mechanical</v>
      </c>
      <c r="D995" s="1" t="s">
        <v>1025</v>
      </c>
    </row>
    <row r="996" spans="1:4" x14ac:dyDescent="0.2">
      <c r="A996" s="1" t="s">
        <v>1005</v>
      </c>
      <c r="B996" s="1">
        <v>0</v>
      </c>
      <c r="C996" s="1" t="str">
        <f>VLOOKUP(student_internships[[#This Row],[Student_ID]],student_data[],2,0)</f>
        <v>Civil</v>
      </c>
      <c r="D996" s="1" t="s">
        <v>1024</v>
      </c>
    </row>
    <row r="997" spans="1:4" x14ac:dyDescent="0.2">
      <c r="A997" s="1" t="s">
        <v>1006</v>
      </c>
      <c r="B997" s="1">
        <v>1</v>
      </c>
      <c r="C997" s="1" t="str">
        <f>VLOOKUP(student_internships[[#This Row],[Student_ID]],student_data[],2,0)</f>
        <v>Electronics</v>
      </c>
      <c r="D997" s="1" t="s">
        <v>1020</v>
      </c>
    </row>
    <row r="998" spans="1:4" x14ac:dyDescent="0.2">
      <c r="A998" s="1" t="s">
        <v>1007</v>
      </c>
      <c r="B998" s="1">
        <v>1</v>
      </c>
      <c r="C998" s="1" t="str">
        <f>VLOOKUP(student_internships[[#This Row],[Student_ID]],student_data[],2,0)</f>
        <v>Information Technology</v>
      </c>
      <c r="D998" s="1" t="s">
        <v>1026</v>
      </c>
    </row>
    <row r="999" spans="1:4" x14ac:dyDescent="0.2">
      <c r="A999" s="1" t="s">
        <v>1008</v>
      </c>
      <c r="B999" s="1">
        <v>0</v>
      </c>
      <c r="C999" s="1" t="str">
        <f>VLOOKUP(student_internships[[#This Row],[Student_ID]],student_data[],2,0)</f>
        <v>Electronics</v>
      </c>
      <c r="D999" s="1" t="s">
        <v>1024</v>
      </c>
    </row>
    <row r="1000" spans="1:4" x14ac:dyDescent="0.2">
      <c r="A1000" s="1" t="s">
        <v>1009</v>
      </c>
      <c r="B1000" s="1">
        <v>3</v>
      </c>
      <c r="C1000" s="1" t="str">
        <f>VLOOKUP(student_internships[[#This Row],[Student_ID]],student_data[],2,0)</f>
        <v>Computer Science</v>
      </c>
      <c r="D1000" s="1" t="s">
        <v>1021</v>
      </c>
    </row>
    <row r="1001" spans="1:4" x14ac:dyDescent="0.2">
      <c r="A1001" s="1" t="s">
        <v>1010</v>
      </c>
      <c r="B1001" s="1">
        <v>0</v>
      </c>
      <c r="C1001" s="1" t="str">
        <f>VLOOKUP(student_internships[[#This Row],[Student_ID]],student_data[],2,0)</f>
        <v>Computer Science</v>
      </c>
      <c r="D1001" s="1" t="s">
        <v>1024</v>
      </c>
    </row>
    <row r="1002" spans="1:4" x14ac:dyDescent="0.2">
      <c r="A1002" s="1" t="s">
        <v>1011</v>
      </c>
      <c r="B1002" s="1">
        <v>3</v>
      </c>
      <c r="C1002" s="1" t="str">
        <f>VLOOKUP(student_internships[[#This Row],[Student_ID]],student_data[],2,0)</f>
        <v>Civil</v>
      </c>
      <c r="D1002" s="1" t="s">
        <v>1021</v>
      </c>
    </row>
    <row r="1003" spans="1:4" x14ac:dyDescent="0.2">
      <c r="A1003" s="1" t="s">
        <v>1012</v>
      </c>
      <c r="B1003" s="1">
        <v>1</v>
      </c>
      <c r="C1003" s="1" t="str">
        <f>VLOOKUP(student_internships[[#This Row],[Student_ID]],student_data[],2,0)</f>
        <v>Mechanical</v>
      </c>
      <c r="D1003" s="1" t="s">
        <v>1025</v>
      </c>
    </row>
  </sheetData>
  <mergeCells count="1">
    <mergeCell ref="A1:D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BEDB-4DEF-D14D-923D-A49C793D1684}">
  <dimension ref="A1:E1004"/>
  <sheetViews>
    <sheetView topLeftCell="A3" workbookViewId="0">
      <selection activeCell="E23" sqref="E23"/>
    </sheetView>
  </sheetViews>
  <sheetFormatPr baseColWidth="10" defaultRowHeight="16" x14ac:dyDescent="0.2"/>
  <cols>
    <col min="1" max="1" width="16.6640625" bestFit="1" customWidth="1"/>
    <col min="2" max="2" width="20" bestFit="1" customWidth="1"/>
    <col min="3" max="3" width="23.6640625" bestFit="1" customWidth="1"/>
    <col min="4" max="4" width="15.1640625" bestFit="1" customWidth="1"/>
    <col min="5" max="5" width="19" bestFit="1" customWidth="1"/>
  </cols>
  <sheetData>
    <row r="1" spans="1:5" x14ac:dyDescent="0.2">
      <c r="A1" s="12" t="s">
        <v>1045</v>
      </c>
      <c r="B1" s="12"/>
      <c r="C1" s="12"/>
      <c r="D1" s="12"/>
      <c r="E1" s="12"/>
    </row>
    <row r="2" spans="1:5" x14ac:dyDescent="0.2">
      <c r="A2" s="12"/>
      <c r="B2" s="12"/>
      <c r="C2" s="12"/>
      <c r="D2" s="12"/>
      <c r="E2" s="12"/>
    </row>
    <row r="3" spans="1:5" ht="19" x14ac:dyDescent="0.2">
      <c r="A3" s="2" t="s">
        <v>0</v>
      </c>
      <c r="B3" s="6" t="s">
        <v>1</v>
      </c>
      <c r="C3" s="2" t="s">
        <v>1028</v>
      </c>
      <c r="D3" s="2" t="s">
        <v>1029</v>
      </c>
      <c r="E3" s="2" t="s">
        <v>1030</v>
      </c>
    </row>
    <row r="4" spans="1:5" x14ac:dyDescent="0.2">
      <c r="A4" s="3" t="s">
        <v>6</v>
      </c>
      <c r="B4" s="3" t="str">
        <f>VLOOKUP(Table5[[#This Row],[Student_ID]],student_data[#All],2,0)</f>
        <v>Civil</v>
      </c>
      <c r="C4" s="3" t="s">
        <v>1031</v>
      </c>
      <c r="D4" s="1" t="s">
        <v>1032</v>
      </c>
      <c r="E4" s="1">
        <v>5.4</v>
      </c>
    </row>
    <row r="5" spans="1:5" x14ac:dyDescent="0.2">
      <c r="A5" s="3" t="s">
        <v>9</v>
      </c>
      <c r="B5" s="3" t="str">
        <f>VLOOKUP(Table5[[#This Row],[Student_ID]],student_data[#All],2,0)</f>
        <v>Information Technology</v>
      </c>
      <c r="C5" s="3" t="s">
        <v>1033</v>
      </c>
      <c r="D5" s="1" t="s">
        <v>1034</v>
      </c>
      <c r="E5" s="1">
        <v>0</v>
      </c>
    </row>
    <row r="6" spans="1:5" x14ac:dyDescent="0.2">
      <c r="A6" s="3" t="s">
        <v>11</v>
      </c>
      <c r="B6" s="3" t="str">
        <f>VLOOKUP(Table5[[#This Row],[Student_ID]],student_data[#All],2,0)</f>
        <v>Mechanical</v>
      </c>
      <c r="C6" s="3" t="s">
        <v>1033</v>
      </c>
      <c r="D6" s="1" t="s">
        <v>1034</v>
      </c>
      <c r="E6" s="1">
        <v>0</v>
      </c>
    </row>
    <row r="7" spans="1:5" x14ac:dyDescent="0.2">
      <c r="A7" s="3" t="s">
        <v>13</v>
      </c>
      <c r="B7" s="3" t="str">
        <f>VLOOKUP(Table5[[#This Row],[Student_ID]],student_data[#All],2,0)</f>
        <v>Information Technology</v>
      </c>
      <c r="C7" s="3" t="s">
        <v>1031</v>
      </c>
      <c r="D7" s="1" t="s">
        <v>1035</v>
      </c>
      <c r="E7" s="1">
        <v>6.06</v>
      </c>
    </row>
    <row r="8" spans="1:5" x14ac:dyDescent="0.2">
      <c r="A8" s="3" t="s">
        <v>14</v>
      </c>
      <c r="B8" s="3" t="str">
        <f>VLOOKUP(Table5[[#This Row],[Student_ID]],student_data[#All],2,0)</f>
        <v>Information Technology</v>
      </c>
      <c r="C8" s="3" t="s">
        <v>1031</v>
      </c>
      <c r="D8" s="1" t="s">
        <v>1035</v>
      </c>
      <c r="E8" s="1">
        <v>5.81</v>
      </c>
    </row>
    <row r="9" spans="1:5" x14ac:dyDescent="0.2">
      <c r="A9" s="3" t="s">
        <v>15</v>
      </c>
      <c r="B9" s="3" t="str">
        <f>VLOOKUP(Table5[[#This Row],[Student_ID]],student_data[#All],2,0)</f>
        <v>Electronics</v>
      </c>
      <c r="C9" s="3" t="s">
        <v>1031</v>
      </c>
      <c r="D9" s="1" t="s">
        <v>1036</v>
      </c>
      <c r="E9" s="1">
        <v>13.94</v>
      </c>
    </row>
    <row r="10" spans="1:5" x14ac:dyDescent="0.2">
      <c r="A10" s="1" t="s">
        <v>18</v>
      </c>
      <c r="B10" s="1" t="str">
        <f>VLOOKUP(Table5[[#This Row],[Student_ID]],student_data[#All],2,0)</f>
        <v>Mechanical</v>
      </c>
      <c r="C10" s="1" t="s">
        <v>1031</v>
      </c>
      <c r="D10" s="1" t="s">
        <v>1032</v>
      </c>
      <c r="E10" s="1">
        <v>5.21</v>
      </c>
    </row>
    <row r="11" spans="1:5" x14ac:dyDescent="0.2">
      <c r="A11" s="1" t="s">
        <v>19</v>
      </c>
      <c r="B11" s="1" t="str">
        <f>VLOOKUP(Table5[[#This Row],[Student_ID]],student_data[#All],2,0)</f>
        <v>Mechanical</v>
      </c>
      <c r="C11" s="1" t="s">
        <v>1033</v>
      </c>
      <c r="D11" s="1" t="s">
        <v>1034</v>
      </c>
      <c r="E11" s="1">
        <v>0</v>
      </c>
    </row>
    <row r="12" spans="1:5" x14ac:dyDescent="0.2">
      <c r="A12" s="1" t="s">
        <v>20</v>
      </c>
      <c r="B12" s="1" t="str">
        <f>VLOOKUP(Table5[[#This Row],[Student_ID]],student_data[#All],2,0)</f>
        <v>Mechanical</v>
      </c>
      <c r="C12" s="1" t="s">
        <v>1031</v>
      </c>
      <c r="D12" s="1" t="s">
        <v>1032</v>
      </c>
      <c r="E12" s="1">
        <v>6.96</v>
      </c>
    </row>
    <row r="13" spans="1:5" x14ac:dyDescent="0.2">
      <c r="A13" s="1" t="s">
        <v>21</v>
      </c>
      <c r="B13" s="1" t="str">
        <f>VLOOKUP(Table5[[#This Row],[Student_ID]],student_data[#All],2,0)</f>
        <v>Information Technology</v>
      </c>
      <c r="C13" s="1" t="s">
        <v>1033</v>
      </c>
      <c r="D13" s="1" t="s">
        <v>1034</v>
      </c>
      <c r="E13" s="1">
        <v>0</v>
      </c>
    </row>
    <row r="14" spans="1:5" x14ac:dyDescent="0.2">
      <c r="A14" s="1" t="s">
        <v>22</v>
      </c>
      <c r="B14" s="1" t="str">
        <f>VLOOKUP(Table5[[#This Row],[Student_ID]],student_data[#All],2,0)</f>
        <v>Civil</v>
      </c>
      <c r="C14" s="1" t="s">
        <v>1031</v>
      </c>
      <c r="D14" s="1" t="s">
        <v>1037</v>
      </c>
      <c r="E14" s="1">
        <v>8.2799999999999994</v>
      </c>
    </row>
    <row r="15" spans="1:5" x14ac:dyDescent="0.2">
      <c r="A15" s="1" t="s">
        <v>23</v>
      </c>
      <c r="B15" s="1" t="str">
        <f>VLOOKUP(Table5[[#This Row],[Student_ID]],student_data[#All],2,0)</f>
        <v>Mechanical</v>
      </c>
      <c r="C15" s="1" t="s">
        <v>1033</v>
      </c>
      <c r="D15" s="1" t="s">
        <v>1034</v>
      </c>
      <c r="E15" s="1">
        <v>0</v>
      </c>
    </row>
    <row r="16" spans="1:5" x14ac:dyDescent="0.2">
      <c r="A16" s="1" t="s">
        <v>24</v>
      </c>
      <c r="B16" s="1" t="str">
        <f>VLOOKUP(Table5[[#This Row],[Student_ID]],student_data[#All],2,0)</f>
        <v>Information Technology</v>
      </c>
      <c r="C16" s="1" t="s">
        <v>1033</v>
      </c>
      <c r="D16" s="1" t="s">
        <v>1034</v>
      </c>
      <c r="E16" s="1">
        <v>0</v>
      </c>
    </row>
    <row r="17" spans="1:5" x14ac:dyDescent="0.2">
      <c r="A17" s="1" t="s">
        <v>25</v>
      </c>
      <c r="B17" s="1" t="str">
        <f>VLOOKUP(Table5[[#This Row],[Student_ID]],student_data[#All],2,0)</f>
        <v>Electronics</v>
      </c>
      <c r="C17" s="1" t="s">
        <v>1031</v>
      </c>
      <c r="D17" s="1" t="s">
        <v>1036</v>
      </c>
      <c r="E17" s="1">
        <v>14.48</v>
      </c>
    </row>
    <row r="18" spans="1:5" x14ac:dyDescent="0.2">
      <c r="A18" s="1" t="s">
        <v>26</v>
      </c>
      <c r="B18" s="1" t="str">
        <f>VLOOKUP(Table5[[#This Row],[Student_ID]],student_data[#All],2,0)</f>
        <v>Civil</v>
      </c>
      <c r="C18" s="1" t="s">
        <v>1031</v>
      </c>
      <c r="D18" s="1" t="s">
        <v>1032</v>
      </c>
      <c r="E18" s="1">
        <v>5.49</v>
      </c>
    </row>
    <row r="19" spans="1:5" x14ac:dyDescent="0.2">
      <c r="A19" s="1" t="s">
        <v>27</v>
      </c>
      <c r="B19" s="1" t="str">
        <f>VLOOKUP(Table5[[#This Row],[Student_ID]],student_data[#All],2,0)</f>
        <v>Electronics</v>
      </c>
      <c r="C19" s="1" t="s">
        <v>1031</v>
      </c>
      <c r="D19" s="1" t="s">
        <v>1038</v>
      </c>
      <c r="E19" s="1">
        <v>4.01</v>
      </c>
    </row>
    <row r="20" spans="1:5" x14ac:dyDescent="0.2">
      <c r="A20" s="1" t="s">
        <v>28</v>
      </c>
      <c r="B20" s="1" t="str">
        <f>VLOOKUP(Table5[[#This Row],[Student_ID]],student_data[#All],2,0)</f>
        <v>Civil</v>
      </c>
      <c r="C20" s="1" t="s">
        <v>1033</v>
      </c>
      <c r="D20" s="1" t="s">
        <v>1034</v>
      </c>
      <c r="E20" s="1">
        <v>0</v>
      </c>
    </row>
    <row r="21" spans="1:5" x14ac:dyDescent="0.2">
      <c r="A21" s="1" t="s">
        <v>29</v>
      </c>
      <c r="B21" s="1" t="str">
        <f>VLOOKUP(Table5[[#This Row],[Student_ID]],student_data[#All],2,0)</f>
        <v>Information Technology</v>
      </c>
      <c r="C21" s="1" t="s">
        <v>1031</v>
      </c>
      <c r="D21" s="1" t="s">
        <v>1038</v>
      </c>
      <c r="E21" s="1">
        <v>5.18</v>
      </c>
    </row>
    <row r="22" spans="1:5" x14ac:dyDescent="0.2">
      <c r="A22" s="1" t="s">
        <v>30</v>
      </c>
      <c r="B22" s="1" t="str">
        <f>VLOOKUP(Table5[[#This Row],[Student_ID]],student_data[#All],2,0)</f>
        <v>Computer Science</v>
      </c>
      <c r="C22" s="1" t="s">
        <v>1031</v>
      </c>
      <c r="D22" s="1" t="s">
        <v>1039</v>
      </c>
      <c r="E22" s="1">
        <v>4.3</v>
      </c>
    </row>
    <row r="23" spans="1:5" x14ac:dyDescent="0.2">
      <c r="A23" s="1" t="s">
        <v>32</v>
      </c>
      <c r="B23" s="1" t="str">
        <f>VLOOKUP(Table5[[#This Row],[Student_ID]],student_data[#All],2,0)</f>
        <v>Civil</v>
      </c>
      <c r="C23" s="1" t="s">
        <v>1031</v>
      </c>
      <c r="D23" s="1" t="s">
        <v>1038</v>
      </c>
      <c r="E23" s="1">
        <v>4.33</v>
      </c>
    </row>
    <row r="24" spans="1:5" x14ac:dyDescent="0.2">
      <c r="A24" s="1" t="s">
        <v>33</v>
      </c>
      <c r="B24" s="1" t="str">
        <f>VLOOKUP(Table5[[#This Row],[Student_ID]],student_data[#All],2,0)</f>
        <v>Electronics</v>
      </c>
      <c r="C24" s="1" t="s">
        <v>1031</v>
      </c>
      <c r="D24" s="1" t="s">
        <v>1032</v>
      </c>
      <c r="E24" s="1">
        <v>6.86</v>
      </c>
    </row>
    <row r="25" spans="1:5" x14ac:dyDescent="0.2">
      <c r="A25" s="1" t="s">
        <v>34</v>
      </c>
      <c r="B25" s="1" t="str">
        <f>VLOOKUP(Table5[[#This Row],[Student_ID]],student_data[#All],2,0)</f>
        <v>Information Technology</v>
      </c>
      <c r="C25" s="1" t="s">
        <v>1031</v>
      </c>
      <c r="D25" s="1" t="s">
        <v>1035</v>
      </c>
      <c r="E25" s="1">
        <v>5.08</v>
      </c>
    </row>
    <row r="26" spans="1:5" x14ac:dyDescent="0.2">
      <c r="A26" s="1" t="s">
        <v>35</v>
      </c>
      <c r="B26" s="1" t="str">
        <f>VLOOKUP(Table5[[#This Row],[Student_ID]],student_data[#All],2,0)</f>
        <v>Civil</v>
      </c>
      <c r="C26" s="1" t="s">
        <v>1031</v>
      </c>
      <c r="D26" s="1" t="s">
        <v>1038</v>
      </c>
      <c r="E26" s="1">
        <v>4.41</v>
      </c>
    </row>
    <row r="27" spans="1:5" x14ac:dyDescent="0.2">
      <c r="A27" s="1" t="s">
        <v>36</v>
      </c>
      <c r="B27" s="1" t="str">
        <f>VLOOKUP(Table5[[#This Row],[Student_ID]],student_data[#All],2,0)</f>
        <v>Computer Science</v>
      </c>
      <c r="C27" s="1" t="s">
        <v>1031</v>
      </c>
      <c r="D27" s="1" t="s">
        <v>1038</v>
      </c>
      <c r="E27" s="1">
        <v>4.67</v>
      </c>
    </row>
    <row r="28" spans="1:5" x14ac:dyDescent="0.2">
      <c r="A28" s="1" t="s">
        <v>37</v>
      </c>
      <c r="B28" s="1" t="str">
        <f>VLOOKUP(Table5[[#This Row],[Student_ID]],student_data[#All],2,0)</f>
        <v>Computer Science</v>
      </c>
      <c r="C28" s="1" t="s">
        <v>1031</v>
      </c>
      <c r="D28" s="1" t="s">
        <v>1038</v>
      </c>
      <c r="E28" s="1">
        <v>5.33</v>
      </c>
    </row>
    <row r="29" spans="1:5" x14ac:dyDescent="0.2">
      <c r="A29" s="1" t="s">
        <v>38</v>
      </c>
      <c r="B29" s="1" t="str">
        <f>VLOOKUP(Table5[[#This Row],[Student_ID]],student_data[#All],2,0)</f>
        <v>Mechanical</v>
      </c>
      <c r="C29" s="1" t="s">
        <v>1031</v>
      </c>
      <c r="D29" s="1" t="s">
        <v>1038</v>
      </c>
      <c r="E29" s="1">
        <v>6.99</v>
      </c>
    </row>
    <row r="30" spans="1:5" x14ac:dyDescent="0.2">
      <c r="A30" s="1" t="s">
        <v>39</v>
      </c>
      <c r="B30" s="1" t="str">
        <f>VLOOKUP(Table5[[#This Row],[Student_ID]],student_data[#All],2,0)</f>
        <v>Mechanical</v>
      </c>
      <c r="C30" s="1" t="s">
        <v>1031</v>
      </c>
      <c r="D30" s="1" t="s">
        <v>1032</v>
      </c>
      <c r="E30" s="1">
        <v>4.1399999999999997</v>
      </c>
    </row>
    <row r="31" spans="1:5" x14ac:dyDescent="0.2">
      <c r="A31" s="1" t="s">
        <v>40</v>
      </c>
      <c r="B31" s="1" t="str">
        <f>VLOOKUP(Table5[[#This Row],[Student_ID]],student_data[#All],2,0)</f>
        <v>Electronics</v>
      </c>
      <c r="C31" s="1" t="s">
        <v>1031</v>
      </c>
      <c r="D31" s="1" t="s">
        <v>1036</v>
      </c>
      <c r="E31" s="1">
        <v>9.31</v>
      </c>
    </row>
    <row r="32" spans="1:5" x14ac:dyDescent="0.2">
      <c r="A32" s="1" t="s">
        <v>41</v>
      </c>
      <c r="B32" s="1" t="str">
        <f>VLOOKUP(Table5[[#This Row],[Student_ID]],student_data[#All],2,0)</f>
        <v>Civil</v>
      </c>
      <c r="C32" s="1" t="s">
        <v>1031</v>
      </c>
      <c r="D32" s="1" t="s">
        <v>1038</v>
      </c>
      <c r="E32" s="1">
        <v>4.5</v>
      </c>
    </row>
    <row r="33" spans="1:5" x14ac:dyDescent="0.2">
      <c r="A33" s="1" t="s">
        <v>42</v>
      </c>
      <c r="B33" s="1" t="str">
        <f>VLOOKUP(Table5[[#This Row],[Student_ID]],student_data[#All],2,0)</f>
        <v>Civil</v>
      </c>
      <c r="C33" s="1" t="s">
        <v>1033</v>
      </c>
      <c r="D33" s="1" t="s">
        <v>1034</v>
      </c>
      <c r="E33" s="1">
        <v>0</v>
      </c>
    </row>
    <row r="34" spans="1:5" x14ac:dyDescent="0.2">
      <c r="A34" s="1" t="s">
        <v>43</v>
      </c>
      <c r="B34" s="1" t="str">
        <f>VLOOKUP(Table5[[#This Row],[Student_ID]],student_data[#All],2,0)</f>
        <v>Mechanical</v>
      </c>
      <c r="C34" s="1" t="s">
        <v>1031</v>
      </c>
      <c r="D34" s="1" t="s">
        <v>1038</v>
      </c>
      <c r="E34" s="1">
        <v>4.88</v>
      </c>
    </row>
    <row r="35" spans="1:5" x14ac:dyDescent="0.2">
      <c r="A35" s="1" t="s">
        <v>44</v>
      </c>
      <c r="B35" s="1" t="str">
        <f>VLOOKUP(Table5[[#This Row],[Student_ID]],student_data[#All],2,0)</f>
        <v>Civil</v>
      </c>
      <c r="C35" s="1" t="s">
        <v>1031</v>
      </c>
      <c r="D35" s="1" t="s">
        <v>1037</v>
      </c>
      <c r="E35" s="1">
        <v>11.39</v>
      </c>
    </row>
    <row r="36" spans="1:5" x14ac:dyDescent="0.2">
      <c r="A36" s="1" t="s">
        <v>45</v>
      </c>
      <c r="B36" s="1" t="str">
        <f>VLOOKUP(Table5[[#This Row],[Student_ID]],student_data[#All],2,0)</f>
        <v>Civil</v>
      </c>
      <c r="C36" s="1" t="s">
        <v>1031</v>
      </c>
      <c r="D36" s="1" t="s">
        <v>1032</v>
      </c>
      <c r="E36" s="1">
        <v>6.17</v>
      </c>
    </row>
    <row r="37" spans="1:5" x14ac:dyDescent="0.2">
      <c r="A37" s="1" t="s">
        <v>46</v>
      </c>
      <c r="B37" s="1" t="str">
        <f>VLOOKUP(Table5[[#This Row],[Student_ID]],student_data[#All],2,0)</f>
        <v>Computer Science</v>
      </c>
      <c r="C37" s="1" t="s">
        <v>1031</v>
      </c>
      <c r="D37" s="1" t="s">
        <v>1032</v>
      </c>
      <c r="E37" s="1">
        <v>5.13</v>
      </c>
    </row>
    <row r="38" spans="1:5" x14ac:dyDescent="0.2">
      <c r="A38" s="1" t="s">
        <v>47</v>
      </c>
      <c r="B38" s="1" t="str">
        <f>VLOOKUP(Table5[[#This Row],[Student_ID]],student_data[#All],2,0)</f>
        <v>Mechanical</v>
      </c>
      <c r="C38" s="1" t="s">
        <v>1031</v>
      </c>
      <c r="D38" s="1" t="s">
        <v>1032</v>
      </c>
      <c r="E38" s="1">
        <v>4.37</v>
      </c>
    </row>
    <row r="39" spans="1:5" x14ac:dyDescent="0.2">
      <c r="A39" s="1" t="s">
        <v>48</v>
      </c>
      <c r="B39" s="1" t="str">
        <f>VLOOKUP(Table5[[#This Row],[Student_ID]],student_data[#All],2,0)</f>
        <v>Information Technology</v>
      </c>
      <c r="C39" s="1" t="s">
        <v>1031</v>
      </c>
      <c r="D39" s="1" t="s">
        <v>1038</v>
      </c>
      <c r="E39" s="1">
        <v>4.3600000000000003</v>
      </c>
    </row>
    <row r="40" spans="1:5" x14ac:dyDescent="0.2">
      <c r="A40" s="1" t="s">
        <v>49</v>
      </c>
      <c r="B40" s="1" t="str">
        <f>VLOOKUP(Table5[[#This Row],[Student_ID]],student_data[#All],2,0)</f>
        <v>Mechanical</v>
      </c>
      <c r="C40" s="1" t="s">
        <v>1033</v>
      </c>
      <c r="D40" s="1" t="s">
        <v>1034</v>
      </c>
      <c r="E40" s="1">
        <v>0</v>
      </c>
    </row>
    <row r="41" spans="1:5" x14ac:dyDescent="0.2">
      <c r="A41" s="1" t="s">
        <v>50</v>
      </c>
      <c r="B41" s="1" t="str">
        <f>VLOOKUP(Table5[[#This Row],[Student_ID]],student_data[#All],2,0)</f>
        <v>Information Technology</v>
      </c>
      <c r="C41" s="1" t="s">
        <v>1031</v>
      </c>
      <c r="D41" s="1" t="s">
        <v>1038</v>
      </c>
      <c r="E41" s="1">
        <v>4.5599999999999996</v>
      </c>
    </row>
    <row r="42" spans="1:5" x14ac:dyDescent="0.2">
      <c r="A42" s="1" t="s">
        <v>51</v>
      </c>
      <c r="B42" s="1" t="str">
        <f>VLOOKUP(Table5[[#This Row],[Student_ID]],student_data[#All],2,0)</f>
        <v>Computer Science</v>
      </c>
      <c r="C42" s="1" t="s">
        <v>1031</v>
      </c>
      <c r="D42" s="1" t="s">
        <v>1040</v>
      </c>
      <c r="E42" s="1">
        <v>4.5599999999999996</v>
      </c>
    </row>
    <row r="43" spans="1:5" x14ac:dyDescent="0.2">
      <c r="A43" s="1" t="s">
        <v>52</v>
      </c>
      <c r="B43" s="1" t="str">
        <f>VLOOKUP(Table5[[#This Row],[Student_ID]],student_data[#All],2,0)</f>
        <v>Electronics</v>
      </c>
      <c r="C43" s="1" t="s">
        <v>1031</v>
      </c>
      <c r="D43" s="1" t="s">
        <v>1035</v>
      </c>
      <c r="E43" s="1">
        <v>3.56</v>
      </c>
    </row>
    <row r="44" spans="1:5" x14ac:dyDescent="0.2">
      <c r="A44" s="1" t="s">
        <v>53</v>
      </c>
      <c r="B44" s="1" t="str">
        <f>VLOOKUP(Table5[[#This Row],[Student_ID]],student_data[#All],2,0)</f>
        <v>Civil</v>
      </c>
      <c r="C44" s="1" t="s">
        <v>1033</v>
      </c>
      <c r="D44" s="1" t="s">
        <v>1034</v>
      </c>
      <c r="E44" s="1">
        <v>0</v>
      </c>
    </row>
    <row r="45" spans="1:5" x14ac:dyDescent="0.2">
      <c r="A45" s="1" t="s">
        <v>54</v>
      </c>
      <c r="B45" s="1" t="str">
        <f>VLOOKUP(Table5[[#This Row],[Student_ID]],student_data[#All],2,0)</f>
        <v>Computer Science</v>
      </c>
      <c r="C45" s="1" t="s">
        <v>1031</v>
      </c>
      <c r="D45" s="1" t="s">
        <v>1035</v>
      </c>
      <c r="E45" s="1">
        <v>4.53</v>
      </c>
    </row>
    <row r="46" spans="1:5" x14ac:dyDescent="0.2">
      <c r="A46" s="1" t="s">
        <v>55</v>
      </c>
      <c r="B46" s="1" t="str">
        <f>VLOOKUP(Table5[[#This Row],[Student_ID]],student_data[#All],2,0)</f>
        <v>Civil</v>
      </c>
      <c r="C46" s="1" t="s">
        <v>1031</v>
      </c>
      <c r="D46" s="1" t="s">
        <v>1032</v>
      </c>
      <c r="E46" s="1">
        <v>4.68</v>
      </c>
    </row>
    <row r="47" spans="1:5" x14ac:dyDescent="0.2">
      <c r="A47" s="1" t="s">
        <v>56</v>
      </c>
      <c r="B47" s="1" t="str">
        <f>VLOOKUP(Table5[[#This Row],[Student_ID]],student_data[#All],2,0)</f>
        <v>Electronics</v>
      </c>
      <c r="C47" s="1" t="s">
        <v>1031</v>
      </c>
      <c r="D47" s="1" t="s">
        <v>1041</v>
      </c>
      <c r="E47" s="1">
        <v>36.56</v>
      </c>
    </row>
    <row r="48" spans="1:5" x14ac:dyDescent="0.2">
      <c r="A48" s="1" t="s">
        <v>57</v>
      </c>
      <c r="B48" s="1" t="str">
        <f>VLOOKUP(Table5[[#This Row],[Student_ID]],student_data[#All],2,0)</f>
        <v>Electronics</v>
      </c>
      <c r="C48" s="1" t="s">
        <v>1031</v>
      </c>
      <c r="D48" s="1" t="s">
        <v>1039</v>
      </c>
      <c r="E48" s="1">
        <v>4.1900000000000004</v>
      </c>
    </row>
    <row r="49" spans="1:5" x14ac:dyDescent="0.2">
      <c r="A49" s="1" t="s">
        <v>58</v>
      </c>
      <c r="B49" s="1" t="str">
        <f>VLOOKUP(Table5[[#This Row],[Student_ID]],student_data[#All],2,0)</f>
        <v>Computer Science</v>
      </c>
      <c r="C49" s="1" t="s">
        <v>1033</v>
      </c>
      <c r="D49" s="1" t="s">
        <v>1034</v>
      </c>
      <c r="E49" s="1">
        <v>0</v>
      </c>
    </row>
    <row r="50" spans="1:5" x14ac:dyDescent="0.2">
      <c r="A50" s="1" t="s">
        <v>59</v>
      </c>
      <c r="B50" s="1" t="str">
        <f>VLOOKUP(Table5[[#This Row],[Student_ID]],student_data[#All],2,0)</f>
        <v>Electronics</v>
      </c>
      <c r="C50" s="1" t="s">
        <v>1031</v>
      </c>
      <c r="D50" s="1" t="s">
        <v>1032</v>
      </c>
      <c r="E50" s="1">
        <v>6.71</v>
      </c>
    </row>
    <row r="51" spans="1:5" x14ac:dyDescent="0.2">
      <c r="A51" s="1" t="s">
        <v>60</v>
      </c>
      <c r="B51" s="1" t="str">
        <f>VLOOKUP(Table5[[#This Row],[Student_ID]],student_data[#All],2,0)</f>
        <v>Information Technology</v>
      </c>
      <c r="C51" s="1" t="s">
        <v>1033</v>
      </c>
      <c r="D51" s="1" t="s">
        <v>1034</v>
      </c>
      <c r="E51" s="1">
        <v>0</v>
      </c>
    </row>
    <row r="52" spans="1:5" x14ac:dyDescent="0.2">
      <c r="A52" s="1" t="s">
        <v>61</v>
      </c>
      <c r="B52" s="1" t="str">
        <f>VLOOKUP(Table5[[#This Row],[Student_ID]],student_data[#All],2,0)</f>
        <v>Electronics</v>
      </c>
      <c r="C52" s="1" t="s">
        <v>1033</v>
      </c>
      <c r="D52" s="1" t="s">
        <v>1034</v>
      </c>
      <c r="E52" s="1">
        <v>0</v>
      </c>
    </row>
    <row r="53" spans="1:5" x14ac:dyDescent="0.2">
      <c r="A53" s="1" t="s">
        <v>62</v>
      </c>
      <c r="B53" s="1" t="str">
        <f>VLOOKUP(Table5[[#This Row],[Student_ID]],student_data[#All],2,0)</f>
        <v>Civil</v>
      </c>
      <c r="C53" s="1" t="s">
        <v>1031</v>
      </c>
      <c r="D53" s="1" t="s">
        <v>1040</v>
      </c>
      <c r="E53" s="1">
        <v>4.24</v>
      </c>
    </row>
    <row r="54" spans="1:5" x14ac:dyDescent="0.2">
      <c r="A54" s="1" t="s">
        <v>63</v>
      </c>
      <c r="B54" s="1" t="str">
        <f>VLOOKUP(Table5[[#This Row],[Student_ID]],student_data[#All],2,0)</f>
        <v>Civil</v>
      </c>
      <c r="C54" s="1" t="s">
        <v>1031</v>
      </c>
      <c r="D54" s="1" t="s">
        <v>1035</v>
      </c>
      <c r="E54" s="1">
        <v>4.09</v>
      </c>
    </row>
    <row r="55" spans="1:5" x14ac:dyDescent="0.2">
      <c r="A55" s="1" t="s">
        <v>64</v>
      </c>
      <c r="B55" s="1" t="str">
        <f>VLOOKUP(Table5[[#This Row],[Student_ID]],student_data[#All],2,0)</f>
        <v>Civil</v>
      </c>
      <c r="C55" s="1" t="s">
        <v>1031</v>
      </c>
      <c r="D55" s="1" t="s">
        <v>1032</v>
      </c>
      <c r="E55" s="1">
        <v>3.95</v>
      </c>
    </row>
    <row r="56" spans="1:5" x14ac:dyDescent="0.2">
      <c r="A56" s="1" t="s">
        <v>65</v>
      </c>
      <c r="B56" s="1" t="str">
        <f>VLOOKUP(Table5[[#This Row],[Student_ID]],student_data[#All],2,0)</f>
        <v>Civil</v>
      </c>
      <c r="C56" s="1" t="s">
        <v>1031</v>
      </c>
      <c r="D56" s="1" t="s">
        <v>1032</v>
      </c>
      <c r="E56" s="1">
        <v>4.16</v>
      </c>
    </row>
    <row r="57" spans="1:5" x14ac:dyDescent="0.2">
      <c r="A57" s="1" t="s">
        <v>66</v>
      </c>
      <c r="B57" s="1" t="str">
        <f>VLOOKUP(Table5[[#This Row],[Student_ID]],student_data[#All],2,0)</f>
        <v>Information Technology</v>
      </c>
      <c r="C57" s="1" t="s">
        <v>1031</v>
      </c>
      <c r="D57" s="1" t="s">
        <v>1038</v>
      </c>
      <c r="E57" s="1">
        <v>4.22</v>
      </c>
    </row>
    <row r="58" spans="1:5" x14ac:dyDescent="0.2">
      <c r="A58" s="1" t="s">
        <v>67</v>
      </c>
      <c r="B58" s="1" t="str">
        <f>VLOOKUP(Table5[[#This Row],[Student_ID]],student_data[#All],2,0)</f>
        <v>Mechanical</v>
      </c>
      <c r="C58" s="1" t="s">
        <v>1031</v>
      </c>
      <c r="D58" s="1" t="s">
        <v>1036</v>
      </c>
      <c r="E58" s="1">
        <v>9.2200000000000006</v>
      </c>
    </row>
    <row r="59" spans="1:5" x14ac:dyDescent="0.2">
      <c r="A59" s="1" t="s">
        <v>68</v>
      </c>
      <c r="B59" s="1" t="str">
        <f>VLOOKUP(Table5[[#This Row],[Student_ID]],student_data[#All],2,0)</f>
        <v>Computer Science</v>
      </c>
      <c r="C59" s="1" t="s">
        <v>1031</v>
      </c>
      <c r="D59" s="1" t="s">
        <v>1032</v>
      </c>
      <c r="E59" s="1">
        <v>5.26</v>
      </c>
    </row>
    <row r="60" spans="1:5" x14ac:dyDescent="0.2">
      <c r="A60" s="1" t="s">
        <v>69</v>
      </c>
      <c r="B60" s="1" t="str">
        <f>VLOOKUP(Table5[[#This Row],[Student_ID]],student_data[#All],2,0)</f>
        <v>Civil</v>
      </c>
      <c r="C60" s="1" t="s">
        <v>1031</v>
      </c>
      <c r="D60" s="1" t="s">
        <v>1032</v>
      </c>
      <c r="E60" s="1">
        <v>5.85</v>
      </c>
    </row>
    <row r="61" spans="1:5" x14ac:dyDescent="0.2">
      <c r="A61" s="1" t="s">
        <v>70</v>
      </c>
      <c r="B61" s="1" t="str">
        <f>VLOOKUP(Table5[[#This Row],[Student_ID]],student_data[#All],2,0)</f>
        <v>Electronics</v>
      </c>
      <c r="C61" s="1" t="s">
        <v>1031</v>
      </c>
      <c r="D61" s="1" t="s">
        <v>1036</v>
      </c>
      <c r="E61" s="1">
        <v>10.63</v>
      </c>
    </row>
    <row r="62" spans="1:5" x14ac:dyDescent="0.2">
      <c r="A62" s="1" t="s">
        <v>71</v>
      </c>
      <c r="B62" s="1" t="str">
        <f>VLOOKUP(Table5[[#This Row],[Student_ID]],student_data[#All],2,0)</f>
        <v>Civil</v>
      </c>
      <c r="C62" s="1" t="s">
        <v>1031</v>
      </c>
      <c r="D62" s="1" t="s">
        <v>1032</v>
      </c>
      <c r="E62" s="1">
        <v>6.34</v>
      </c>
    </row>
    <row r="63" spans="1:5" x14ac:dyDescent="0.2">
      <c r="A63" s="1" t="s">
        <v>72</v>
      </c>
      <c r="B63" s="1" t="str">
        <f>VLOOKUP(Table5[[#This Row],[Student_ID]],student_data[#All],2,0)</f>
        <v>Electronics</v>
      </c>
      <c r="C63" s="1" t="s">
        <v>1033</v>
      </c>
      <c r="D63" s="1" t="s">
        <v>1034</v>
      </c>
      <c r="E63" s="1">
        <v>0</v>
      </c>
    </row>
    <row r="64" spans="1:5" x14ac:dyDescent="0.2">
      <c r="A64" s="1" t="s">
        <v>73</v>
      </c>
      <c r="B64" s="1" t="str">
        <f>VLOOKUP(Table5[[#This Row],[Student_ID]],student_data[#All],2,0)</f>
        <v>Electronics</v>
      </c>
      <c r="C64" s="1" t="s">
        <v>1031</v>
      </c>
      <c r="D64" s="1" t="s">
        <v>1035</v>
      </c>
      <c r="E64" s="1">
        <v>4.72</v>
      </c>
    </row>
    <row r="65" spans="1:5" x14ac:dyDescent="0.2">
      <c r="A65" s="1" t="s">
        <v>74</v>
      </c>
      <c r="B65" s="1" t="str">
        <f>VLOOKUP(Table5[[#This Row],[Student_ID]],student_data[#All],2,0)</f>
        <v>Civil</v>
      </c>
      <c r="C65" s="1" t="s">
        <v>1033</v>
      </c>
      <c r="D65" s="1" t="s">
        <v>1034</v>
      </c>
      <c r="E65" s="1">
        <v>0</v>
      </c>
    </row>
    <row r="66" spans="1:5" x14ac:dyDescent="0.2">
      <c r="A66" s="1" t="s">
        <v>75</v>
      </c>
      <c r="B66" s="1" t="str">
        <f>VLOOKUP(Table5[[#This Row],[Student_ID]],student_data[#All],2,0)</f>
        <v>Information Technology</v>
      </c>
      <c r="C66" s="1" t="s">
        <v>1031</v>
      </c>
      <c r="D66" s="1" t="s">
        <v>1032</v>
      </c>
      <c r="E66" s="1">
        <v>6.15</v>
      </c>
    </row>
    <row r="67" spans="1:5" x14ac:dyDescent="0.2">
      <c r="A67" s="1" t="s">
        <v>76</v>
      </c>
      <c r="B67" s="1" t="str">
        <f>VLOOKUP(Table5[[#This Row],[Student_ID]],student_data[#All],2,0)</f>
        <v>Electronics</v>
      </c>
      <c r="C67" s="1" t="s">
        <v>1031</v>
      </c>
      <c r="D67" s="1" t="s">
        <v>1039</v>
      </c>
      <c r="E67" s="1">
        <v>5.43</v>
      </c>
    </row>
    <row r="68" spans="1:5" x14ac:dyDescent="0.2">
      <c r="A68" s="1" t="s">
        <v>77</v>
      </c>
      <c r="B68" s="1" t="str">
        <f>VLOOKUP(Table5[[#This Row],[Student_ID]],student_data[#All],2,0)</f>
        <v>Electronics</v>
      </c>
      <c r="C68" s="1" t="s">
        <v>1033</v>
      </c>
      <c r="D68" s="1" t="s">
        <v>1034</v>
      </c>
      <c r="E68" s="1">
        <v>0</v>
      </c>
    </row>
    <row r="69" spans="1:5" x14ac:dyDescent="0.2">
      <c r="A69" s="1" t="s">
        <v>78</v>
      </c>
      <c r="B69" s="1" t="str">
        <f>VLOOKUP(Table5[[#This Row],[Student_ID]],student_data[#All],2,0)</f>
        <v>Civil</v>
      </c>
      <c r="C69" s="1" t="s">
        <v>1031</v>
      </c>
      <c r="D69" s="1" t="s">
        <v>1039</v>
      </c>
      <c r="E69" s="1">
        <v>5.15</v>
      </c>
    </row>
    <row r="70" spans="1:5" x14ac:dyDescent="0.2">
      <c r="A70" s="1" t="s">
        <v>79</v>
      </c>
      <c r="B70" s="1" t="str">
        <f>VLOOKUP(Table5[[#This Row],[Student_ID]],student_data[#All],2,0)</f>
        <v>Electronics</v>
      </c>
      <c r="C70" s="1" t="s">
        <v>1031</v>
      </c>
      <c r="D70" s="1" t="s">
        <v>1035</v>
      </c>
      <c r="E70" s="1">
        <v>6.03</v>
      </c>
    </row>
    <row r="71" spans="1:5" x14ac:dyDescent="0.2">
      <c r="A71" s="1" t="s">
        <v>80</v>
      </c>
      <c r="B71" s="1" t="str">
        <f>VLOOKUP(Table5[[#This Row],[Student_ID]],student_data[#All],2,0)</f>
        <v>Electronics</v>
      </c>
      <c r="C71" s="1" t="s">
        <v>1031</v>
      </c>
      <c r="D71" s="1" t="s">
        <v>1036</v>
      </c>
      <c r="E71" s="1">
        <v>8.4700000000000006</v>
      </c>
    </row>
    <row r="72" spans="1:5" x14ac:dyDescent="0.2">
      <c r="A72" s="1" t="s">
        <v>81</v>
      </c>
      <c r="B72" s="1" t="str">
        <f>VLOOKUP(Table5[[#This Row],[Student_ID]],student_data[#All],2,0)</f>
        <v>Civil</v>
      </c>
      <c r="C72" s="1" t="s">
        <v>1031</v>
      </c>
      <c r="D72" s="1" t="s">
        <v>1036</v>
      </c>
      <c r="E72" s="1">
        <v>8.2200000000000006</v>
      </c>
    </row>
    <row r="73" spans="1:5" x14ac:dyDescent="0.2">
      <c r="A73" s="1" t="s">
        <v>82</v>
      </c>
      <c r="B73" s="1" t="str">
        <f>VLOOKUP(Table5[[#This Row],[Student_ID]],student_data[#All],2,0)</f>
        <v>Civil</v>
      </c>
      <c r="C73" s="1" t="s">
        <v>1031</v>
      </c>
      <c r="D73" s="1" t="s">
        <v>1035</v>
      </c>
      <c r="E73" s="1">
        <v>4.96</v>
      </c>
    </row>
    <row r="74" spans="1:5" x14ac:dyDescent="0.2">
      <c r="A74" s="1" t="s">
        <v>83</v>
      </c>
      <c r="B74" s="1" t="str">
        <f>VLOOKUP(Table5[[#This Row],[Student_ID]],student_data[#All],2,0)</f>
        <v>Computer Science</v>
      </c>
      <c r="C74" s="1" t="s">
        <v>1033</v>
      </c>
      <c r="D74" s="1" t="s">
        <v>1034</v>
      </c>
      <c r="E74" s="1">
        <v>0</v>
      </c>
    </row>
    <row r="75" spans="1:5" x14ac:dyDescent="0.2">
      <c r="A75" s="1" t="s">
        <v>84</v>
      </c>
      <c r="B75" s="1" t="str">
        <f>VLOOKUP(Table5[[#This Row],[Student_ID]],student_data[#All],2,0)</f>
        <v>Information Technology</v>
      </c>
      <c r="C75" s="1" t="s">
        <v>1031</v>
      </c>
      <c r="D75" s="1" t="s">
        <v>1039</v>
      </c>
      <c r="E75" s="1">
        <v>4.8600000000000003</v>
      </c>
    </row>
    <row r="76" spans="1:5" x14ac:dyDescent="0.2">
      <c r="A76" s="1" t="s">
        <v>85</v>
      </c>
      <c r="B76" s="1" t="str">
        <f>VLOOKUP(Table5[[#This Row],[Student_ID]],student_data[#All],2,0)</f>
        <v>Information Technology</v>
      </c>
      <c r="C76" s="1" t="s">
        <v>1033</v>
      </c>
      <c r="D76" s="1" t="s">
        <v>1034</v>
      </c>
      <c r="E76" s="1">
        <v>0</v>
      </c>
    </row>
    <row r="77" spans="1:5" x14ac:dyDescent="0.2">
      <c r="A77" s="1" t="s">
        <v>86</v>
      </c>
      <c r="B77" s="1" t="str">
        <f>VLOOKUP(Table5[[#This Row],[Student_ID]],student_data[#All],2,0)</f>
        <v>Electronics</v>
      </c>
      <c r="C77" s="1" t="s">
        <v>1031</v>
      </c>
      <c r="D77" s="1" t="s">
        <v>1032</v>
      </c>
      <c r="E77" s="1">
        <v>4.51</v>
      </c>
    </row>
    <row r="78" spans="1:5" x14ac:dyDescent="0.2">
      <c r="A78" s="1" t="s">
        <v>87</v>
      </c>
      <c r="B78" s="1" t="str">
        <f>VLOOKUP(Table5[[#This Row],[Student_ID]],student_data[#All],2,0)</f>
        <v>Information Technology</v>
      </c>
      <c r="C78" s="1" t="s">
        <v>1031</v>
      </c>
      <c r="D78" s="1" t="s">
        <v>1032</v>
      </c>
      <c r="E78" s="1">
        <v>5.49</v>
      </c>
    </row>
    <row r="79" spans="1:5" x14ac:dyDescent="0.2">
      <c r="A79" s="1" t="s">
        <v>88</v>
      </c>
      <c r="B79" s="1" t="str">
        <f>VLOOKUP(Table5[[#This Row],[Student_ID]],student_data[#All],2,0)</f>
        <v>Electronics</v>
      </c>
      <c r="C79" s="1" t="s">
        <v>1031</v>
      </c>
      <c r="D79" s="1" t="s">
        <v>1036</v>
      </c>
      <c r="E79" s="1">
        <v>13.79</v>
      </c>
    </row>
    <row r="80" spans="1:5" x14ac:dyDescent="0.2">
      <c r="A80" s="1" t="s">
        <v>89</v>
      </c>
      <c r="B80" s="1" t="str">
        <f>VLOOKUP(Table5[[#This Row],[Student_ID]],student_data[#All],2,0)</f>
        <v>Computer Science</v>
      </c>
      <c r="C80" s="1" t="s">
        <v>1031</v>
      </c>
      <c r="D80" s="1" t="s">
        <v>1039</v>
      </c>
      <c r="E80" s="1">
        <v>6.92</v>
      </c>
    </row>
    <row r="81" spans="1:5" x14ac:dyDescent="0.2">
      <c r="A81" s="1" t="s">
        <v>90</v>
      </c>
      <c r="B81" s="1" t="str">
        <f>VLOOKUP(Table5[[#This Row],[Student_ID]],student_data[#All],2,0)</f>
        <v>Civil</v>
      </c>
      <c r="C81" s="1" t="s">
        <v>1031</v>
      </c>
      <c r="D81" s="1" t="s">
        <v>1040</v>
      </c>
      <c r="E81" s="1">
        <v>4.59</v>
      </c>
    </row>
    <row r="82" spans="1:5" x14ac:dyDescent="0.2">
      <c r="A82" s="1" t="s">
        <v>91</v>
      </c>
      <c r="B82" s="1" t="str">
        <f>VLOOKUP(Table5[[#This Row],[Student_ID]],student_data[#All],2,0)</f>
        <v>Civil</v>
      </c>
      <c r="C82" s="1" t="s">
        <v>1033</v>
      </c>
      <c r="D82" s="1" t="s">
        <v>1034</v>
      </c>
      <c r="E82" s="1">
        <v>0</v>
      </c>
    </row>
    <row r="83" spans="1:5" x14ac:dyDescent="0.2">
      <c r="A83" s="1" t="s">
        <v>92</v>
      </c>
      <c r="B83" s="1" t="str">
        <f>VLOOKUP(Table5[[#This Row],[Student_ID]],student_data[#All],2,0)</f>
        <v>Civil</v>
      </c>
      <c r="C83" s="1" t="s">
        <v>1031</v>
      </c>
      <c r="D83" s="1" t="s">
        <v>1037</v>
      </c>
      <c r="E83" s="1">
        <v>11.23</v>
      </c>
    </row>
    <row r="84" spans="1:5" x14ac:dyDescent="0.2">
      <c r="A84" s="1" t="s">
        <v>93</v>
      </c>
      <c r="B84" s="1" t="str">
        <f>VLOOKUP(Table5[[#This Row],[Student_ID]],student_data[#All],2,0)</f>
        <v>Information Technology</v>
      </c>
      <c r="C84" s="1" t="s">
        <v>1031</v>
      </c>
      <c r="D84" s="1" t="s">
        <v>1038</v>
      </c>
      <c r="E84" s="1">
        <v>6.16</v>
      </c>
    </row>
    <row r="85" spans="1:5" x14ac:dyDescent="0.2">
      <c r="A85" s="1" t="s">
        <v>94</v>
      </c>
      <c r="B85" s="1" t="str">
        <f>VLOOKUP(Table5[[#This Row],[Student_ID]],student_data[#All],2,0)</f>
        <v>Computer Science</v>
      </c>
      <c r="C85" s="1" t="s">
        <v>1031</v>
      </c>
      <c r="D85" s="1" t="s">
        <v>1038</v>
      </c>
      <c r="E85" s="1">
        <v>5.65</v>
      </c>
    </row>
    <row r="86" spans="1:5" x14ac:dyDescent="0.2">
      <c r="A86" s="1" t="s">
        <v>95</v>
      </c>
      <c r="B86" s="1" t="str">
        <f>VLOOKUP(Table5[[#This Row],[Student_ID]],student_data[#All],2,0)</f>
        <v>Information Technology</v>
      </c>
      <c r="C86" s="1" t="s">
        <v>1031</v>
      </c>
      <c r="D86" s="1" t="s">
        <v>1035</v>
      </c>
      <c r="E86" s="1">
        <v>4.18</v>
      </c>
    </row>
    <row r="87" spans="1:5" x14ac:dyDescent="0.2">
      <c r="A87" s="1" t="s">
        <v>96</v>
      </c>
      <c r="B87" s="1" t="str">
        <f>VLOOKUP(Table5[[#This Row],[Student_ID]],student_data[#All],2,0)</f>
        <v>Information Technology</v>
      </c>
      <c r="C87" s="1" t="s">
        <v>1031</v>
      </c>
      <c r="D87" s="1" t="s">
        <v>1032</v>
      </c>
      <c r="E87" s="1">
        <v>4.5999999999999996</v>
      </c>
    </row>
    <row r="88" spans="1:5" x14ac:dyDescent="0.2">
      <c r="A88" s="1" t="s">
        <v>97</v>
      </c>
      <c r="B88" s="1" t="str">
        <f>VLOOKUP(Table5[[#This Row],[Student_ID]],student_data[#All],2,0)</f>
        <v>Computer Science</v>
      </c>
      <c r="C88" s="1" t="s">
        <v>1031</v>
      </c>
      <c r="D88" s="1" t="s">
        <v>1038</v>
      </c>
      <c r="E88" s="1">
        <v>4.22</v>
      </c>
    </row>
    <row r="89" spans="1:5" x14ac:dyDescent="0.2">
      <c r="A89" s="1" t="s">
        <v>98</v>
      </c>
      <c r="B89" s="1" t="str">
        <f>VLOOKUP(Table5[[#This Row],[Student_ID]],student_data[#All],2,0)</f>
        <v>Computer Science</v>
      </c>
      <c r="C89" s="1" t="s">
        <v>1033</v>
      </c>
      <c r="D89" s="1" t="s">
        <v>1034</v>
      </c>
      <c r="E89" s="1">
        <v>0</v>
      </c>
    </row>
    <row r="90" spans="1:5" x14ac:dyDescent="0.2">
      <c r="A90" s="1" t="s">
        <v>99</v>
      </c>
      <c r="B90" s="1" t="str">
        <f>VLOOKUP(Table5[[#This Row],[Student_ID]],student_data[#All],2,0)</f>
        <v>Computer Science</v>
      </c>
      <c r="C90" s="1" t="s">
        <v>1031</v>
      </c>
      <c r="D90" s="1" t="s">
        <v>1040</v>
      </c>
      <c r="E90" s="1">
        <v>6.32</v>
      </c>
    </row>
    <row r="91" spans="1:5" x14ac:dyDescent="0.2">
      <c r="A91" s="1" t="s">
        <v>100</v>
      </c>
      <c r="B91" s="1" t="str">
        <f>VLOOKUP(Table5[[#This Row],[Student_ID]],student_data[#All],2,0)</f>
        <v>Computer Science</v>
      </c>
      <c r="C91" s="1" t="s">
        <v>1031</v>
      </c>
      <c r="D91" s="1" t="s">
        <v>1038</v>
      </c>
      <c r="E91" s="1">
        <v>4.3</v>
      </c>
    </row>
    <row r="92" spans="1:5" x14ac:dyDescent="0.2">
      <c r="A92" s="1" t="s">
        <v>101</v>
      </c>
      <c r="B92" s="1" t="str">
        <f>VLOOKUP(Table5[[#This Row],[Student_ID]],student_data[#All],2,0)</f>
        <v>Civil</v>
      </c>
      <c r="C92" s="1" t="s">
        <v>1031</v>
      </c>
      <c r="D92" s="1" t="s">
        <v>1038</v>
      </c>
      <c r="E92" s="1">
        <v>4.33</v>
      </c>
    </row>
    <row r="93" spans="1:5" x14ac:dyDescent="0.2">
      <c r="A93" s="1" t="s">
        <v>102</v>
      </c>
      <c r="B93" s="1" t="str">
        <f>VLOOKUP(Table5[[#This Row],[Student_ID]],student_data[#All],2,0)</f>
        <v>Mechanical</v>
      </c>
      <c r="C93" s="1" t="s">
        <v>1031</v>
      </c>
      <c r="D93" s="1" t="s">
        <v>1032</v>
      </c>
      <c r="E93" s="1">
        <v>5.98</v>
      </c>
    </row>
    <row r="94" spans="1:5" x14ac:dyDescent="0.2">
      <c r="A94" s="1" t="s">
        <v>103</v>
      </c>
      <c r="B94" s="1" t="str">
        <f>VLOOKUP(Table5[[#This Row],[Student_ID]],student_data[#All],2,0)</f>
        <v>Mechanical</v>
      </c>
      <c r="C94" s="1" t="s">
        <v>1031</v>
      </c>
      <c r="D94" s="1" t="s">
        <v>1038</v>
      </c>
      <c r="E94" s="1">
        <v>5.55</v>
      </c>
    </row>
    <row r="95" spans="1:5" x14ac:dyDescent="0.2">
      <c r="A95" s="1" t="s">
        <v>104</v>
      </c>
      <c r="B95" s="1" t="str">
        <f>VLOOKUP(Table5[[#This Row],[Student_ID]],student_data[#All],2,0)</f>
        <v>Computer Science</v>
      </c>
      <c r="C95" s="1" t="s">
        <v>1031</v>
      </c>
      <c r="D95" s="1" t="s">
        <v>1032</v>
      </c>
      <c r="E95" s="1">
        <v>3.92</v>
      </c>
    </row>
    <row r="96" spans="1:5" x14ac:dyDescent="0.2">
      <c r="A96" s="1" t="s">
        <v>105</v>
      </c>
      <c r="B96" s="1" t="str">
        <f>VLOOKUP(Table5[[#This Row],[Student_ID]],student_data[#All],2,0)</f>
        <v>Mechanical</v>
      </c>
      <c r="C96" s="1" t="s">
        <v>1031</v>
      </c>
      <c r="D96" s="1" t="s">
        <v>1035</v>
      </c>
      <c r="E96" s="1">
        <v>5.1100000000000003</v>
      </c>
    </row>
    <row r="97" spans="1:5" x14ac:dyDescent="0.2">
      <c r="A97" s="1" t="s">
        <v>106</v>
      </c>
      <c r="B97" s="1" t="str">
        <f>VLOOKUP(Table5[[#This Row],[Student_ID]],student_data[#All],2,0)</f>
        <v>Mechanical</v>
      </c>
      <c r="C97" s="1" t="s">
        <v>1031</v>
      </c>
      <c r="D97" s="1" t="s">
        <v>1036</v>
      </c>
      <c r="E97" s="1">
        <v>12.72</v>
      </c>
    </row>
    <row r="98" spans="1:5" x14ac:dyDescent="0.2">
      <c r="A98" s="1" t="s">
        <v>107</v>
      </c>
      <c r="B98" s="1" t="str">
        <f>VLOOKUP(Table5[[#This Row],[Student_ID]],student_data[#All],2,0)</f>
        <v>Computer Science</v>
      </c>
      <c r="C98" s="1" t="s">
        <v>1031</v>
      </c>
      <c r="D98" s="1" t="s">
        <v>1037</v>
      </c>
      <c r="E98" s="1">
        <v>11.59</v>
      </c>
    </row>
    <row r="99" spans="1:5" x14ac:dyDescent="0.2">
      <c r="A99" s="1" t="s">
        <v>108</v>
      </c>
      <c r="B99" s="1" t="str">
        <f>VLOOKUP(Table5[[#This Row],[Student_ID]],student_data[#All],2,0)</f>
        <v>Mechanical</v>
      </c>
      <c r="C99" s="1" t="s">
        <v>1031</v>
      </c>
      <c r="D99" s="1" t="s">
        <v>1039</v>
      </c>
      <c r="E99" s="1">
        <v>4.58</v>
      </c>
    </row>
    <row r="100" spans="1:5" x14ac:dyDescent="0.2">
      <c r="A100" s="1" t="s">
        <v>109</v>
      </c>
      <c r="B100" s="1" t="str">
        <f>VLOOKUP(Table5[[#This Row],[Student_ID]],student_data[#All],2,0)</f>
        <v>Information Technology</v>
      </c>
      <c r="C100" s="1" t="s">
        <v>1031</v>
      </c>
      <c r="D100" s="1" t="s">
        <v>1040</v>
      </c>
      <c r="E100" s="1">
        <v>5.27</v>
      </c>
    </row>
    <row r="101" spans="1:5" x14ac:dyDescent="0.2">
      <c r="A101" s="1" t="s">
        <v>110</v>
      </c>
      <c r="B101" s="1" t="str">
        <f>VLOOKUP(Table5[[#This Row],[Student_ID]],student_data[#All],2,0)</f>
        <v>Electronics</v>
      </c>
      <c r="C101" s="1" t="s">
        <v>1031</v>
      </c>
      <c r="D101" s="1" t="s">
        <v>1032</v>
      </c>
      <c r="E101" s="1">
        <v>5.32</v>
      </c>
    </row>
    <row r="102" spans="1:5" x14ac:dyDescent="0.2">
      <c r="A102" s="1" t="s">
        <v>111</v>
      </c>
      <c r="B102" s="1" t="str">
        <f>VLOOKUP(Table5[[#This Row],[Student_ID]],student_data[#All],2,0)</f>
        <v>Electronics</v>
      </c>
      <c r="C102" s="1" t="s">
        <v>1031</v>
      </c>
      <c r="D102" s="1" t="s">
        <v>1036</v>
      </c>
      <c r="E102" s="1">
        <v>14.61</v>
      </c>
    </row>
    <row r="103" spans="1:5" x14ac:dyDescent="0.2">
      <c r="A103" s="1" t="s">
        <v>112</v>
      </c>
      <c r="B103" s="1" t="str">
        <f>VLOOKUP(Table5[[#This Row],[Student_ID]],student_data[#All],2,0)</f>
        <v>Computer Science</v>
      </c>
      <c r="C103" s="1" t="s">
        <v>1031</v>
      </c>
      <c r="D103" s="1" t="s">
        <v>1038</v>
      </c>
      <c r="E103" s="1">
        <v>6.62</v>
      </c>
    </row>
    <row r="104" spans="1:5" x14ac:dyDescent="0.2">
      <c r="A104" s="1" t="s">
        <v>113</v>
      </c>
      <c r="B104" s="1" t="str">
        <f>VLOOKUP(Table5[[#This Row],[Student_ID]],student_data[#All],2,0)</f>
        <v>Civil</v>
      </c>
      <c r="C104" s="1" t="s">
        <v>1033</v>
      </c>
      <c r="D104" s="1" t="s">
        <v>1034</v>
      </c>
      <c r="E104" s="1">
        <v>0</v>
      </c>
    </row>
    <row r="105" spans="1:5" x14ac:dyDescent="0.2">
      <c r="A105" s="1" t="s">
        <v>114</v>
      </c>
      <c r="B105" s="1" t="str">
        <f>VLOOKUP(Table5[[#This Row],[Student_ID]],student_data[#All],2,0)</f>
        <v>Computer Science</v>
      </c>
      <c r="C105" s="1" t="s">
        <v>1031</v>
      </c>
      <c r="D105" s="1" t="s">
        <v>1038</v>
      </c>
      <c r="E105" s="1">
        <v>6.96</v>
      </c>
    </row>
    <row r="106" spans="1:5" x14ac:dyDescent="0.2">
      <c r="A106" s="1" t="s">
        <v>115</v>
      </c>
      <c r="B106" s="1" t="str">
        <f>VLOOKUP(Table5[[#This Row],[Student_ID]],student_data[#All],2,0)</f>
        <v>Civil</v>
      </c>
      <c r="C106" s="1" t="s">
        <v>1031</v>
      </c>
      <c r="D106" s="1" t="s">
        <v>1035</v>
      </c>
      <c r="E106" s="1">
        <v>5.41</v>
      </c>
    </row>
    <row r="107" spans="1:5" x14ac:dyDescent="0.2">
      <c r="A107" s="1" t="s">
        <v>116</v>
      </c>
      <c r="B107" s="1" t="str">
        <f>VLOOKUP(Table5[[#This Row],[Student_ID]],student_data[#All],2,0)</f>
        <v>Electronics</v>
      </c>
      <c r="C107" s="1" t="s">
        <v>1033</v>
      </c>
      <c r="D107" s="1" t="s">
        <v>1034</v>
      </c>
      <c r="E107" s="1">
        <v>0</v>
      </c>
    </row>
    <row r="108" spans="1:5" x14ac:dyDescent="0.2">
      <c r="A108" s="1" t="s">
        <v>117</v>
      </c>
      <c r="B108" s="1" t="str">
        <f>VLOOKUP(Table5[[#This Row],[Student_ID]],student_data[#All],2,0)</f>
        <v>Computer Science</v>
      </c>
      <c r="C108" s="1" t="s">
        <v>1031</v>
      </c>
      <c r="D108" s="1" t="s">
        <v>1038</v>
      </c>
      <c r="E108" s="1">
        <v>4.3499999999999996</v>
      </c>
    </row>
    <row r="109" spans="1:5" x14ac:dyDescent="0.2">
      <c r="A109" s="1" t="s">
        <v>118</v>
      </c>
      <c r="B109" s="1" t="str">
        <f>VLOOKUP(Table5[[#This Row],[Student_ID]],student_data[#All],2,0)</f>
        <v>Information Technology</v>
      </c>
      <c r="C109" s="1" t="s">
        <v>1031</v>
      </c>
      <c r="D109" s="1" t="s">
        <v>1038</v>
      </c>
      <c r="E109" s="1">
        <v>6.09</v>
      </c>
    </row>
    <row r="110" spans="1:5" x14ac:dyDescent="0.2">
      <c r="A110" s="1" t="s">
        <v>119</v>
      </c>
      <c r="B110" s="1" t="str">
        <f>VLOOKUP(Table5[[#This Row],[Student_ID]],student_data[#All],2,0)</f>
        <v>Mechanical</v>
      </c>
      <c r="C110" s="1" t="s">
        <v>1031</v>
      </c>
      <c r="D110" s="1" t="s">
        <v>1032</v>
      </c>
      <c r="E110" s="1">
        <v>6.88</v>
      </c>
    </row>
    <row r="111" spans="1:5" x14ac:dyDescent="0.2">
      <c r="A111" s="1" t="s">
        <v>120</v>
      </c>
      <c r="B111" s="1" t="str">
        <f>VLOOKUP(Table5[[#This Row],[Student_ID]],student_data[#All],2,0)</f>
        <v>Civil</v>
      </c>
      <c r="C111" s="1" t="s">
        <v>1031</v>
      </c>
      <c r="D111" s="1" t="s">
        <v>1032</v>
      </c>
      <c r="E111" s="1">
        <v>5.87</v>
      </c>
    </row>
    <row r="112" spans="1:5" x14ac:dyDescent="0.2">
      <c r="A112" s="1" t="s">
        <v>121</v>
      </c>
      <c r="B112" s="1" t="str">
        <f>VLOOKUP(Table5[[#This Row],[Student_ID]],student_data[#All],2,0)</f>
        <v>Mechanical</v>
      </c>
      <c r="C112" s="1" t="s">
        <v>1031</v>
      </c>
      <c r="D112" s="1" t="s">
        <v>1035</v>
      </c>
      <c r="E112" s="1">
        <v>4.54</v>
      </c>
    </row>
    <row r="113" spans="1:5" x14ac:dyDescent="0.2">
      <c r="A113" s="1" t="s">
        <v>122</v>
      </c>
      <c r="B113" s="1" t="str">
        <f>VLOOKUP(Table5[[#This Row],[Student_ID]],student_data[#All],2,0)</f>
        <v>Mechanical</v>
      </c>
      <c r="C113" s="1" t="s">
        <v>1031</v>
      </c>
      <c r="D113" s="1" t="s">
        <v>1036</v>
      </c>
      <c r="E113" s="1">
        <v>10.66</v>
      </c>
    </row>
    <row r="114" spans="1:5" x14ac:dyDescent="0.2">
      <c r="A114" s="1" t="s">
        <v>123</v>
      </c>
      <c r="B114" s="1" t="str">
        <f>VLOOKUP(Table5[[#This Row],[Student_ID]],student_data[#All],2,0)</f>
        <v>Computer Science</v>
      </c>
      <c r="C114" s="1" t="s">
        <v>1031</v>
      </c>
      <c r="D114" s="1" t="s">
        <v>1035</v>
      </c>
      <c r="E114" s="1">
        <v>6.67</v>
      </c>
    </row>
    <row r="115" spans="1:5" x14ac:dyDescent="0.2">
      <c r="A115" s="1" t="s">
        <v>124</v>
      </c>
      <c r="B115" s="1" t="str">
        <f>VLOOKUP(Table5[[#This Row],[Student_ID]],student_data[#All],2,0)</f>
        <v>Mechanical</v>
      </c>
      <c r="C115" s="1" t="s">
        <v>1033</v>
      </c>
      <c r="D115" s="1" t="s">
        <v>1034</v>
      </c>
      <c r="E115" s="1">
        <v>0</v>
      </c>
    </row>
    <row r="116" spans="1:5" x14ac:dyDescent="0.2">
      <c r="A116" s="1" t="s">
        <v>125</v>
      </c>
      <c r="B116" s="1" t="str">
        <f>VLOOKUP(Table5[[#This Row],[Student_ID]],student_data[#All],2,0)</f>
        <v>Information Technology</v>
      </c>
      <c r="C116" s="1" t="s">
        <v>1031</v>
      </c>
      <c r="D116" s="1" t="s">
        <v>1038</v>
      </c>
      <c r="E116" s="1">
        <v>5.08</v>
      </c>
    </row>
    <row r="117" spans="1:5" x14ac:dyDescent="0.2">
      <c r="A117" s="1" t="s">
        <v>126</v>
      </c>
      <c r="B117" s="1" t="str">
        <f>VLOOKUP(Table5[[#This Row],[Student_ID]],student_data[#All],2,0)</f>
        <v>Mechanical</v>
      </c>
      <c r="C117" s="1" t="s">
        <v>1031</v>
      </c>
      <c r="D117" s="1" t="s">
        <v>1032</v>
      </c>
      <c r="E117" s="1">
        <v>4.28</v>
      </c>
    </row>
    <row r="118" spans="1:5" x14ac:dyDescent="0.2">
      <c r="A118" s="1" t="s">
        <v>127</v>
      </c>
      <c r="B118" s="1" t="str">
        <f>VLOOKUP(Table5[[#This Row],[Student_ID]],student_data[#All],2,0)</f>
        <v>Computer Science</v>
      </c>
      <c r="C118" s="1" t="s">
        <v>1031</v>
      </c>
      <c r="D118" s="1" t="s">
        <v>1040</v>
      </c>
      <c r="E118" s="1">
        <v>4.8899999999999997</v>
      </c>
    </row>
    <row r="119" spans="1:5" x14ac:dyDescent="0.2">
      <c r="A119" s="1" t="s">
        <v>128</v>
      </c>
      <c r="B119" s="1" t="str">
        <f>VLOOKUP(Table5[[#This Row],[Student_ID]],student_data[#All],2,0)</f>
        <v>Information Technology</v>
      </c>
      <c r="C119" s="1" t="s">
        <v>1031</v>
      </c>
      <c r="D119" s="1" t="s">
        <v>1039</v>
      </c>
      <c r="E119" s="1">
        <v>6.97</v>
      </c>
    </row>
    <row r="120" spans="1:5" x14ac:dyDescent="0.2">
      <c r="A120" s="1" t="s">
        <v>129</v>
      </c>
      <c r="B120" s="1" t="str">
        <f>VLOOKUP(Table5[[#This Row],[Student_ID]],student_data[#All],2,0)</f>
        <v>Electronics</v>
      </c>
      <c r="C120" s="1" t="s">
        <v>1031</v>
      </c>
      <c r="D120" s="1" t="s">
        <v>1032</v>
      </c>
      <c r="E120" s="1">
        <v>3.95</v>
      </c>
    </row>
    <row r="121" spans="1:5" x14ac:dyDescent="0.2">
      <c r="A121" s="1" t="s">
        <v>130</v>
      </c>
      <c r="B121" s="1" t="str">
        <f>VLOOKUP(Table5[[#This Row],[Student_ID]],student_data[#All],2,0)</f>
        <v>Mechanical</v>
      </c>
      <c r="C121" s="1" t="s">
        <v>1031</v>
      </c>
      <c r="D121" s="1" t="s">
        <v>1037</v>
      </c>
      <c r="E121" s="1">
        <v>8.3699999999999992</v>
      </c>
    </row>
    <row r="122" spans="1:5" x14ac:dyDescent="0.2">
      <c r="A122" s="1" t="s">
        <v>131</v>
      </c>
      <c r="B122" s="1" t="str">
        <f>VLOOKUP(Table5[[#This Row],[Student_ID]],student_data[#All],2,0)</f>
        <v>Computer Science</v>
      </c>
      <c r="C122" s="1" t="s">
        <v>1031</v>
      </c>
      <c r="D122" s="1" t="s">
        <v>1035</v>
      </c>
      <c r="E122" s="1">
        <v>4.68</v>
      </c>
    </row>
    <row r="123" spans="1:5" x14ac:dyDescent="0.2">
      <c r="A123" s="1" t="s">
        <v>132</v>
      </c>
      <c r="B123" s="1" t="str">
        <f>VLOOKUP(Table5[[#This Row],[Student_ID]],student_data[#All],2,0)</f>
        <v>Electronics</v>
      </c>
      <c r="C123" s="1" t="s">
        <v>1031</v>
      </c>
      <c r="D123" s="1" t="s">
        <v>1039</v>
      </c>
      <c r="E123" s="1">
        <v>3.61</v>
      </c>
    </row>
    <row r="124" spans="1:5" x14ac:dyDescent="0.2">
      <c r="A124" s="1" t="s">
        <v>133</v>
      </c>
      <c r="B124" s="1" t="str">
        <f>VLOOKUP(Table5[[#This Row],[Student_ID]],student_data[#All],2,0)</f>
        <v>Electronics</v>
      </c>
      <c r="C124" s="1" t="s">
        <v>1031</v>
      </c>
      <c r="D124" s="1" t="s">
        <v>1035</v>
      </c>
      <c r="E124" s="1">
        <v>5.01</v>
      </c>
    </row>
    <row r="125" spans="1:5" x14ac:dyDescent="0.2">
      <c r="A125" s="1" t="s">
        <v>134</v>
      </c>
      <c r="B125" s="1" t="str">
        <f>VLOOKUP(Table5[[#This Row],[Student_ID]],student_data[#All],2,0)</f>
        <v>Civil</v>
      </c>
      <c r="C125" s="1" t="s">
        <v>1033</v>
      </c>
      <c r="D125" s="1" t="s">
        <v>1034</v>
      </c>
      <c r="E125" s="1">
        <v>0</v>
      </c>
    </row>
    <row r="126" spans="1:5" x14ac:dyDescent="0.2">
      <c r="A126" s="1" t="s">
        <v>135</v>
      </c>
      <c r="B126" s="1" t="str">
        <f>VLOOKUP(Table5[[#This Row],[Student_ID]],student_data[#All],2,0)</f>
        <v>Information Technology</v>
      </c>
      <c r="C126" s="1" t="s">
        <v>1031</v>
      </c>
      <c r="D126" s="1" t="s">
        <v>1035</v>
      </c>
      <c r="E126" s="1">
        <v>4.6900000000000004</v>
      </c>
    </row>
    <row r="127" spans="1:5" x14ac:dyDescent="0.2">
      <c r="A127" s="1" t="s">
        <v>136</v>
      </c>
      <c r="B127" s="1" t="str">
        <f>VLOOKUP(Table5[[#This Row],[Student_ID]],student_data[#All],2,0)</f>
        <v>Mechanical</v>
      </c>
      <c r="C127" s="1" t="s">
        <v>1033</v>
      </c>
      <c r="D127" s="1" t="s">
        <v>1034</v>
      </c>
      <c r="E127" s="1">
        <v>0</v>
      </c>
    </row>
    <row r="128" spans="1:5" x14ac:dyDescent="0.2">
      <c r="A128" s="1" t="s">
        <v>137</v>
      </c>
      <c r="B128" s="1" t="str">
        <f>VLOOKUP(Table5[[#This Row],[Student_ID]],student_data[#All],2,0)</f>
        <v>Computer Science</v>
      </c>
      <c r="C128" s="1" t="s">
        <v>1033</v>
      </c>
      <c r="D128" s="1" t="s">
        <v>1034</v>
      </c>
      <c r="E128" s="1">
        <v>0</v>
      </c>
    </row>
    <row r="129" spans="1:5" x14ac:dyDescent="0.2">
      <c r="A129" s="1" t="s">
        <v>138</v>
      </c>
      <c r="B129" s="1" t="str">
        <f>VLOOKUP(Table5[[#This Row],[Student_ID]],student_data[#All],2,0)</f>
        <v>Civil</v>
      </c>
      <c r="C129" s="1" t="s">
        <v>1031</v>
      </c>
      <c r="D129" s="1" t="s">
        <v>1039</v>
      </c>
      <c r="E129" s="1">
        <v>5.42</v>
      </c>
    </row>
    <row r="130" spans="1:5" x14ac:dyDescent="0.2">
      <c r="A130" s="1" t="s">
        <v>139</v>
      </c>
      <c r="B130" s="1" t="str">
        <f>VLOOKUP(Table5[[#This Row],[Student_ID]],student_data[#All],2,0)</f>
        <v>Information Technology</v>
      </c>
      <c r="C130" s="1" t="s">
        <v>1033</v>
      </c>
      <c r="D130" s="1" t="s">
        <v>1034</v>
      </c>
      <c r="E130" s="1">
        <v>0</v>
      </c>
    </row>
    <row r="131" spans="1:5" x14ac:dyDescent="0.2">
      <c r="A131" s="1" t="s">
        <v>140</v>
      </c>
      <c r="B131" s="1" t="str">
        <f>VLOOKUP(Table5[[#This Row],[Student_ID]],student_data[#All],2,0)</f>
        <v>Civil</v>
      </c>
      <c r="C131" s="1" t="s">
        <v>1031</v>
      </c>
      <c r="D131" s="1" t="s">
        <v>1042</v>
      </c>
      <c r="E131" s="1">
        <v>39.06</v>
      </c>
    </row>
    <row r="132" spans="1:5" x14ac:dyDescent="0.2">
      <c r="A132" s="1" t="s">
        <v>141</v>
      </c>
      <c r="B132" s="1" t="str">
        <f>VLOOKUP(Table5[[#This Row],[Student_ID]],student_data[#All],2,0)</f>
        <v>Information Technology</v>
      </c>
      <c r="C132" s="1" t="s">
        <v>1031</v>
      </c>
      <c r="D132" s="1" t="s">
        <v>1039</v>
      </c>
      <c r="E132" s="1">
        <v>3.66</v>
      </c>
    </row>
    <row r="133" spans="1:5" x14ac:dyDescent="0.2">
      <c r="A133" s="1" t="s">
        <v>142</v>
      </c>
      <c r="B133" s="1" t="str">
        <f>VLOOKUP(Table5[[#This Row],[Student_ID]],student_data[#All],2,0)</f>
        <v>Information Technology</v>
      </c>
      <c r="C133" s="1" t="s">
        <v>1031</v>
      </c>
      <c r="D133" s="1" t="s">
        <v>1032</v>
      </c>
      <c r="E133" s="1">
        <v>3.69</v>
      </c>
    </row>
    <row r="134" spans="1:5" x14ac:dyDescent="0.2">
      <c r="A134" s="1" t="s">
        <v>143</v>
      </c>
      <c r="B134" s="1" t="str">
        <f>VLOOKUP(Table5[[#This Row],[Student_ID]],student_data[#All],2,0)</f>
        <v>Mechanical</v>
      </c>
      <c r="C134" s="1" t="s">
        <v>1033</v>
      </c>
      <c r="D134" s="1" t="s">
        <v>1034</v>
      </c>
      <c r="E134" s="1">
        <v>0</v>
      </c>
    </row>
    <row r="135" spans="1:5" x14ac:dyDescent="0.2">
      <c r="A135" s="1" t="s">
        <v>144</v>
      </c>
      <c r="B135" s="1" t="str">
        <f>VLOOKUP(Table5[[#This Row],[Student_ID]],student_data[#All],2,0)</f>
        <v>Information Technology</v>
      </c>
      <c r="C135" s="1" t="s">
        <v>1031</v>
      </c>
      <c r="D135" s="1" t="s">
        <v>1036</v>
      </c>
      <c r="E135" s="1">
        <v>9.39</v>
      </c>
    </row>
    <row r="136" spans="1:5" x14ac:dyDescent="0.2">
      <c r="A136" s="1" t="s">
        <v>145</v>
      </c>
      <c r="B136" s="1" t="str">
        <f>VLOOKUP(Table5[[#This Row],[Student_ID]],student_data[#All],2,0)</f>
        <v>Civil</v>
      </c>
      <c r="C136" s="1" t="s">
        <v>1033</v>
      </c>
      <c r="D136" s="1" t="s">
        <v>1034</v>
      </c>
      <c r="E136" s="1">
        <v>0</v>
      </c>
    </row>
    <row r="137" spans="1:5" x14ac:dyDescent="0.2">
      <c r="A137" s="1" t="s">
        <v>146</v>
      </c>
      <c r="B137" s="1" t="str">
        <f>VLOOKUP(Table5[[#This Row],[Student_ID]],student_data[#All],2,0)</f>
        <v>Information Technology</v>
      </c>
      <c r="C137" s="1" t="s">
        <v>1031</v>
      </c>
      <c r="D137" s="1" t="s">
        <v>1035</v>
      </c>
      <c r="E137" s="1">
        <v>6.68</v>
      </c>
    </row>
    <row r="138" spans="1:5" x14ac:dyDescent="0.2">
      <c r="A138" s="1" t="s">
        <v>147</v>
      </c>
      <c r="B138" s="1" t="str">
        <f>VLOOKUP(Table5[[#This Row],[Student_ID]],student_data[#All],2,0)</f>
        <v>Mechanical</v>
      </c>
      <c r="C138" s="1" t="s">
        <v>1033</v>
      </c>
      <c r="D138" s="1" t="s">
        <v>1034</v>
      </c>
      <c r="E138" s="1">
        <v>0</v>
      </c>
    </row>
    <row r="139" spans="1:5" x14ac:dyDescent="0.2">
      <c r="A139" s="1" t="s">
        <v>148</v>
      </c>
      <c r="B139" s="1" t="str">
        <f>VLOOKUP(Table5[[#This Row],[Student_ID]],student_data[#All],2,0)</f>
        <v>Mechanical</v>
      </c>
      <c r="C139" s="1" t="s">
        <v>1031</v>
      </c>
      <c r="D139" s="1" t="s">
        <v>1042</v>
      </c>
      <c r="E139" s="1">
        <v>25.43</v>
      </c>
    </row>
    <row r="140" spans="1:5" x14ac:dyDescent="0.2">
      <c r="A140" s="1" t="s">
        <v>149</v>
      </c>
      <c r="B140" s="1" t="str">
        <f>VLOOKUP(Table5[[#This Row],[Student_ID]],student_data[#All],2,0)</f>
        <v>Civil</v>
      </c>
      <c r="C140" s="1" t="s">
        <v>1031</v>
      </c>
      <c r="D140" s="1" t="s">
        <v>1039</v>
      </c>
      <c r="E140" s="1">
        <v>4.3899999999999997</v>
      </c>
    </row>
    <row r="141" spans="1:5" x14ac:dyDescent="0.2">
      <c r="A141" s="1" t="s">
        <v>150</v>
      </c>
      <c r="B141" s="1" t="str">
        <f>VLOOKUP(Table5[[#This Row],[Student_ID]],student_data[#All],2,0)</f>
        <v>Electronics</v>
      </c>
      <c r="C141" s="1" t="s">
        <v>1031</v>
      </c>
      <c r="D141" s="1" t="s">
        <v>1038</v>
      </c>
      <c r="E141" s="1">
        <v>3.97</v>
      </c>
    </row>
    <row r="142" spans="1:5" x14ac:dyDescent="0.2">
      <c r="A142" s="1" t="s">
        <v>151</v>
      </c>
      <c r="B142" s="1" t="str">
        <f>VLOOKUP(Table5[[#This Row],[Student_ID]],student_data[#All],2,0)</f>
        <v>Electronics</v>
      </c>
      <c r="C142" s="1" t="s">
        <v>1033</v>
      </c>
      <c r="D142" s="1" t="s">
        <v>1034</v>
      </c>
      <c r="E142" s="1">
        <v>0</v>
      </c>
    </row>
    <row r="143" spans="1:5" x14ac:dyDescent="0.2">
      <c r="A143" s="1" t="s">
        <v>152</v>
      </c>
      <c r="B143" s="1" t="str">
        <f>VLOOKUP(Table5[[#This Row],[Student_ID]],student_data[#All],2,0)</f>
        <v>Information Technology</v>
      </c>
      <c r="C143" s="1" t="s">
        <v>1031</v>
      </c>
      <c r="D143" s="1" t="s">
        <v>1035</v>
      </c>
      <c r="E143" s="1">
        <v>5.81</v>
      </c>
    </row>
    <row r="144" spans="1:5" x14ac:dyDescent="0.2">
      <c r="A144" s="1" t="s">
        <v>153</v>
      </c>
      <c r="B144" s="1" t="str">
        <f>VLOOKUP(Table5[[#This Row],[Student_ID]],student_data[#All],2,0)</f>
        <v>Computer Science</v>
      </c>
      <c r="C144" s="1" t="s">
        <v>1033</v>
      </c>
      <c r="D144" s="1" t="s">
        <v>1034</v>
      </c>
      <c r="E144" s="1">
        <v>0</v>
      </c>
    </row>
    <row r="145" spans="1:5" x14ac:dyDescent="0.2">
      <c r="A145" s="1" t="s">
        <v>154</v>
      </c>
      <c r="B145" s="1" t="str">
        <f>VLOOKUP(Table5[[#This Row],[Student_ID]],student_data[#All],2,0)</f>
        <v>Information Technology</v>
      </c>
      <c r="C145" s="1" t="s">
        <v>1031</v>
      </c>
      <c r="D145" s="1" t="s">
        <v>1038</v>
      </c>
      <c r="E145" s="1">
        <v>3.92</v>
      </c>
    </row>
    <row r="146" spans="1:5" x14ac:dyDescent="0.2">
      <c r="A146" s="1" t="s">
        <v>155</v>
      </c>
      <c r="B146" s="1" t="str">
        <f>VLOOKUP(Table5[[#This Row],[Student_ID]],student_data[#All],2,0)</f>
        <v>Civil</v>
      </c>
      <c r="C146" s="1" t="s">
        <v>1033</v>
      </c>
      <c r="D146" s="1" t="s">
        <v>1034</v>
      </c>
      <c r="E146" s="1">
        <v>0</v>
      </c>
    </row>
    <row r="147" spans="1:5" x14ac:dyDescent="0.2">
      <c r="A147" s="1" t="s">
        <v>156</v>
      </c>
      <c r="B147" s="1" t="str">
        <f>VLOOKUP(Table5[[#This Row],[Student_ID]],student_data[#All],2,0)</f>
        <v>Civil</v>
      </c>
      <c r="C147" s="1" t="s">
        <v>1033</v>
      </c>
      <c r="D147" s="1" t="s">
        <v>1034</v>
      </c>
      <c r="E147" s="1">
        <v>0</v>
      </c>
    </row>
    <row r="148" spans="1:5" x14ac:dyDescent="0.2">
      <c r="A148" s="1" t="s">
        <v>157</v>
      </c>
      <c r="B148" s="1" t="str">
        <f>VLOOKUP(Table5[[#This Row],[Student_ID]],student_data[#All],2,0)</f>
        <v>Civil</v>
      </c>
      <c r="C148" s="1" t="s">
        <v>1033</v>
      </c>
      <c r="D148" s="1" t="s">
        <v>1034</v>
      </c>
      <c r="E148" s="1">
        <v>0</v>
      </c>
    </row>
    <row r="149" spans="1:5" x14ac:dyDescent="0.2">
      <c r="A149" s="1" t="s">
        <v>158</v>
      </c>
      <c r="B149" s="1" t="str">
        <f>VLOOKUP(Table5[[#This Row],[Student_ID]],student_data[#All],2,0)</f>
        <v>Civil</v>
      </c>
      <c r="C149" s="1" t="s">
        <v>1031</v>
      </c>
      <c r="D149" s="1" t="s">
        <v>1036</v>
      </c>
      <c r="E149" s="1">
        <v>9.81</v>
      </c>
    </row>
    <row r="150" spans="1:5" x14ac:dyDescent="0.2">
      <c r="A150" s="1" t="s">
        <v>159</v>
      </c>
      <c r="B150" s="1" t="str">
        <f>VLOOKUP(Table5[[#This Row],[Student_ID]],student_data[#All],2,0)</f>
        <v>Civil</v>
      </c>
      <c r="C150" s="1" t="s">
        <v>1031</v>
      </c>
      <c r="D150" s="1" t="s">
        <v>1032</v>
      </c>
      <c r="E150" s="1">
        <v>6.86</v>
      </c>
    </row>
    <row r="151" spans="1:5" x14ac:dyDescent="0.2">
      <c r="A151" s="1" t="s">
        <v>160</v>
      </c>
      <c r="B151" s="1" t="str">
        <f>VLOOKUP(Table5[[#This Row],[Student_ID]],student_data[#All],2,0)</f>
        <v>Mechanical</v>
      </c>
      <c r="C151" s="1" t="s">
        <v>1031</v>
      </c>
      <c r="D151" s="1" t="s">
        <v>1038</v>
      </c>
      <c r="E151" s="1">
        <v>4.05</v>
      </c>
    </row>
    <row r="152" spans="1:5" x14ac:dyDescent="0.2">
      <c r="A152" s="1" t="s">
        <v>161</v>
      </c>
      <c r="B152" s="1" t="str">
        <f>VLOOKUP(Table5[[#This Row],[Student_ID]],student_data[#All],2,0)</f>
        <v>Electronics</v>
      </c>
      <c r="C152" s="1" t="s">
        <v>1031</v>
      </c>
      <c r="D152" s="1" t="s">
        <v>1039</v>
      </c>
      <c r="E152" s="1">
        <v>6.66</v>
      </c>
    </row>
    <row r="153" spans="1:5" x14ac:dyDescent="0.2">
      <c r="A153" s="1" t="s">
        <v>162</v>
      </c>
      <c r="B153" s="1" t="str">
        <f>VLOOKUP(Table5[[#This Row],[Student_ID]],student_data[#All],2,0)</f>
        <v>Civil</v>
      </c>
      <c r="C153" s="1" t="s">
        <v>1031</v>
      </c>
      <c r="D153" s="1" t="s">
        <v>1040</v>
      </c>
      <c r="E153" s="1">
        <v>6.54</v>
      </c>
    </row>
    <row r="154" spans="1:5" x14ac:dyDescent="0.2">
      <c r="A154" s="1" t="s">
        <v>163</v>
      </c>
      <c r="B154" s="1" t="str">
        <f>VLOOKUP(Table5[[#This Row],[Student_ID]],student_data[#All],2,0)</f>
        <v>Computer Science</v>
      </c>
      <c r="C154" s="1" t="s">
        <v>1031</v>
      </c>
      <c r="D154" s="1" t="s">
        <v>1038</v>
      </c>
      <c r="E154" s="1">
        <v>4.42</v>
      </c>
    </row>
    <row r="155" spans="1:5" x14ac:dyDescent="0.2">
      <c r="A155" s="1" t="s">
        <v>164</v>
      </c>
      <c r="B155" s="1" t="str">
        <f>VLOOKUP(Table5[[#This Row],[Student_ID]],student_data[#All],2,0)</f>
        <v>Computer Science</v>
      </c>
      <c r="C155" s="1" t="s">
        <v>1033</v>
      </c>
      <c r="D155" s="1" t="s">
        <v>1034</v>
      </c>
      <c r="E155" s="1">
        <v>0</v>
      </c>
    </row>
    <row r="156" spans="1:5" x14ac:dyDescent="0.2">
      <c r="A156" s="1" t="s">
        <v>165</v>
      </c>
      <c r="B156" s="1" t="str">
        <f>VLOOKUP(Table5[[#This Row],[Student_ID]],student_data[#All],2,0)</f>
        <v>Computer Science</v>
      </c>
      <c r="C156" s="1" t="s">
        <v>1033</v>
      </c>
      <c r="D156" s="1" t="s">
        <v>1034</v>
      </c>
      <c r="E156" s="1">
        <v>0</v>
      </c>
    </row>
    <row r="157" spans="1:5" x14ac:dyDescent="0.2">
      <c r="A157" s="1" t="s">
        <v>166</v>
      </c>
      <c r="B157" s="1" t="str">
        <f>VLOOKUP(Table5[[#This Row],[Student_ID]],student_data[#All],2,0)</f>
        <v>Computer Science</v>
      </c>
      <c r="C157" s="1" t="s">
        <v>1031</v>
      </c>
      <c r="D157" s="1" t="s">
        <v>1035</v>
      </c>
      <c r="E157" s="1">
        <v>6.01</v>
      </c>
    </row>
    <row r="158" spans="1:5" x14ac:dyDescent="0.2">
      <c r="A158" s="1" t="s">
        <v>167</v>
      </c>
      <c r="B158" s="1" t="str">
        <f>VLOOKUP(Table5[[#This Row],[Student_ID]],student_data[#All],2,0)</f>
        <v>Mechanical</v>
      </c>
      <c r="C158" s="1" t="s">
        <v>1031</v>
      </c>
      <c r="D158" s="1" t="s">
        <v>1032</v>
      </c>
      <c r="E158" s="1">
        <v>6.77</v>
      </c>
    </row>
    <row r="159" spans="1:5" x14ac:dyDescent="0.2">
      <c r="A159" s="1" t="s">
        <v>168</v>
      </c>
      <c r="B159" s="1" t="str">
        <f>VLOOKUP(Table5[[#This Row],[Student_ID]],student_data[#All],2,0)</f>
        <v>Computer Science</v>
      </c>
      <c r="C159" s="1" t="s">
        <v>1031</v>
      </c>
      <c r="D159" s="1" t="s">
        <v>1039</v>
      </c>
      <c r="E159" s="1">
        <v>5.0599999999999996</v>
      </c>
    </row>
    <row r="160" spans="1:5" x14ac:dyDescent="0.2">
      <c r="A160" s="1" t="s">
        <v>169</v>
      </c>
      <c r="B160" s="1" t="str">
        <f>VLOOKUP(Table5[[#This Row],[Student_ID]],student_data[#All],2,0)</f>
        <v>Civil</v>
      </c>
      <c r="C160" s="1" t="s">
        <v>1031</v>
      </c>
      <c r="D160" s="1" t="s">
        <v>1032</v>
      </c>
      <c r="E160" s="1">
        <v>3.65</v>
      </c>
    </row>
    <row r="161" spans="1:5" x14ac:dyDescent="0.2">
      <c r="A161" s="1" t="s">
        <v>170</v>
      </c>
      <c r="B161" s="1" t="str">
        <f>VLOOKUP(Table5[[#This Row],[Student_ID]],student_data[#All],2,0)</f>
        <v>Information Technology</v>
      </c>
      <c r="C161" s="1" t="s">
        <v>1031</v>
      </c>
      <c r="D161" s="1" t="s">
        <v>1040</v>
      </c>
      <c r="E161" s="1">
        <v>4.3</v>
      </c>
    </row>
    <row r="162" spans="1:5" x14ac:dyDescent="0.2">
      <c r="A162" s="1" t="s">
        <v>171</v>
      </c>
      <c r="B162" s="1" t="str">
        <f>VLOOKUP(Table5[[#This Row],[Student_ID]],student_data[#All],2,0)</f>
        <v>Computer Science</v>
      </c>
      <c r="C162" s="1" t="s">
        <v>1031</v>
      </c>
      <c r="D162" s="1" t="s">
        <v>1035</v>
      </c>
      <c r="E162" s="1">
        <v>4.18</v>
      </c>
    </row>
    <row r="163" spans="1:5" x14ac:dyDescent="0.2">
      <c r="A163" s="1" t="s">
        <v>172</v>
      </c>
      <c r="B163" s="1" t="str">
        <f>VLOOKUP(Table5[[#This Row],[Student_ID]],student_data[#All],2,0)</f>
        <v>Mechanical</v>
      </c>
      <c r="C163" s="1" t="s">
        <v>1033</v>
      </c>
      <c r="D163" s="1" t="s">
        <v>1034</v>
      </c>
      <c r="E163" s="1">
        <v>0</v>
      </c>
    </row>
    <row r="164" spans="1:5" x14ac:dyDescent="0.2">
      <c r="A164" s="1" t="s">
        <v>173</v>
      </c>
      <c r="B164" s="1" t="str">
        <f>VLOOKUP(Table5[[#This Row],[Student_ID]],student_data[#All],2,0)</f>
        <v>Mechanical</v>
      </c>
      <c r="C164" s="1" t="s">
        <v>1031</v>
      </c>
      <c r="D164" s="1" t="s">
        <v>1032</v>
      </c>
      <c r="E164" s="1">
        <v>4.99</v>
      </c>
    </row>
    <row r="165" spans="1:5" x14ac:dyDescent="0.2">
      <c r="A165" s="1" t="s">
        <v>174</v>
      </c>
      <c r="B165" s="1" t="str">
        <f>VLOOKUP(Table5[[#This Row],[Student_ID]],student_data[#All],2,0)</f>
        <v>Computer Science</v>
      </c>
      <c r="C165" s="1" t="s">
        <v>1031</v>
      </c>
      <c r="D165" s="1" t="s">
        <v>1039</v>
      </c>
      <c r="E165" s="1">
        <v>6.57</v>
      </c>
    </row>
    <row r="166" spans="1:5" x14ac:dyDescent="0.2">
      <c r="A166" s="1" t="s">
        <v>175</v>
      </c>
      <c r="B166" s="1" t="str">
        <f>VLOOKUP(Table5[[#This Row],[Student_ID]],student_data[#All],2,0)</f>
        <v>Information Technology</v>
      </c>
      <c r="C166" s="1" t="s">
        <v>1031</v>
      </c>
      <c r="D166" s="1" t="s">
        <v>1038</v>
      </c>
      <c r="E166" s="1">
        <v>6.34</v>
      </c>
    </row>
    <row r="167" spans="1:5" x14ac:dyDescent="0.2">
      <c r="A167" s="1" t="s">
        <v>176</v>
      </c>
      <c r="B167" s="1" t="str">
        <f>VLOOKUP(Table5[[#This Row],[Student_ID]],student_data[#All],2,0)</f>
        <v>Computer Science</v>
      </c>
      <c r="C167" s="1" t="s">
        <v>1031</v>
      </c>
      <c r="D167" s="1" t="s">
        <v>1032</v>
      </c>
      <c r="E167" s="1">
        <v>5.32</v>
      </c>
    </row>
    <row r="168" spans="1:5" x14ac:dyDescent="0.2">
      <c r="A168" s="1" t="s">
        <v>177</v>
      </c>
      <c r="B168" s="1" t="str">
        <f>VLOOKUP(Table5[[#This Row],[Student_ID]],student_data[#All],2,0)</f>
        <v>Mechanical</v>
      </c>
      <c r="C168" s="1" t="s">
        <v>1031</v>
      </c>
      <c r="D168" s="1" t="s">
        <v>1032</v>
      </c>
      <c r="E168" s="1">
        <v>4.72</v>
      </c>
    </row>
    <row r="169" spans="1:5" x14ac:dyDescent="0.2">
      <c r="A169" s="1" t="s">
        <v>178</v>
      </c>
      <c r="B169" s="1" t="str">
        <f>VLOOKUP(Table5[[#This Row],[Student_ID]],student_data[#All],2,0)</f>
        <v>Electronics</v>
      </c>
      <c r="C169" s="1" t="s">
        <v>1031</v>
      </c>
      <c r="D169" s="1" t="s">
        <v>1036</v>
      </c>
      <c r="E169" s="1">
        <v>9.6999999999999993</v>
      </c>
    </row>
    <row r="170" spans="1:5" x14ac:dyDescent="0.2">
      <c r="A170" s="1" t="s">
        <v>179</v>
      </c>
      <c r="B170" s="1" t="str">
        <f>VLOOKUP(Table5[[#This Row],[Student_ID]],student_data[#All],2,0)</f>
        <v>Civil</v>
      </c>
      <c r="C170" s="1" t="s">
        <v>1031</v>
      </c>
      <c r="D170" s="1" t="s">
        <v>1040</v>
      </c>
      <c r="E170" s="1">
        <v>3.91</v>
      </c>
    </row>
    <row r="171" spans="1:5" x14ac:dyDescent="0.2">
      <c r="A171" s="1" t="s">
        <v>180</v>
      </c>
      <c r="B171" s="1" t="str">
        <f>VLOOKUP(Table5[[#This Row],[Student_ID]],student_data[#All],2,0)</f>
        <v>Mechanical</v>
      </c>
      <c r="C171" s="1" t="s">
        <v>1031</v>
      </c>
      <c r="D171" s="1" t="s">
        <v>1032</v>
      </c>
      <c r="E171" s="1">
        <v>4.71</v>
      </c>
    </row>
    <row r="172" spans="1:5" x14ac:dyDescent="0.2">
      <c r="A172" s="1" t="s">
        <v>181</v>
      </c>
      <c r="B172" s="1" t="str">
        <f>VLOOKUP(Table5[[#This Row],[Student_ID]],student_data[#All],2,0)</f>
        <v>Computer Science</v>
      </c>
      <c r="C172" s="1" t="s">
        <v>1031</v>
      </c>
      <c r="D172" s="1" t="s">
        <v>1038</v>
      </c>
      <c r="E172" s="1">
        <v>3.87</v>
      </c>
    </row>
    <row r="173" spans="1:5" x14ac:dyDescent="0.2">
      <c r="A173" s="1" t="s">
        <v>182</v>
      </c>
      <c r="B173" s="1" t="str">
        <f>VLOOKUP(Table5[[#This Row],[Student_ID]],student_data[#All],2,0)</f>
        <v>Civil</v>
      </c>
      <c r="C173" s="1" t="s">
        <v>1033</v>
      </c>
      <c r="D173" s="1" t="s">
        <v>1034</v>
      </c>
      <c r="E173" s="1">
        <v>0</v>
      </c>
    </row>
    <row r="174" spans="1:5" x14ac:dyDescent="0.2">
      <c r="A174" s="1" t="s">
        <v>183</v>
      </c>
      <c r="B174" s="1" t="str">
        <f>VLOOKUP(Table5[[#This Row],[Student_ID]],student_data[#All],2,0)</f>
        <v>Computer Science</v>
      </c>
      <c r="C174" s="1" t="s">
        <v>1031</v>
      </c>
      <c r="D174" s="1" t="s">
        <v>1038</v>
      </c>
      <c r="E174" s="1">
        <v>4.9800000000000004</v>
      </c>
    </row>
    <row r="175" spans="1:5" x14ac:dyDescent="0.2">
      <c r="A175" s="1" t="s">
        <v>184</v>
      </c>
      <c r="B175" s="1" t="str">
        <f>VLOOKUP(Table5[[#This Row],[Student_ID]],student_data[#All],2,0)</f>
        <v>Computer Science</v>
      </c>
      <c r="C175" s="1" t="s">
        <v>1033</v>
      </c>
      <c r="D175" s="1" t="s">
        <v>1034</v>
      </c>
      <c r="E175" s="1">
        <v>0</v>
      </c>
    </row>
    <row r="176" spans="1:5" x14ac:dyDescent="0.2">
      <c r="A176" s="1" t="s">
        <v>185</v>
      </c>
      <c r="B176" s="1" t="str">
        <f>VLOOKUP(Table5[[#This Row],[Student_ID]],student_data[#All],2,0)</f>
        <v>Electronics</v>
      </c>
      <c r="C176" s="1" t="s">
        <v>1031</v>
      </c>
      <c r="D176" s="1" t="s">
        <v>1036</v>
      </c>
      <c r="E176" s="1">
        <v>13.68</v>
      </c>
    </row>
    <row r="177" spans="1:5" x14ac:dyDescent="0.2">
      <c r="A177" s="1" t="s">
        <v>186</v>
      </c>
      <c r="B177" s="1" t="str">
        <f>VLOOKUP(Table5[[#This Row],[Student_ID]],student_data[#All],2,0)</f>
        <v>Civil</v>
      </c>
      <c r="C177" s="1" t="s">
        <v>1031</v>
      </c>
      <c r="D177" s="1" t="s">
        <v>1039</v>
      </c>
      <c r="E177" s="1">
        <v>5.03</v>
      </c>
    </row>
    <row r="178" spans="1:5" x14ac:dyDescent="0.2">
      <c r="A178" s="1" t="s">
        <v>187</v>
      </c>
      <c r="B178" s="1" t="str">
        <f>VLOOKUP(Table5[[#This Row],[Student_ID]],student_data[#All],2,0)</f>
        <v>Civil</v>
      </c>
      <c r="C178" s="1" t="s">
        <v>1031</v>
      </c>
      <c r="D178" s="1" t="s">
        <v>1035</v>
      </c>
      <c r="E178" s="1">
        <v>4.42</v>
      </c>
    </row>
    <row r="179" spans="1:5" x14ac:dyDescent="0.2">
      <c r="A179" s="1" t="s">
        <v>188</v>
      </c>
      <c r="B179" s="1" t="str">
        <f>VLOOKUP(Table5[[#This Row],[Student_ID]],student_data[#All],2,0)</f>
        <v>Electronics</v>
      </c>
      <c r="C179" s="1" t="s">
        <v>1031</v>
      </c>
      <c r="D179" s="1" t="s">
        <v>1032</v>
      </c>
      <c r="E179" s="1">
        <v>4.9000000000000004</v>
      </c>
    </row>
    <row r="180" spans="1:5" x14ac:dyDescent="0.2">
      <c r="A180" s="1" t="s">
        <v>189</v>
      </c>
      <c r="B180" s="1" t="str">
        <f>VLOOKUP(Table5[[#This Row],[Student_ID]],student_data[#All],2,0)</f>
        <v>Mechanical</v>
      </c>
      <c r="C180" s="1" t="s">
        <v>1031</v>
      </c>
      <c r="D180" s="1" t="s">
        <v>1037</v>
      </c>
      <c r="E180" s="1">
        <v>12.35</v>
      </c>
    </row>
    <row r="181" spans="1:5" x14ac:dyDescent="0.2">
      <c r="A181" s="1" t="s">
        <v>190</v>
      </c>
      <c r="B181" s="1" t="str">
        <f>VLOOKUP(Table5[[#This Row],[Student_ID]],student_data[#All],2,0)</f>
        <v>Computer Science</v>
      </c>
      <c r="C181" s="1" t="s">
        <v>1033</v>
      </c>
      <c r="D181" s="1" t="s">
        <v>1034</v>
      </c>
      <c r="E181" s="1">
        <v>0</v>
      </c>
    </row>
    <row r="182" spans="1:5" x14ac:dyDescent="0.2">
      <c r="A182" s="1" t="s">
        <v>191</v>
      </c>
      <c r="B182" s="1" t="str">
        <f>VLOOKUP(Table5[[#This Row],[Student_ID]],student_data[#All],2,0)</f>
        <v>Information Technology</v>
      </c>
      <c r="C182" s="1" t="s">
        <v>1031</v>
      </c>
      <c r="D182" s="1" t="s">
        <v>1032</v>
      </c>
      <c r="E182" s="1">
        <v>5.65</v>
      </c>
    </row>
    <row r="183" spans="1:5" x14ac:dyDescent="0.2">
      <c r="A183" s="1" t="s">
        <v>192</v>
      </c>
      <c r="B183" s="1" t="str">
        <f>VLOOKUP(Table5[[#This Row],[Student_ID]],student_data[#All],2,0)</f>
        <v>Computer Science</v>
      </c>
      <c r="C183" s="1" t="s">
        <v>1031</v>
      </c>
      <c r="D183" s="1" t="s">
        <v>1039</v>
      </c>
      <c r="E183" s="1">
        <v>4.37</v>
      </c>
    </row>
    <row r="184" spans="1:5" x14ac:dyDescent="0.2">
      <c r="A184" s="1" t="s">
        <v>193</v>
      </c>
      <c r="B184" s="1" t="str">
        <f>VLOOKUP(Table5[[#This Row],[Student_ID]],student_data[#All],2,0)</f>
        <v>Computer Science</v>
      </c>
      <c r="C184" s="1" t="s">
        <v>1031</v>
      </c>
      <c r="D184" s="1" t="s">
        <v>1038</v>
      </c>
      <c r="E184" s="1">
        <v>4.7300000000000004</v>
      </c>
    </row>
    <row r="185" spans="1:5" x14ac:dyDescent="0.2">
      <c r="A185" s="1" t="s">
        <v>194</v>
      </c>
      <c r="B185" s="1" t="str">
        <f>VLOOKUP(Table5[[#This Row],[Student_ID]],student_data[#All],2,0)</f>
        <v>Mechanical</v>
      </c>
      <c r="C185" s="1" t="s">
        <v>1031</v>
      </c>
      <c r="D185" s="1" t="s">
        <v>1032</v>
      </c>
      <c r="E185" s="1">
        <v>3.77</v>
      </c>
    </row>
    <row r="186" spans="1:5" x14ac:dyDescent="0.2">
      <c r="A186" s="1" t="s">
        <v>195</v>
      </c>
      <c r="B186" s="1" t="str">
        <f>VLOOKUP(Table5[[#This Row],[Student_ID]],student_data[#All],2,0)</f>
        <v>Computer Science</v>
      </c>
      <c r="C186" s="1" t="s">
        <v>1031</v>
      </c>
      <c r="D186" s="1" t="s">
        <v>1039</v>
      </c>
      <c r="E186" s="1">
        <v>4.46</v>
      </c>
    </row>
    <row r="187" spans="1:5" x14ac:dyDescent="0.2">
      <c r="A187" s="1" t="s">
        <v>196</v>
      </c>
      <c r="B187" s="1" t="str">
        <f>VLOOKUP(Table5[[#This Row],[Student_ID]],student_data[#All],2,0)</f>
        <v>Electronics</v>
      </c>
      <c r="C187" s="1" t="s">
        <v>1033</v>
      </c>
      <c r="D187" s="1" t="s">
        <v>1034</v>
      </c>
      <c r="E187" s="1">
        <v>0</v>
      </c>
    </row>
    <row r="188" spans="1:5" x14ac:dyDescent="0.2">
      <c r="A188" s="1" t="s">
        <v>197</v>
      </c>
      <c r="B188" s="1" t="str">
        <f>VLOOKUP(Table5[[#This Row],[Student_ID]],student_data[#All],2,0)</f>
        <v>Electronics</v>
      </c>
      <c r="C188" s="1" t="s">
        <v>1031</v>
      </c>
      <c r="D188" s="1" t="s">
        <v>1038</v>
      </c>
      <c r="E188" s="1">
        <v>3.9</v>
      </c>
    </row>
    <row r="189" spans="1:5" x14ac:dyDescent="0.2">
      <c r="A189" s="1" t="s">
        <v>198</v>
      </c>
      <c r="B189" s="1" t="str">
        <f>VLOOKUP(Table5[[#This Row],[Student_ID]],student_data[#All],2,0)</f>
        <v>Civil</v>
      </c>
      <c r="C189" s="1" t="s">
        <v>1033</v>
      </c>
      <c r="D189" s="1" t="s">
        <v>1034</v>
      </c>
      <c r="E189" s="1">
        <v>0</v>
      </c>
    </row>
    <row r="190" spans="1:5" x14ac:dyDescent="0.2">
      <c r="A190" s="1" t="s">
        <v>199</v>
      </c>
      <c r="B190" s="1" t="str">
        <f>VLOOKUP(Table5[[#This Row],[Student_ID]],student_data[#All],2,0)</f>
        <v>Information Technology</v>
      </c>
      <c r="C190" s="1" t="s">
        <v>1031</v>
      </c>
      <c r="D190" s="1" t="s">
        <v>1032</v>
      </c>
      <c r="E190" s="1">
        <v>3.69</v>
      </c>
    </row>
    <row r="191" spans="1:5" x14ac:dyDescent="0.2">
      <c r="A191" s="1" t="s">
        <v>200</v>
      </c>
      <c r="B191" s="1" t="str">
        <f>VLOOKUP(Table5[[#This Row],[Student_ID]],student_data[#All],2,0)</f>
        <v>Computer Science</v>
      </c>
      <c r="C191" s="1" t="s">
        <v>1033</v>
      </c>
      <c r="D191" s="1" t="s">
        <v>1034</v>
      </c>
      <c r="E191" s="1">
        <v>0</v>
      </c>
    </row>
    <row r="192" spans="1:5" x14ac:dyDescent="0.2">
      <c r="A192" s="1" t="s">
        <v>201</v>
      </c>
      <c r="B192" s="1" t="str">
        <f>VLOOKUP(Table5[[#This Row],[Student_ID]],student_data[#All],2,0)</f>
        <v>Computer Science</v>
      </c>
      <c r="C192" s="1" t="s">
        <v>1031</v>
      </c>
      <c r="D192" s="1" t="s">
        <v>1040</v>
      </c>
      <c r="E192" s="1">
        <v>5.2</v>
      </c>
    </row>
    <row r="193" spans="1:5" x14ac:dyDescent="0.2">
      <c r="A193" s="1" t="s">
        <v>202</v>
      </c>
      <c r="B193" s="1" t="str">
        <f>VLOOKUP(Table5[[#This Row],[Student_ID]],student_data[#All],2,0)</f>
        <v>Mechanical</v>
      </c>
      <c r="C193" s="1" t="s">
        <v>1031</v>
      </c>
      <c r="D193" s="1" t="s">
        <v>1032</v>
      </c>
      <c r="E193" s="1">
        <v>5.77</v>
      </c>
    </row>
    <row r="194" spans="1:5" x14ac:dyDescent="0.2">
      <c r="A194" s="1" t="s">
        <v>203</v>
      </c>
      <c r="B194" s="1" t="str">
        <f>VLOOKUP(Table5[[#This Row],[Student_ID]],student_data[#All],2,0)</f>
        <v>Electronics</v>
      </c>
      <c r="C194" s="1" t="s">
        <v>1033</v>
      </c>
      <c r="D194" s="1" t="s">
        <v>1034</v>
      </c>
      <c r="E194" s="1">
        <v>0</v>
      </c>
    </row>
    <row r="195" spans="1:5" x14ac:dyDescent="0.2">
      <c r="A195" s="1" t="s">
        <v>204</v>
      </c>
      <c r="B195" s="1" t="str">
        <f>VLOOKUP(Table5[[#This Row],[Student_ID]],student_data[#All],2,0)</f>
        <v>Information Technology</v>
      </c>
      <c r="C195" s="1" t="s">
        <v>1031</v>
      </c>
      <c r="D195" s="1" t="s">
        <v>1035</v>
      </c>
      <c r="E195" s="1">
        <v>4.5</v>
      </c>
    </row>
    <row r="196" spans="1:5" x14ac:dyDescent="0.2">
      <c r="A196" s="1" t="s">
        <v>205</v>
      </c>
      <c r="B196" s="1" t="str">
        <f>VLOOKUP(Table5[[#This Row],[Student_ID]],student_data[#All],2,0)</f>
        <v>Civil</v>
      </c>
      <c r="C196" s="1" t="s">
        <v>1033</v>
      </c>
      <c r="D196" s="1" t="s">
        <v>1034</v>
      </c>
      <c r="E196" s="1">
        <v>0</v>
      </c>
    </row>
    <row r="197" spans="1:5" x14ac:dyDescent="0.2">
      <c r="A197" s="1" t="s">
        <v>206</v>
      </c>
      <c r="B197" s="1" t="str">
        <f>VLOOKUP(Table5[[#This Row],[Student_ID]],student_data[#All],2,0)</f>
        <v>Electronics</v>
      </c>
      <c r="C197" s="1" t="s">
        <v>1031</v>
      </c>
      <c r="D197" s="1" t="s">
        <v>1035</v>
      </c>
      <c r="E197" s="1">
        <v>5.19</v>
      </c>
    </row>
    <row r="198" spans="1:5" x14ac:dyDescent="0.2">
      <c r="A198" s="1" t="s">
        <v>207</v>
      </c>
      <c r="B198" s="1" t="str">
        <f>VLOOKUP(Table5[[#This Row],[Student_ID]],student_data[#All],2,0)</f>
        <v>Civil</v>
      </c>
      <c r="C198" s="1" t="s">
        <v>1031</v>
      </c>
      <c r="D198" s="1" t="s">
        <v>1038</v>
      </c>
      <c r="E198" s="1">
        <v>4.88</v>
      </c>
    </row>
    <row r="199" spans="1:5" x14ac:dyDescent="0.2">
      <c r="A199" s="1" t="s">
        <v>208</v>
      </c>
      <c r="B199" s="1" t="str">
        <f>VLOOKUP(Table5[[#This Row],[Student_ID]],student_data[#All],2,0)</f>
        <v>Mechanical</v>
      </c>
      <c r="C199" s="1" t="s">
        <v>1031</v>
      </c>
      <c r="D199" s="1" t="s">
        <v>1032</v>
      </c>
      <c r="E199" s="1">
        <v>4.76</v>
      </c>
    </row>
    <row r="200" spans="1:5" x14ac:dyDescent="0.2">
      <c r="A200" s="1" t="s">
        <v>209</v>
      </c>
      <c r="B200" s="1" t="str">
        <f>VLOOKUP(Table5[[#This Row],[Student_ID]],student_data[#All],2,0)</f>
        <v>Mechanical</v>
      </c>
      <c r="C200" s="1" t="s">
        <v>1033</v>
      </c>
      <c r="D200" s="1" t="s">
        <v>1034</v>
      </c>
      <c r="E200" s="1">
        <v>0</v>
      </c>
    </row>
    <row r="201" spans="1:5" x14ac:dyDescent="0.2">
      <c r="A201" s="1" t="s">
        <v>210</v>
      </c>
      <c r="B201" s="1" t="str">
        <f>VLOOKUP(Table5[[#This Row],[Student_ID]],student_data[#All],2,0)</f>
        <v>Computer Science</v>
      </c>
      <c r="C201" s="1" t="s">
        <v>1033</v>
      </c>
      <c r="D201" s="1" t="s">
        <v>1034</v>
      </c>
      <c r="E201" s="1">
        <v>0</v>
      </c>
    </row>
    <row r="202" spans="1:5" x14ac:dyDescent="0.2">
      <c r="A202" s="1" t="s">
        <v>211</v>
      </c>
      <c r="B202" s="1" t="str">
        <f>VLOOKUP(Table5[[#This Row],[Student_ID]],student_data[#All],2,0)</f>
        <v>Information Technology</v>
      </c>
      <c r="C202" s="1" t="s">
        <v>1031</v>
      </c>
      <c r="D202" s="1" t="s">
        <v>1041</v>
      </c>
      <c r="E202" s="1">
        <v>34.450000000000003</v>
      </c>
    </row>
    <row r="203" spans="1:5" x14ac:dyDescent="0.2">
      <c r="A203" s="1" t="s">
        <v>212</v>
      </c>
      <c r="B203" s="1" t="str">
        <f>VLOOKUP(Table5[[#This Row],[Student_ID]],student_data[#All],2,0)</f>
        <v>Civil</v>
      </c>
      <c r="C203" s="1" t="s">
        <v>1031</v>
      </c>
      <c r="D203" s="1" t="s">
        <v>1038</v>
      </c>
      <c r="E203" s="1">
        <v>6.34</v>
      </c>
    </row>
    <row r="204" spans="1:5" x14ac:dyDescent="0.2">
      <c r="A204" s="1" t="s">
        <v>213</v>
      </c>
      <c r="B204" s="1" t="str">
        <f>VLOOKUP(Table5[[#This Row],[Student_ID]],student_data[#All],2,0)</f>
        <v>Electronics</v>
      </c>
      <c r="C204" s="1" t="s">
        <v>1031</v>
      </c>
      <c r="D204" s="1" t="s">
        <v>1036</v>
      </c>
      <c r="E204" s="1">
        <v>14.65</v>
      </c>
    </row>
    <row r="205" spans="1:5" x14ac:dyDescent="0.2">
      <c r="A205" s="1" t="s">
        <v>214</v>
      </c>
      <c r="B205" s="1" t="str">
        <f>VLOOKUP(Table5[[#This Row],[Student_ID]],student_data[#All],2,0)</f>
        <v>Mechanical</v>
      </c>
      <c r="C205" s="1" t="s">
        <v>1031</v>
      </c>
      <c r="D205" s="1" t="s">
        <v>1038</v>
      </c>
      <c r="E205" s="1">
        <v>3.78</v>
      </c>
    </row>
    <row r="206" spans="1:5" x14ac:dyDescent="0.2">
      <c r="A206" s="1" t="s">
        <v>215</v>
      </c>
      <c r="B206" s="1" t="str">
        <f>VLOOKUP(Table5[[#This Row],[Student_ID]],student_data[#All],2,0)</f>
        <v>Computer Science</v>
      </c>
      <c r="C206" s="1" t="s">
        <v>1031</v>
      </c>
      <c r="D206" s="1" t="s">
        <v>1032</v>
      </c>
      <c r="E206" s="1">
        <v>5.78</v>
      </c>
    </row>
    <row r="207" spans="1:5" x14ac:dyDescent="0.2">
      <c r="A207" s="1" t="s">
        <v>216</v>
      </c>
      <c r="B207" s="1" t="str">
        <f>VLOOKUP(Table5[[#This Row],[Student_ID]],student_data[#All],2,0)</f>
        <v>Computer Science</v>
      </c>
      <c r="C207" s="1" t="s">
        <v>1033</v>
      </c>
      <c r="D207" s="1" t="s">
        <v>1034</v>
      </c>
      <c r="E207" s="1">
        <v>0</v>
      </c>
    </row>
    <row r="208" spans="1:5" x14ac:dyDescent="0.2">
      <c r="A208" s="1" t="s">
        <v>217</v>
      </c>
      <c r="B208" s="1" t="str">
        <f>VLOOKUP(Table5[[#This Row],[Student_ID]],student_data[#All],2,0)</f>
        <v>Civil</v>
      </c>
      <c r="C208" s="1" t="s">
        <v>1033</v>
      </c>
      <c r="D208" s="1" t="s">
        <v>1034</v>
      </c>
      <c r="E208" s="1">
        <v>0</v>
      </c>
    </row>
    <row r="209" spans="1:5" x14ac:dyDescent="0.2">
      <c r="A209" s="1" t="s">
        <v>218</v>
      </c>
      <c r="B209" s="1" t="str">
        <f>VLOOKUP(Table5[[#This Row],[Student_ID]],student_data[#All],2,0)</f>
        <v>Mechanical</v>
      </c>
      <c r="C209" s="1" t="s">
        <v>1031</v>
      </c>
      <c r="D209" s="1" t="s">
        <v>1036</v>
      </c>
      <c r="E209" s="1">
        <v>10.66</v>
      </c>
    </row>
    <row r="210" spans="1:5" x14ac:dyDescent="0.2">
      <c r="A210" s="1" t="s">
        <v>219</v>
      </c>
      <c r="B210" s="1" t="str">
        <f>VLOOKUP(Table5[[#This Row],[Student_ID]],student_data[#All],2,0)</f>
        <v>Information Technology</v>
      </c>
      <c r="C210" s="1" t="s">
        <v>1031</v>
      </c>
      <c r="D210" s="1" t="s">
        <v>1035</v>
      </c>
      <c r="E210" s="1">
        <v>5.76</v>
      </c>
    </row>
    <row r="211" spans="1:5" x14ac:dyDescent="0.2">
      <c r="A211" s="1" t="s">
        <v>220</v>
      </c>
      <c r="B211" s="1" t="str">
        <f>VLOOKUP(Table5[[#This Row],[Student_ID]],student_data[#All],2,0)</f>
        <v>Mechanical</v>
      </c>
      <c r="C211" s="1" t="s">
        <v>1031</v>
      </c>
      <c r="D211" s="1" t="s">
        <v>1040</v>
      </c>
      <c r="E211" s="1">
        <v>5.32</v>
      </c>
    </row>
    <row r="212" spans="1:5" x14ac:dyDescent="0.2">
      <c r="A212" s="1" t="s">
        <v>221</v>
      </c>
      <c r="B212" s="1" t="str">
        <f>VLOOKUP(Table5[[#This Row],[Student_ID]],student_data[#All],2,0)</f>
        <v>Civil</v>
      </c>
      <c r="C212" s="1" t="s">
        <v>1033</v>
      </c>
      <c r="D212" s="1" t="s">
        <v>1034</v>
      </c>
      <c r="E212" s="1">
        <v>0</v>
      </c>
    </row>
    <row r="213" spans="1:5" x14ac:dyDescent="0.2">
      <c r="A213" s="1" t="s">
        <v>222</v>
      </c>
      <c r="B213" s="1" t="str">
        <f>VLOOKUP(Table5[[#This Row],[Student_ID]],student_data[#All],2,0)</f>
        <v>Civil</v>
      </c>
      <c r="C213" s="1" t="s">
        <v>1031</v>
      </c>
      <c r="D213" s="1" t="s">
        <v>1035</v>
      </c>
      <c r="E213" s="1">
        <v>5.27</v>
      </c>
    </row>
    <row r="214" spans="1:5" x14ac:dyDescent="0.2">
      <c r="A214" s="1" t="s">
        <v>223</v>
      </c>
      <c r="B214" s="1" t="str">
        <f>VLOOKUP(Table5[[#This Row],[Student_ID]],student_data[#All],2,0)</f>
        <v>Mechanical</v>
      </c>
      <c r="C214" s="1" t="s">
        <v>1031</v>
      </c>
      <c r="D214" s="1" t="s">
        <v>1038</v>
      </c>
      <c r="E214" s="1">
        <v>6.98</v>
      </c>
    </row>
    <row r="215" spans="1:5" x14ac:dyDescent="0.2">
      <c r="A215" s="1" t="s">
        <v>224</v>
      </c>
      <c r="B215" s="1" t="str">
        <f>VLOOKUP(Table5[[#This Row],[Student_ID]],student_data[#All],2,0)</f>
        <v>Civil</v>
      </c>
      <c r="C215" s="1" t="s">
        <v>1033</v>
      </c>
      <c r="D215" s="1" t="s">
        <v>1034</v>
      </c>
      <c r="E215" s="1">
        <v>0</v>
      </c>
    </row>
    <row r="216" spans="1:5" x14ac:dyDescent="0.2">
      <c r="A216" s="1" t="s">
        <v>225</v>
      </c>
      <c r="B216" s="1" t="str">
        <f>VLOOKUP(Table5[[#This Row],[Student_ID]],student_data[#All],2,0)</f>
        <v>Mechanical</v>
      </c>
      <c r="C216" s="1" t="s">
        <v>1031</v>
      </c>
      <c r="D216" s="1" t="s">
        <v>1038</v>
      </c>
      <c r="E216" s="1">
        <v>5.14</v>
      </c>
    </row>
    <row r="217" spans="1:5" x14ac:dyDescent="0.2">
      <c r="A217" s="1" t="s">
        <v>226</v>
      </c>
      <c r="B217" s="1" t="str">
        <f>VLOOKUP(Table5[[#This Row],[Student_ID]],student_data[#All],2,0)</f>
        <v>Electronics</v>
      </c>
      <c r="C217" s="1" t="s">
        <v>1031</v>
      </c>
      <c r="D217" s="1" t="s">
        <v>1040</v>
      </c>
      <c r="E217" s="1">
        <v>5.1100000000000003</v>
      </c>
    </row>
    <row r="218" spans="1:5" x14ac:dyDescent="0.2">
      <c r="A218" s="1" t="s">
        <v>227</v>
      </c>
      <c r="B218" s="1" t="str">
        <f>VLOOKUP(Table5[[#This Row],[Student_ID]],student_data[#All],2,0)</f>
        <v>Mechanical</v>
      </c>
      <c r="C218" s="1" t="s">
        <v>1031</v>
      </c>
      <c r="D218" s="1" t="s">
        <v>1032</v>
      </c>
      <c r="E218" s="1">
        <v>4.3499999999999996</v>
      </c>
    </row>
    <row r="219" spans="1:5" x14ac:dyDescent="0.2">
      <c r="A219" s="1" t="s">
        <v>228</v>
      </c>
      <c r="B219" s="1" t="str">
        <f>VLOOKUP(Table5[[#This Row],[Student_ID]],student_data[#All],2,0)</f>
        <v>Mechanical</v>
      </c>
      <c r="C219" s="1" t="s">
        <v>1031</v>
      </c>
      <c r="D219" s="1" t="s">
        <v>1038</v>
      </c>
      <c r="E219" s="1">
        <v>4.0199999999999996</v>
      </c>
    </row>
    <row r="220" spans="1:5" x14ac:dyDescent="0.2">
      <c r="A220" s="1" t="s">
        <v>229</v>
      </c>
      <c r="B220" s="1" t="str">
        <f>VLOOKUP(Table5[[#This Row],[Student_ID]],student_data[#All],2,0)</f>
        <v>Civil</v>
      </c>
      <c r="C220" s="1" t="s">
        <v>1033</v>
      </c>
      <c r="D220" s="1" t="s">
        <v>1034</v>
      </c>
      <c r="E220" s="1">
        <v>0</v>
      </c>
    </row>
    <row r="221" spans="1:5" x14ac:dyDescent="0.2">
      <c r="A221" s="1" t="s">
        <v>230</v>
      </c>
      <c r="B221" s="1" t="str">
        <f>VLOOKUP(Table5[[#This Row],[Student_ID]],student_data[#All],2,0)</f>
        <v>Civil</v>
      </c>
      <c r="C221" s="1" t="s">
        <v>1031</v>
      </c>
      <c r="D221" s="1" t="s">
        <v>1037</v>
      </c>
      <c r="E221" s="1">
        <v>11.38</v>
      </c>
    </row>
    <row r="222" spans="1:5" x14ac:dyDescent="0.2">
      <c r="A222" s="1" t="s">
        <v>231</v>
      </c>
      <c r="B222" s="1" t="str">
        <f>VLOOKUP(Table5[[#This Row],[Student_ID]],student_data[#All],2,0)</f>
        <v>Computer Science</v>
      </c>
      <c r="C222" s="1" t="s">
        <v>1031</v>
      </c>
      <c r="D222" s="1" t="s">
        <v>1038</v>
      </c>
      <c r="E222" s="1">
        <v>4.2</v>
      </c>
    </row>
    <row r="223" spans="1:5" x14ac:dyDescent="0.2">
      <c r="A223" s="1" t="s">
        <v>232</v>
      </c>
      <c r="B223" s="1" t="str">
        <f>VLOOKUP(Table5[[#This Row],[Student_ID]],student_data[#All],2,0)</f>
        <v>Computer Science</v>
      </c>
      <c r="C223" s="1" t="s">
        <v>1031</v>
      </c>
      <c r="D223" s="1" t="s">
        <v>1038</v>
      </c>
      <c r="E223" s="1">
        <v>6.93</v>
      </c>
    </row>
    <row r="224" spans="1:5" x14ac:dyDescent="0.2">
      <c r="A224" s="1" t="s">
        <v>233</v>
      </c>
      <c r="B224" s="1" t="str">
        <f>VLOOKUP(Table5[[#This Row],[Student_ID]],student_data[#All],2,0)</f>
        <v>Electronics</v>
      </c>
      <c r="C224" s="1" t="s">
        <v>1031</v>
      </c>
      <c r="D224" s="1" t="s">
        <v>1035</v>
      </c>
      <c r="E224" s="1">
        <v>6.07</v>
      </c>
    </row>
    <row r="225" spans="1:5" x14ac:dyDescent="0.2">
      <c r="A225" s="1" t="s">
        <v>234</v>
      </c>
      <c r="B225" s="1" t="str">
        <f>VLOOKUP(Table5[[#This Row],[Student_ID]],student_data[#All],2,0)</f>
        <v>Computer Science</v>
      </c>
      <c r="C225" s="1" t="s">
        <v>1031</v>
      </c>
      <c r="D225" s="1" t="s">
        <v>1038</v>
      </c>
      <c r="E225" s="1">
        <v>5.33</v>
      </c>
    </row>
    <row r="226" spans="1:5" x14ac:dyDescent="0.2">
      <c r="A226" s="1" t="s">
        <v>235</v>
      </c>
      <c r="B226" s="1" t="str">
        <f>VLOOKUP(Table5[[#This Row],[Student_ID]],student_data[#All],2,0)</f>
        <v>Mechanical</v>
      </c>
      <c r="C226" s="1" t="s">
        <v>1033</v>
      </c>
      <c r="D226" s="1" t="s">
        <v>1034</v>
      </c>
      <c r="E226" s="1">
        <v>0</v>
      </c>
    </row>
    <row r="227" spans="1:5" x14ac:dyDescent="0.2">
      <c r="A227" s="1" t="s">
        <v>236</v>
      </c>
      <c r="B227" s="1" t="str">
        <f>VLOOKUP(Table5[[#This Row],[Student_ID]],student_data[#All],2,0)</f>
        <v>Civil</v>
      </c>
      <c r="C227" s="1" t="s">
        <v>1033</v>
      </c>
      <c r="D227" s="1" t="s">
        <v>1034</v>
      </c>
      <c r="E227" s="1">
        <v>0</v>
      </c>
    </row>
    <row r="228" spans="1:5" x14ac:dyDescent="0.2">
      <c r="A228" s="1" t="s">
        <v>237</v>
      </c>
      <c r="B228" s="1" t="str">
        <f>VLOOKUP(Table5[[#This Row],[Student_ID]],student_data[#All],2,0)</f>
        <v>Computer Science</v>
      </c>
      <c r="C228" s="1" t="s">
        <v>1031</v>
      </c>
      <c r="D228" s="1" t="s">
        <v>1036</v>
      </c>
      <c r="E228" s="1">
        <v>13.25</v>
      </c>
    </row>
    <row r="229" spans="1:5" x14ac:dyDescent="0.2">
      <c r="A229" s="1" t="s">
        <v>238</v>
      </c>
      <c r="B229" s="1" t="str">
        <f>VLOOKUP(Table5[[#This Row],[Student_ID]],student_data[#All],2,0)</f>
        <v>Computer Science</v>
      </c>
      <c r="C229" s="1" t="s">
        <v>1031</v>
      </c>
      <c r="D229" s="1" t="s">
        <v>1040</v>
      </c>
      <c r="E229" s="1">
        <v>6.59</v>
      </c>
    </row>
    <row r="230" spans="1:5" x14ac:dyDescent="0.2">
      <c r="A230" s="1" t="s">
        <v>239</v>
      </c>
      <c r="B230" s="1" t="str">
        <f>VLOOKUP(Table5[[#This Row],[Student_ID]],student_data[#All],2,0)</f>
        <v>Electronics</v>
      </c>
      <c r="C230" s="1" t="s">
        <v>1031</v>
      </c>
      <c r="D230" s="1" t="s">
        <v>1032</v>
      </c>
      <c r="E230" s="1">
        <v>4.8899999999999997</v>
      </c>
    </row>
    <row r="231" spans="1:5" x14ac:dyDescent="0.2">
      <c r="A231" s="1" t="s">
        <v>240</v>
      </c>
      <c r="B231" s="1" t="str">
        <f>VLOOKUP(Table5[[#This Row],[Student_ID]],student_data[#All],2,0)</f>
        <v>Electronics</v>
      </c>
      <c r="C231" s="1" t="s">
        <v>1031</v>
      </c>
      <c r="D231" s="1" t="s">
        <v>1039</v>
      </c>
      <c r="E231" s="1">
        <v>4.32</v>
      </c>
    </row>
    <row r="232" spans="1:5" x14ac:dyDescent="0.2">
      <c r="A232" s="1" t="s">
        <v>241</v>
      </c>
      <c r="B232" s="1" t="str">
        <f>VLOOKUP(Table5[[#This Row],[Student_ID]],student_data[#All],2,0)</f>
        <v>Mechanical</v>
      </c>
      <c r="C232" s="1" t="s">
        <v>1031</v>
      </c>
      <c r="D232" s="1" t="s">
        <v>1035</v>
      </c>
      <c r="E232" s="1">
        <v>3.87</v>
      </c>
    </row>
    <row r="233" spans="1:5" x14ac:dyDescent="0.2">
      <c r="A233" s="1" t="s">
        <v>242</v>
      </c>
      <c r="B233" s="1" t="str">
        <f>VLOOKUP(Table5[[#This Row],[Student_ID]],student_data[#All],2,0)</f>
        <v>Civil</v>
      </c>
      <c r="C233" s="1" t="s">
        <v>1031</v>
      </c>
      <c r="D233" s="1" t="s">
        <v>1038</v>
      </c>
      <c r="E233" s="1">
        <v>6.92</v>
      </c>
    </row>
    <row r="234" spans="1:5" x14ac:dyDescent="0.2">
      <c r="A234" s="1" t="s">
        <v>243</v>
      </c>
      <c r="B234" s="1" t="str">
        <f>VLOOKUP(Table5[[#This Row],[Student_ID]],student_data[#All],2,0)</f>
        <v>Electronics</v>
      </c>
      <c r="C234" s="1" t="s">
        <v>1031</v>
      </c>
      <c r="D234" s="1" t="s">
        <v>1038</v>
      </c>
      <c r="E234" s="1">
        <v>5.94</v>
      </c>
    </row>
    <row r="235" spans="1:5" x14ac:dyDescent="0.2">
      <c r="A235" s="1" t="s">
        <v>244</v>
      </c>
      <c r="B235" s="1" t="str">
        <f>VLOOKUP(Table5[[#This Row],[Student_ID]],student_data[#All],2,0)</f>
        <v>Computer Science</v>
      </c>
      <c r="C235" s="1" t="s">
        <v>1031</v>
      </c>
      <c r="D235" s="1" t="s">
        <v>1032</v>
      </c>
      <c r="E235" s="1">
        <v>4.71</v>
      </c>
    </row>
    <row r="236" spans="1:5" x14ac:dyDescent="0.2">
      <c r="A236" s="1" t="s">
        <v>245</v>
      </c>
      <c r="B236" s="1" t="str">
        <f>VLOOKUP(Table5[[#This Row],[Student_ID]],student_data[#All],2,0)</f>
        <v>Civil</v>
      </c>
      <c r="C236" s="1" t="s">
        <v>1031</v>
      </c>
      <c r="D236" s="1" t="s">
        <v>1035</v>
      </c>
      <c r="E236" s="1">
        <v>6.03</v>
      </c>
    </row>
    <row r="237" spans="1:5" x14ac:dyDescent="0.2">
      <c r="A237" s="1" t="s">
        <v>246</v>
      </c>
      <c r="B237" s="1" t="str">
        <f>VLOOKUP(Table5[[#This Row],[Student_ID]],student_data[#All],2,0)</f>
        <v>Civil</v>
      </c>
      <c r="C237" s="1" t="s">
        <v>1033</v>
      </c>
      <c r="D237" s="1" t="s">
        <v>1034</v>
      </c>
      <c r="E237" s="1">
        <v>0</v>
      </c>
    </row>
    <row r="238" spans="1:5" x14ac:dyDescent="0.2">
      <c r="A238" s="1" t="s">
        <v>247</v>
      </c>
      <c r="B238" s="1" t="str">
        <f>VLOOKUP(Table5[[#This Row],[Student_ID]],student_data[#All],2,0)</f>
        <v>Computer Science</v>
      </c>
      <c r="C238" s="1" t="s">
        <v>1031</v>
      </c>
      <c r="D238" s="1" t="s">
        <v>1038</v>
      </c>
      <c r="E238" s="1">
        <v>4.17</v>
      </c>
    </row>
    <row r="239" spans="1:5" x14ac:dyDescent="0.2">
      <c r="A239" s="1" t="s">
        <v>248</v>
      </c>
      <c r="B239" s="1" t="str">
        <f>VLOOKUP(Table5[[#This Row],[Student_ID]],student_data[#All],2,0)</f>
        <v>Electronics</v>
      </c>
      <c r="C239" s="1" t="s">
        <v>1033</v>
      </c>
      <c r="D239" s="1" t="s">
        <v>1034</v>
      </c>
      <c r="E239" s="1">
        <v>0</v>
      </c>
    </row>
    <row r="240" spans="1:5" x14ac:dyDescent="0.2">
      <c r="A240" s="1" t="s">
        <v>249</v>
      </c>
      <c r="B240" s="1" t="str">
        <f>VLOOKUP(Table5[[#This Row],[Student_ID]],student_data[#All],2,0)</f>
        <v>Computer Science</v>
      </c>
      <c r="C240" s="1" t="s">
        <v>1031</v>
      </c>
      <c r="D240" s="1" t="s">
        <v>1038</v>
      </c>
      <c r="E240" s="1">
        <v>6.01</v>
      </c>
    </row>
    <row r="241" spans="1:5" x14ac:dyDescent="0.2">
      <c r="A241" s="1" t="s">
        <v>250</v>
      </c>
      <c r="B241" s="1" t="str">
        <f>VLOOKUP(Table5[[#This Row],[Student_ID]],student_data[#All],2,0)</f>
        <v>Civil</v>
      </c>
      <c r="C241" s="1" t="s">
        <v>1033</v>
      </c>
      <c r="D241" s="1" t="s">
        <v>1034</v>
      </c>
      <c r="E241" s="1">
        <v>0</v>
      </c>
    </row>
    <row r="242" spans="1:5" x14ac:dyDescent="0.2">
      <c r="A242" s="1" t="s">
        <v>251</v>
      </c>
      <c r="B242" s="1" t="str">
        <f>VLOOKUP(Table5[[#This Row],[Student_ID]],student_data[#All],2,0)</f>
        <v>Information Technology</v>
      </c>
      <c r="C242" s="1" t="s">
        <v>1031</v>
      </c>
      <c r="D242" s="1" t="s">
        <v>1038</v>
      </c>
      <c r="E242" s="1">
        <v>3.89</v>
      </c>
    </row>
    <row r="243" spans="1:5" x14ac:dyDescent="0.2">
      <c r="A243" s="1" t="s">
        <v>252</v>
      </c>
      <c r="B243" s="1" t="str">
        <f>VLOOKUP(Table5[[#This Row],[Student_ID]],student_data[#All],2,0)</f>
        <v>Information Technology</v>
      </c>
      <c r="C243" s="1" t="s">
        <v>1031</v>
      </c>
      <c r="D243" s="1" t="s">
        <v>1032</v>
      </c>
      <c r="E243" s="1">
        <v>5.75</v>
      </c>
    </row>
    <row r="244" spans="1:5" x14ac:dyDescent="0.2">
      <c r="A244" s="1" t="s">
        <v>253</v>
      </c>
      <c r="B244" s="1" t="str">
        <f>VLOOKUP(Table5[[#This Row],[Student_ID]],student_data[#All],2,0)</f>
        <v>Mechanical</v>
      </c>
      <c r="C244" s="1" t="s">
        <v>1031</v>
      </c>
      <c r="D244" s="1" t="s">
        <v>1036</v>
      </c>
      <c r="E244" s="1">
        <v>10.6</v>
      </c>
    </row>
    <row r="245" spans="1:5" x14ac:dyDescent="0.2">
      <c r="A245" s="1" t="s">
        <v>254</v>
      </c>
      <c r="B245" s="1" t="str">
        <f>VLOOKUP(Table5[[#This Row],[Student_ID]],student_data[#All],2,0)</f>
        <v>Computer Science</v>
      </c>
      <c r="C245" s="1" t="s">
        <v>1031</v>
      </c>
      <c r="D245" s="1" t="s">
        <v>1038</v>
      </c>
      <c r="E245" s="1">
        <v>3.99</v>
      </c>
    </row>
    <row r="246" spans="1:5" x14ac:dyDescent="0.2">
      <c r="A246" s="1" t="s">
        <v>255</v>
      </c>
      <c r="B246" s="1" t="str">
        <f>VLOOKUP(Table5[[#This Row],[Student_ID]],student_data[#All],2,0)</f>
        <v>Computer Science</v>
      </c>
      <c r="C246" s="1" t="s">
        <v>1031</v>
      </c>
      <c r="D246" s="1" t="s">
        <v>1038</v>
      </c>
      <c r="E246" s="1">
        <v>5.99</v>
      </c>
    </row>
    <row r="247" spans="1:5" x14ac:dyDescent="0.2">
      <c r="A247" s="1" t="s">
        <v>256</v>
      </c>
      <c r="B247" s="1" t="str">
        <f>VLOOKUP(Table5[[#This Row],[Student_ID]],student_data[#All],2,0)</f>
        <v>Mechanical</v>
      </c>
      <c r="C247" s="1" t="s">
        <v>1031</v>
      </c>
      <c r="D247" s="1" t="s">
        <v>1036</v>
      </c>
      <c r="E247" s="1">
        <v>12.87</v>
      </c>
    </row>
    <row r="248" spans="1:5" x14ac:dyDescent="0.2">
      <c r="A248" s="1" t="s">
        <v>257</v>
      </c>
      <c r="B248" s="1" t="str">
        <f>VLOOKUP(Table5[[#This Row],[Student_ID]],student_data[#All],2,0)</f>
        <v>Mechanical</v>
      </c>
      <c r="C248" s="1" t="s">
        <v>1031</v>
      </c>
      <c r="D248" s="1" t="s">
        <v>1032</v>
      </c>
      <c r="E248" s="1">
        <v>5.92</v>
      </c>
    </row>
    <row r="249" spans="1:5" x14ac:dyDescent="0.2">
      <c r="A249" s="1" t="s">
        <v>258</v>
      </c>
      <c r="B249" s="1" t="str">
        <f>VLOOKUP(Table5[[#This Row],[Student_ID]],student_data[#All],2,0)</f>
        <v>Mechanical</v>
      </c>
      <c r="C249" s="1" t="s">
        <v>1031</v>
      </c>
      <c r="D249" s="1" t="s">
        <v>1038</v>
      </c>
      <c r="E249" s="1">
        <v>4.4000000000000004</v>
      </c>
    </row>
    <row r="250" spans="1:5" x14ac:dyDescent="0.2">
      <c r="A250" s="1" t="s">
        <v>259</v>
      </c>
      <c r="B250" s="1" t="str">
        <f>VLOOKUP(Table5[[#This Row],[Student_ID]],student_data[#All],2,0)</f>
        <v>Civil</v>
      </c>
      <c r="C250" s="1" t="s">
        <v>1033</v>
      </c>
      <c r="D250" s="1" t="s">
        <v>1034</v>
      </c>
      <c r="E250" s="1">
        <v>0</v>
      </c>
    </row>
    <row r="251" spans="1:5" x14ac:dyDescent="0.2">
      <c r="A251" s="1" t="s">
        <v>260</v>
      </c>
      <c r="B251" s="1" t="str">
        <f>VLOOKUP(Table5[[#This Row],[Student_ID]],student_data[#All],2,0)</f>
        <v>Computer Science</v>
      </c>
      <c r="C251" s="1" t="s">
        <v>1033</v>
      </c>
      <c r="D251" s="1" t="s">
        <v>1034</v>
      </c>
      <c r="E251" s="1">
        <v>0</v>
      </c>
    </row>
    <row r="252" spans="1:5" x14ac:dyDescent="0.2">
      <c r="A252" s="1" t="s">
        <v>261</v>
      </c>
      <c r="B252" s="1" t="str">
        <f>VLOOKUP(Table5[[#This Row],[Student_ID]],student_data[#All],2,0)</f>
        <v>Civil</v>
      </c>
      <c r="C252" s="1" t="s">
        <v>1031</v>
      </c>
      <c r="D252" s="1" t="s">
        <v>1038</v>
      </c>
      <c r="E252" s="1">
        <v>3.61</v>
      </c>
    </row>
    <row r="253" spans="1:5" x14ac:dyDescent="0.2">
      <c r="A253" s="1" t="s">
        <v>262</v>
      </c>
      <c r="B253" s="1" t="str">
        <f>VLOOKUP(Table5[[#This Row],[Student_ID]],student_data[#All],2,0)</f>
        <v>Mechanical</v>
      </c>
      <c r="C253" s="1" t="s">
        <v>1031</v>
      </c>
      <c r="D253" s="1" t="s">
        <v>1038</v>
      </c>
      <c r="E253" s="1">
        <v>5.49</v>
      </c>
    </row>
    <row r="254" spans="1:5" x14ac:dyDescent="0.2">
      <c r="A254" s="1" t="s">
        <v>263</v>
      </c>
      <c r="B254" s="1" t="str">
        <f>VLOOKUP(Table5[[#This Row],[Student_ID]],student_data[#All],2,0)</f>
        <v>Computer Science</v>
      </c>
      <c r="C254" s="1" t="s">
        <v>1031</v>
      </c>
      <c r="D254" s="1" t="s">
        <v>1036</v>
      </c>
      <c r="E254" s="1">
        <v>8.4700000000000006</v>
      </c>
    </row>
    <row r="255" spans="1:5" x14ac:dyDescent="0.2">
      <c r="A255" s="1" t="s">
        <v>264</v>
      </c>
      <c r="B255" s="1" t="str">
        <f>VLOOKUP(Table5[[#This Row],[Student_ID]],student_data[#All],2,0)</f>
        <v>Civil</v>
      </c>
      <c r="C255" s="1" t="s">
        <v>1031</v>
      </c>
      <c r="D255" s="1" t="s">
        <v>1032</v>
      </c>
      <c r="E255" s="1">
        <v>5.04</v>
      </c>
    </row>
    <row r="256" spans="1:5" x14ac:dyDescent="0.2">
      <c r="A256" s="1" t="s">
        <v>265</v>
      </c>
      <c r="B256" s="1" t="str">
        <f>VLOOKUP(Table5[[#This Row],[Student_ID]],student_data[#All],2,0)</f>
        <v>Civil</v>
      </c>
      <c r="C256" s="1" t="s">
        <v>1033</v>
      </c>
      <c r="D256" s="1" t="s">
        <v>1034</v>
      </c>
      <c r="E256" s="1">
        <v>0</v>
      </c>
    </row>
    <row r="257" spans="1:5" x14ac:dyDescent="0.2">
      <c r="A257" s="1" t="s">
        <v>266</v>
      </c>
      <c r="B257" s="1" t="str">
        <f>VLOOKUP(Table5[[#This Row],[Student_ID]],student_data[#All],2,0)</f>
        <v>Mechanical</v>
      </c>
      <c r="C257" s="1" t="s">
        <v>1031</v>
      </c>
      <c r="D257" s="1" t="s">
        <v>1035</v>
      </c>
      <c r="E257" s="1">
        <v>5.55</v>
      </c>
    </row>
    <row r="258" spans="1:5" x14ac:dyDescent="0.2">
      <c r="A258" s="1" t="s">
        <v>267</v>
      </c>
      <c r="B258" s="1" t="str">
        <f>VLOOKUP(Table5[[#This Row],[Student_ID]],student_data[#All],2,0)</f>
        <v>Computer Science</v>
      </c>
      <c r="C258" s="1" t="s">
        <v>1031</v>
      </c>
      <c r="D258" s="1" t="s">
        <v>1036</v>
      </c>
      <c r="E258" s="1">
        <v>10.15</v>
      </c>
    </row>
    <row r="259" spans="1:5" x14ac:dyDescent="0.2">
      <c r="A259" s="1" t="s">
        <v>268</v>
      </c>
      <c r="B259" s="1" t="str">
        <f>VLOOKUP(Table5[[#This Row],[Student_ID]],student_data[#All],2,0)</f>
        <v>Mechanical</v>
      </c>
      <c r="C259" s="1" t="s">
        <v>1031</v>
      </c>
      <c r="D259" s="1" t="s">
        <v>1040</v>
      </c>
      <c r="E259" s="1">
        <v>5.17</v>
      </c>
    </row>
    <row r="260" spans="1:5" x14ac:dyDescent="0.2">
      <c r="A260" s="1" t="s">
        <v>269</v>
      </c>
      <c r="B260" s="1" t="str">
        <f>VLOOKUP(Table5[[#This Row],[Student_ID]],student_data[#All],2,0)</f>
        <v>Computer Science</v>
      </c>
      <c r="C260" s="1" t="s">
        <v>1033</v>
      </c>
      <c r="D260" s="1" t="s">
        <v>1034</v>
      </c>
      <c r="E260" s="1">
        <v>0</v>
      </c>
    </row>
    <row r="261" spans="1:5" x14ac:dyDescent="0.2">
      <c r="A261" s="1" t="s">
        <v>270</v>
      </c>
      <c r="B261" s="1" t="str">
        <f>VLOOKUP(Table5[[#This Row],[Student_ID]],student_data[#All],2,0)</f>
        <v>Information Technology</v>
      </c>
      <c r="C261" s="1" t="s">
        <v>1031</v>
      </c>
      <c r="D261" s="1" t="s">
        <v>1032</v>
      </c>
      <c r="E261" s="1">
        <v>4.2</v>
      </c>
    </row>
    <row r="262" spans="1:5" x14ac:dyDescent="0.2">
      <c r="A262" s="1" t="s">
        <v>271</v>
      </c>
      <c r="B262" s="1" t="str">
        <f>VLOOKUP(Table5[[#This Row],[Student_ID]],student_data[#All],2,0)</f>
        <v>Electronics</v>
      </c>
      <c r="C262" s="1" t="s">
        <v>1031</v>
      </c>
      <c r="D262" s="1" t="s">
        <v>1035</v>
      </c>
      <c r="E262" s="1">
        <v>4.6399999999999997</v>
      </c>
    </row>
    <row r="263" spans="1:5" x14ac:dyDescent="0.2">
      <c r="A263" s="1" t="s">
        <v>272</v>
      </c>
      <c r="B263" s="1" t="str">
        <f>VLOOKUP(Table5[[#This Row],[Student_ID]],student_data[#All],2,0)</f>
        <v>Electronics</v>
      </c>
      <c r="C263" s="1" t="s">
        <v>1031</v>
      </c>
      <c r="D263" s="1" t="s">
        <v>1035</v>
      </c>
      <c r="E263" s="1">
        <v>4.12</v>
      </c>
    </row>
    <row r="264" spans="1:5" x14ac:dyDescent="0.2">
      <c r="A264" s="1" t="s">
        <v>273</v>
      </c>
      <c r="B264" s="1" t="str">
        <f>VLOOKUP(Table5[[#This Row],[Student_ID]],student_data[#All],2,0)</f>
        <v>Electronics</v>
      </c>
      <c r="C264" s="1" t="s">
        <v>1031</v>
      </c>
      <c r="D264" s="1" t="s">
        <v>1036</v>
      </c>
      <c r="E264" s="1">
        <v>8.69</v>
      </c>
    </row>
    <row r="265" spans="1:5" x14ac:dyDescent="0.2">
      <c r="A265" s="1" t="s">
        <v>274</v>
      </c>
      <c r="B265" s="1" t="str">
        <f>VLOOKUP(Table5[[#This Row],[Student_ID]],student_data[#All],2,0)</f>
        <v>Mechanical</v>
      </c>
      <c r="C265" s="1" t="s">
        <v>1031</v>
      </c>
      <c r="D265" s="1" t="s">
        <v>1035</v>
      </c>
      <c r="E265" s="1">
        <v>5.88</v>
      </c>
    </row>
    <row r="266" spans="1:5" x14ac:dyDescent="0.2">
      <c r="A266" s="1" t="s">
        <v>275</v>
      </c>
      <c r="B266" s="1" t="str">
        <f>VLOOKUP(Table5[[#This Row],[Student_ID]],student_data[#All],2,0)</f>
        <v>Information Technology</v>
      </c>
      <c r="C266" s="1" t="s">
        <v>1031</v>
      </c>
      <c r="D266" s="1" t="s">
        <v>1038</v>
      </c>
      <c r="E266" s="1">
        <v>5.98</v>
      </c>
    </row>
    <row r="267" spans="1:5" x14ac:dyDescent="0.2">
      <c r="A267" s="1" t="s">
        <v>276</v>
      </c>
      <c r="B267" s="1" t="str">
        <f>VLOOKUP(Table5[[#This Row],[Student_ID]],student_data[#All],2,0)</f>
        <v>Computer Science</v>
      </c>
      <c r="C267" s="1" t="s">
        <v>1031</v>
      </c>
      <c r="D267" s="1" t="s">
        <v>1038</v>
      </c>
      <c r="E267" s="1">
        <v>4.72</v>
      </c>
    </row>
    <row r="268" spans="1:5" x14ac:dyDescent="0.2">
      <c r="A268" s="1" t="s">
        <v>277</v>
      </c>
      <c r="B268" s="1" t="str">
        <f>VLOOKUP(Table5[[#This Row],[Student_ID]],student_data[#All],2,0)</f>
        <v>Civil</v>
      </c>
      <c r="C268" s="1" t="s">
        <v>1033</v>
      </c>
      <c r="D268" s="1" t="s">
        <v>1034</v>
      </c>
      <c r="E268" s="1">
        <v>0</v>
      </c>
    </row>
    <row r="269" spans="1:5" x14ac:dyDescent="0.2">
      <c r="A269" s="1" t="s">
        <v>278</v>
      </c>
      <c r="B269" s="1" t="str">
        <f>VLOOKUP(Table5[[#This Row],[Student_ID]],student_data[#All],2,0)</f>
        <v>Computer Science</v>
      </c>
      <c r="C269" s="1" t="s">
        <v>1031</v>
      </c>
      <c r="D269" s="1" t="s">
        <v>1038</v>
      </c>
      <c r="E269" s="1">
        <v>6.96</v>
      </c>
    </row>
    <row r="270" spans="1:5" x14ac:dyDescent="0.2">
      <c r="A270" s="1" t="s">
        <v>279</v>
      </c>
      <c r="B270" s="1" t="str">
        <f>VLOOKUP(Table5[[#This Row],[Student_ID]],student_data[#All],2,0)</f>
        <v>Civil</v>
      </c>
      <c r="C270" s="1" t="s">
        <v>1031</v>
      </c>
      <c r="D270" s="1" t="s">
        <v>1038</v>
      </c>
      <c r="E270" s="1">
        <v>6.18</v>
      </c>
    </row>
    <row r="271" spans="1:5" x14ac:dyDescent="0.2">
      <c r="A271" s="1" t="s">
        <v>280</v>
      </c>
      <c r="B271" s="1" t="str">
        <f>VLOOKUP(Table5[[#This Row],[Student_ID]],student_data[#All],2,0)</f>
        <v>Computer Science</v>
      </c>
      <c r="C271" s="1" t="s">
        <v>1033</v>
      </c>
      <c r="D271" s="1" t="s">
        <v>1034</v>
      </c>
      <c r="E271" s="1">
        <v>0</v>
      </c>
    </row>
    <row r="272" spans="1:5" x14ac:dyDescent="0.2">
      <c r="A272" s="1" t="s">
        <v>281</v>
      </c>
      <c r="B272" s="1" t="str">
        <f>VLOOKUP(Table5[[#This Row],[Student_ID]],student_data[#All],2,0)</f>
        <v>Information Technology</v>
      </c>
      <c r="C272" s="1" t="s">
        <v>1033</v>
      </c>
      <c r="D272" s="1" t="s">
        <v>1034</v>
      </c>
      <c r="E272" s="1">
        <v>0</v>
      </c>
    </row>
    <row r="273" spans="1:5" x14ac:dyDescent="0.2">
      <c r="A273" s="1" t="s">
        <v>282</v>
      </c>
      <c r="B273" s="1" t="str">
        <f>VLOOKUP(Table5[[#This Row],[Student_ID]],student_data[#All],2,0)</f>
        <v>Civil</v>
      </c>
      <c r="C273" s="1" t="s">
        <v>1031</v>
      </c>
      <c r="D273" s="1" t="s">
        <v>1032</v>
      </c>
      <c r="E273" s="1">
        <v>5.27</v>
      </c>
    </row>
    <row r="274" spans="1:5" x14ac:dyDescent="0.2">
      <c r="A274" s="1" t="s">
        <v>283</v>
      </c>
      <c r="B274" s="1" t="str">
        <f>VLOOKUP(Table5[[#This Row],[Student_ID]],student_data[#All],2,0)</f>
        <v>Mechanical</v>
      </c>
      <c r="C274" s="1" t="s">
        <v>1033</v>
      </c>
      <c r="D274" s="1" t="s">
        <v>1034</v>
      </c>
      <c r="E274" s="1">
        <v>0</v>
      </c>
    </row>
    <row r="275" spans="1:5" x14ac:dyDescent="0.2">
      <c r="A275" s="1" t="s">
        <v>284</v>
      </c>
      <c r="B275" s="1" t="str">
        <f>VLOOKUP(Table5[[#This Row],[Student_ID]],student_data[#All],2,0)</f>
        <v>Computer Science</v>
      </c>
      <c r="C275" s="1" t="s">
        <v>1031</v>
      </c>
      <c r="D275" s="1" t="s">
        <v>1036</v>
      </c>
      <c r="E275" s="1">
        <v>14.61</v>
      </c>
    </row>
    <row r="276" spans="1:5" x14ac:dyDescent="0.2">
      <c r="A276" s="1" t="s">
        <v>285</v>
      </c>
      <c r="B276" s="1" t="str">
        <f>VLOOKUP(Table5[[#This Row],[Student_ID]],student_data[#All],2,0)</f>
        <v>Computer Science</v>
      </c>
      <c r="C276" s="1" t="s">
        <v>1033</v>
      </c>
      <c r="D276" s="1" t="s">
        <v>1034</v>
      </c>
      <c r="E276" s="1">
        <v>0</v>
      </c>
    </row>
    <row r="277" spans="1:5" x14ac:dyDescent="0.2">
      <c r="A277" s="1" t="s">
        <v>286</v>
      </c>
      <c r="B277" s="1" t="str">
        <f>VLOOKUP(Table5[[#This Row],[Student_ID]],student_data[#All],2,0)</f>
        <v>Civil</v>
      </c>
      <c r="C277" s="1" t="s">
        <v>1031</v>
      </c>
      <c r="D277" s="1" t="s">
        <v>1032</v>
      </c>
      <c r="E277" s="1">
        <v>6.86</v>
      </c>
    </row>
    <row r="278" spans="1:5" x14ac:dyDescent="0.2">
      <c r="A278" s="1" t="s">
        <v>287</v>
      </c>
      <c r="B278" s="1" t="str">
        <f>VLOOKUP(Table5[[#This Row],[Student_ID]],student_data[#All],2,0)</f>
        <v>Mechanical</v>
      </c>
      <c r="C278" s="1" t="s">
        <v>1031</v>
      </c>
      <c r="D278" s="1" t="s">
        <v>1035</v>
      </c>
      <c r="E278" s="1">
        <v>5.19</v>
      </c>
    </row>
    <row r="279" spans="1:5" x14ac:dyDescent="0.2">
      <c r="A279" s="1" t="s">
        <v>288</v>
      </c>
      <c r="B279" s="1" t="str">
        <f>VLOOKUP(Table5[[#This Row],[Student_ID]],student_data[#All],2,0)</f>
        <v>Mechanical</v>
      </c>
      <c r="C279" s="1" t="s">
        <v>1031</v>
      </c>
      <c r="D279" s="1" t="s">
        <v>1039</v>
      </c>
      <c r="E279" s="1">
        <v>4.12</v>
      </c>
    </row>
    <row r="280" spans="1:5" x14ac:dyDescent="0.2">
      <c r="A280" s="1" t="s">
        <v>289</v>
      </c>
      <c r="B280" s="1" t="str">
        <f>VLOOKUP(Table5[[#This Row],[Student_ID]],student_data[#All],2,0)</f>
        <v>Information Technology</v>
      </c>
      <c r="C280" s="1" t="s">
        <v>1033</v>
      </c>
      <c r="D280" s="1" t="s">
        <v>1034</v>
      </c>
      <c r="E280" s="1">
        <v>0</v>
      </c>
    </row>
    <row r="281" spans="1:5" x14ac:dyDescent="0.2">
      <c r="A281" s="1" t="s">
        <v>290</v>
      </c>
      <c r="B281" s="1" t="str">
        <f>VLOOKUP(Table5[[#This Row],[Student_ID]],student_data[#All],2,0)</f>
        <v>Mechanical</v>
      </c>
      <c r="C281" s="1" t="s">
        <v>1031</v>
      </c>
      <c r="D281" s="1" t="s">
        <v>1040</v>
      </c>
      <c r="E281" s="1">
        <v>4.24</v>
      </c>
    </row>
    <row r="282" spans="1:5" x14ac:dyDescent="0.2">
      <c r="A282" s="1" t="s">
        <v>291</v>
      </c>
      <c r="B282" s="1" t="str">
        <f>VLOOKUP(Table5[[#This Row],[Student_ID]],student_data[#All],2,0)</f>
        <v>Mechanical</v>
      </c>
      <c r="C282" s="1" t="s">
        <v>1031</v>
      </c>
      <c r="D282" s="1" t="s">
        <v>1035</v>
      </c>
      <c r="E282" s="1">
        <v>3.56</v>
      </c>
    </row>
    <row r="283" spans="1:5" x14ac:dyDescent="0.2">
      <c r="A283" s="1" t="s">
        <v>292</v>
      </c>
      <c r="B283" s="1" t="str">
        <f>VLOOKUP(Table5[[#This Row],[Student_ID]],student_data[#All],2,0)</f>
        <v>Mechanical</v>
      </c>
      <c r="C283" s="1" t="s">
        <v>1031</v>
      </c>
      <c r="D283" s="1" t="s">
        <v>1032</v>
      </c>
      <c r="E283" s="1">
        <v>4.3499999999999996</v>
      </c>
    </row>
    <row r="284" spans="1:5" x14ac:dyDescent="0.2">
      <c r="A284" s="1" t="s">
        <v>293</v>
      </c>
      <c r="B284" s="1" t="str">
        <f>VLOOKUP(Table5[[#This Row],[Student_ID]],student_data[#All],2,0)</f>
        <v>Electronics</v>
      </c>
      <c r="C284" s="1" t="s">
        <v>1031</v>
      </c>
      <c r="D284" s="1" t="s">
        <v>1036</v>
      </c>
      <c r="E284" s="1">
        <v>14.77</v>
      </c>
    </row>
    <row r="285" spans="1:5" x14ac:dyDescent="0.2">
      <c r="A285" s="1" t="s">
        <v>294</v>
      </c>
      <c r="B285" s="1" t="str">
        <f>VLOOKUP(Table5[[#This Row],[Student_ID]],student_data[#All],2,0)</f>
        <v>Information Technology</v>
      </c>
      <c r="C285" s="1" t="s">
        <v>1033</v>
      </c>
      <c r="D285" s="1" t="s">
        <v>1034</v>
      </c>
      <c r="E285" s="1">
        <v>0</v>
      </c>
    </row>
    <row r="286" spans="1:5" x14ac:dyDescent="0.2">
      <c r="A286" s="1" t="s">
        <v>295</v>
      </c>
      <c r="B286" s="1" t="str">
        <f>VLOOKUP(Table5[[#This Row],[Student_ID]],student_data[#All],2,0)</f>
        <v>Computer Science</v>
      </c>
      <c r="C286" s="1" t="s">
        <v>1031</v>
      </c>
      <c r="D286" s="1" t="s">
        <v>1032</v>
      </c>
      <c r="E286" s="1">
        <v>5.65</v>
      </c>
    </row>
    <row r="287" spans="1:5" x14ac:dyDescent="0.2">
      <c r="A287" s="1" t="s">
        <v>296</v>
      </c>
      <c r="B287" s="1" t="str">
        <f>VLOOKUP(Table5[[#This Row],[Student_ID]],student_data[#All],2,0)</f>
        <v>Civil</v>
      </c>
      <c r="C287" s="1" t="s">
        <v>1031</v>
      </c>
      <c r="D287" s="1" t="s">
        <v>1038</v>
      </c>
      <c r="E287" s="1">
        <v>5.34</v>
      </c>
    </row>
    <row r="288" spans="1:5" x14ac:dyDescent="0.2">
      <c r="A288" s="1" t="s">
        <v>297</v>
      </c>
      <c r="B288" s="1" t="str">
        <f>VLOOKUP(Table5[[#This Row],[Student_ID]],student_data[#All],2,0)</f>
        <v>Computer Science</v>
      </c>
      <c r="C288" s="1" t="s">
        <v>1031</v>
      </c>
      <c r="D288" s="1" t="s">
        <v>1040</v>
      </c>
      <c r="E288" s="1">
        <v>6.38</v>
      </c>
    </row>
    <row r="289" spans="1:5" x14ac:dyDescent="0.2">
      <c r="A289" s="1" t="s">
        <v>298</v>
      </c>
      <c r="B289" s="1" t="str">
        <f>VLOOKUP(Table5[[#This Row],[Student_ID]],student_data[#All],2,0)</f>
        <v>Information Technology</v>
      </c>
      <c r="C289" s="1" t="s">
        <v>1031</v>
      </c>
      <c r="D289" s="1" t="s">
        <v>1039</v>
      </c>
      <c r="E289" s="1">
        <v>3.67</v>
      </c>
    </row>
    <row r="290" spans="1:5" x14ac:dyDescent="0.2">
      <c r="A290" s="1" t="s">
        <v>299</v>
      </c>
      <c r="B290" s="1" t="str">
        <f>VLOOKUP(Table5[[#This Row],[Student_ID]],student_data[#All],2,0)</f>
        <v>Civil</v>
      </c>
      <c r="C290" s="1" t="s">
        <v>1031</v>
      </c>
      <c r="D290" s="1" t="s">
        <v>1036</v>
      </c>
      <c r="E290" s="1">
        <v>9.75</v>
      </c>
    </row>
    <row r="291" spans="1:5" x14ac:dyDescent="0.2">
      <c r="A291" s="1" t="s">
        <v>300</v>
      </c>
      <c r="B291" s="1" t="str">
        <f>VLOOKUP(Table5[[#This Row],[Student_ID]],student_data[#All],2,0)</f>
        <v>Information Technology</v>
      </c>
      <c r="C291" s="1" t="s">
        <v>1033</v>
      </c>
      <c r="D291" s="1" t="s">
        <v>1034</v>
      </c>
      <c r="E291" s="1">
        <v>0</v>
      </c>
    </row>
    <row r="292" spans="1:5" x14ac:dyDescent="0.2">
      <c r="A292" s="1" t="s">
        <v>301</v>
      </c>
      <c r="B292" s="1" t="str">
        <f>VLOOKUP(Table5[[#This Row],[Student_ID]],student_data[#All],2,0)</f>
        <v>Mechanical</v>
      </c>
      <c r="C292" s="1" t="s">
        <v>1031</v>
      </c>
      <c r="D292" s="1" t="s">
        <v>1035</v>
      </c>
      <c r="E292" s="1">
        <v>5.94</v>
      </c>
    </row>
    <row r="293" spans="1:5" x14ac:dyDescent="0.2">
      <c r="A293" s="1" t="s">
        <v>302</v>
      </c>
      <c r="B293" s="1" t="str">
        <f>VLOOKUP(Table5[[#This Row],[Student_ID]],student_data[#All],2,0)</f>
        <v>Civil</v>
      </c>
      <c r="C293" s="1" t="s">
        <v>1031</v>
      </c>
      <c r="D293" s="1" t="s">
        <v>1032</v>
      </c>
      <c r="E293" s="1">
        <v>4.92</v>
      </c>
    </row>
    <row r="294" spans="1:5" x14ac:dyDescent="0.2">
      <c r="A294" s="1" t="s">
        <v>303</v>
      </c>
      <c r="B294" s="1" t="str">
        <f>VLOOKUP(Table5[[#This Row],[Student_ID]],student_data[#All],2,0)</f>
        <v>Mechanical</v>
      </c>
      <c r="C294" s="1" t="s">
        <v>1031</v>
      </c>
      <c r="D294" s="1" t="s">
        <v>1035</v>
      </c>
      <c r="E294" s="1">
        <v>5.64</v>
      </c>
    </row>
    <row r="295" spans="1:5" x14ac:dyDescent="0.2">
      <c r="A295" s="1" t="s">
        <v>304</v>
      </c>
      <c r="B295" s="1" t="str">
        <f>VLOOKUP(Table5[[#This Row],[Student_ID]],student_data[#All],2,0)</f>
        <v>Computer Science</v>
      </c>
      <c r="C295" s="1" t="s">
        <v>1031</v>
      </c>
      <c r="D295" s="1" t="s">
        <v>1038</v>
      </c>
      <c r="E295" s="1">
        <v>4.01</v>
      </c>
    </row>
    <row r="296" spans="1:5" x14ac:dyDescent="0.2">
      <c r="A296" s="1" t="s">
        <v>305</v>
      </c>
      <c r="B296" s="1" t="str">
        <f>VLOOKUP(Table5[[#This Row],[Student_ID]],student_data[#All],2,0)</f>
        <v>Computer Science</v>
      </c>
      <c r="C296" s="1" t="s">
        <v>1031</v>
      </c>
      <c r="D296" s="1" t="s">
        <v>1032</v>
      </c>
      <c r="E296" s="1">
        <v>3.53</v>
      </c>
    </row>
    <row r="297" spans="1:5" x14ac:dyDescent="0.2">
      <c r="A297" s="1" t="s">
        <v>306</v>
      </c>
      <c r="B297" s="1" t="str">
        <f>VLOOKUP(Table5[[#This Row],[Student_ID]],student_data[#All],2,0)</f>
        <v>Civil</v>
      </c>
      <c r="C297" s="1" t="s">
        <v>1031</v>
      </c>
      <c r="D297" s="1" t="s">
        <v>1037</v>
      </c>
      <c r="E297" s="1">
        <v>11.75</v>
      </c>
    </row>
    <row r="298" spans="1:5" x14ac:dyDescent="0.2">
      <c r="A298" s="1" t="s">
        <v>307</v>
      </c>
      <c r="B298" s="1" t="str">
        <f>VLOOKUP(Table5[[#This Row],[Student_ID]],student_data[#All],2,0)</f>
        <v>Civil</v>
      </c>
      <c r="C298" s="1" t="s">
        <v>1031</v>
      </c>
      <c r="D298" s="1" t="s">
        <v>1032</v>
      </c>
      <c r="E298" s="1">
        <v>4.28</v>
      </c>
    </row>
    <row r="299" spans="1:5" x14ac:dyDescent="0.2">
      <c r="A299" s="1" t="s">
        <v>308</v>
      </c>
      <c r="B299" s="1" t="str">
        <f>VLOOKUP(Table5[[#This Row],[Student_ID]],student_data[#All],2,0)</f>
        <v>Information Technology</v>
      </c>
      <c r="C299" s="1" t="s">
        <v>1033</v>
      </c>
      <c r="D299" s="1" t="s">
        <v>1034</v>
      </c>
      <c r="E299" s="1">
        <v>0</v>
      </c>
    </row>
    <row r="300" spans="1:5" x14ac:dyDescent="0.2">
      <c r="A300" s="1" t="s">
        <v>309</v>
      </c>
      <c r="B300" s="1" t="str">
        <f>VLOOKUP(Table5[[#This Row],[Student_ID]],student_data[#All],2,0)</f>
        <v>Information Technology</v>
      </c>
      <c r="C300" s="1" t="s">
        <v>1031</v>
      </c>
      <c r="D300" s="1" t="s">
        <v>1032</v>
      </c>
      <c r="E300" s="1">
        <v>6.84</v>
      </c>
    </row>
    <row r="301" spans="1:5" x14ac:dyDescent="0.2">
      <c r="A301" s="1" t="s">
        <v>310</v>
      </c>
      <c r="B301" s="1" t="str">
        <f>VLOOKUP(Table5[[#This Row],[Student_ID]],student_data[#All],2,0)</f>
        <v>Mechanical</v>
      </c>
      <c r="C301" s="1" t="s">
        <v>1031</v>
      </c>
      <c r="D301" s="1" t="s">
        <v>1032</v>
      </c>
      <c r="E301" s="1">
        <v>3.64</v>
      </c>
    </row>
    <row r="302" spans="1:5" x14ac:dyDescent="0.2">
      <c r="A302" s="1" t="s">
        <v>311</v>
      </c>
      <c r="B302" s="1" t="str">
        <f>VLOOKUP(Table5[[#This Row],[Student_ID]],student_data[#All],2,0)</f>
        <v>Civil</v>
      </c>
      <c r="C302" s="1" t="s">
        <v>1031</v>
      </c>
      <c r="D302" s="1" t="s">
        <v>1039</v>
      </c>
      <c r="E302" s="1">
        <v>3.87</v>
      </c>
    </row>
    <row r="303" spans="1:5" x14ac:dyDescent="0.2">
      <c r="A303" s="1" t="s">
        <v>312</v>
      </c>
      <c r="B303" s="1" t="str">
        <f>VLOOKUP(Table5[[#This Row],[Student_ID]],student_data[#All],2,0)</f>
        <v>Computer Science</v>
      </c>
      <c r="C303" s="1" t="s">
        <v>1033</v>
      </c>
      <c r="D303" s="1" t="s">
        <v>1034</v>
      </c>
      <c r="E303" s="1">
        <v>0</v>
      </c>
    </row>
    <row r="304" spans="1:5" x14ac:dyDescent="0.2">
      <c r="A304" s="1" t="s">
        <v>313</v>
      </c>
      <c r="B304" s="1" t="str">
        <f>VLOOKUP(Table5[[#This Row],[Student_ID]],student_data[#All],2,0)</f>
        <v>Information Technology</v>
      </c>
      <c r="C304" s="1" t="s">
        <v>1031</v>
      </c>
      <c r="D304" s="1" t="s">
        <v>1035</v>
      </c>
      <c r="E304" s="1">
        <v>5.77</v>
      </c>
    </row>
    <row r="305" spans="1:5" x14ac:dyDescent="0.2">
      <c r="A305" s="1" t="s">
        <v>314</v>
      </c>
      <c r="B305" s="1" t="str">
        <f>VLOOKUP(Table5[[#This Row],[Student_ID]],student_data[#All],2,0)</f>
        <v>Information Technology</v>
      </c>
      <c r="C305" s="1" t="s">
        <v>1031</v>
      </c>
      <c r="D305" s="1" t="s">
        <v>1039</v>
      </c>
      <c r="E305" s="1">
        <v>3.9</v>
      </c>
    </row>
    <row r="306" spans="1:5" x14ac:dyDescent="0.2">
      <c r="A306" s="1" t="s">
        <v>315</v>
      </c>
      <c r="B306" s="1" t="str">
        <f>VLOOKUP(Table5[[#This Row],[Student_ID]],student_data[#All],2,0)</f>
        <v>Computer Science</v>
      </c>
      <c r="C306" s="1" t="s">
        <v>1033</v>
      </c>
      <c r="D306" s="1" t="s">
        <v>1034</v>
      </c>
      <c r="E306" s="1">
        <v>0</v>
      </c>
    </row>
    <row r="307" spans="1:5" x14ac:dyDescent="0.2">
      <c r="A307" s="1" t="s">
        <v>316</v>
      </c>
      <c r="B307" s="1" t="str">
        <f>VLOOKUP(Table5[[#This Row],[Student_ID]],student_data[#All],2,0)</f>
        <v>Information Technology</v>
      </c>
      <c r="C307" s="1" t="s">
        <v>1031</v>
      </c>
      <c r="D307" s="1" t="s">
        <v>1038</v>
      </c>
      <c r="E307" s="1">
        <v>3.92</v>
      </c>
    </row>
    <row r="308" spans="1:5" x14ac:dyDescent="0.2">
      <c r="A308" s="1" t="s">
        <v>317</v>
      </c>
      <c r="B308" s="1" t="str">
        <f>VLOOKUP(Table5[[#This Row],[Student_ID]],student_data[#All],2,0)</f>
        <v>Mechanical</v>
      </c>
      <c r="C308" s="1" t="s">
        <v>1033</v>
      </c>
      <c r="D308" s="1" t="s">
        <v>1034</v>
      </c>
      <c r="E308" s="1">
        <v>0</v>
      </c>
    </row>
    <row r="309" spans="1:5" x14ac:dyDescent="0.2">
      <c r="A309" s="1" t="s">
        <v>318</v>
      </c>
      <c r="B309" s="1" t="str">
        <f>VLOOKUP(Table5[[#This Row],[Student_ID]],student_data[#All],2,0)</f>
        <v>Civil</v>
      </c>
      <c r="C309" s="1" t="s">
        <v>1031</v>
      </c>
      <c r="D309" s="1" t="s">
        <v>1035</v>
      </c>
      <c r="E309" s="1">
        <v>6.07</v>
      </c>
    </row>
    <row r="310" spans="1:5" x14ac:dyDescent="0.2">
      <c r="A310" s="1" t="s">
        <v>319</v>
      </c>
      <c r="B310" s="1" t="str">
        <f>VLOOKUP(Table5[[#This Row],[Student_ID]],student_data[#All],2,0)</f>
        <v>Computer Science</v>
      </c>
      <c r="C310" s="1" t="s">
        <v>1031</v>
      </c>
      <c r="D310" s="1" t="s">
        <v>1036</v>
      </c>
      <c r="E310" s="1">
        <v>13.62</v>
      </c>
    </row>
    <row r="311" spans="1:5" x14ac:dyDescent="0.2">
      <c r="A311" s="1" t="s">
        <v>320</v>
      </c>
      <c r="B311" s="1" t="str">
        <f>VLOOKUP(Table5[[#This Row],[Student_ID]],student_data[#All],2,0)</f>
        <v>Civil</v>
      </c>
      <c r="C311" s="1" t="s">
        <v>1033</v>
      </c>
      <c r="D311" s="1" t="s">
        <v>1034</v>
      </c>
      <c r="E311" s="1">
        <v>0</v>
      </c>
    </row>
    <row r="312" spans="1:5" x14ac:dyDescent="0.2">
      <c r="A312" s="1" t="s">
        <v>321</v>
      </c>
      <c r="B312" s="1" t="str">
        <f>VLOOKUP(Table5[[#This Row],[Student_ID]],student_data[#All],2,0)</f>
        <v>Information Technology</v>
      </c>
      <c r="C312" s="1" t="s">
        <v>1031</v>
      </c>
      <c r="D312" s="1" t="s">
        <v>1032</v>
      </c>
      <c r="E312" s="1">
        <v>5.43</v>
      </c>
    </row>
    <row r="313" spans="1:5" x14ac:dyDescent="0.2">
      <c r="A313" s="1" t="s">
        <v>322</v>
      </c>
      <c r="B313" s="1" t="str">
        <f>VLOOKUP(Table5[[#This Row],[Student_ID]],student_data[#All],2,0)</f>
        <v>Information Technology</v>
      </c>
      <c r="C313" s="1" t="s">
        <v>1031</v>
      </c>
      <c r="D313" s="1" t="s">
        <v>1032</v>
      </c>
      <c r="E313" s="1">
        <v>5.03</v>
      </c>
    </row>
    <row r="314" spans="1:5" x14ac:dyDescent="0.2">
      <c r="A314" s="1" t="s">
        <v>323</v>
      </c>
      <c r="B314" s="1" t="str">
        <f>VLOOKUP(Table5[[#This Row],[Student_ID]],student_data[#All],2,0)</f>
        <v>Computer Science</v>
      </c>
      <c r="C314" s="1" t="s">
        <v>1033</v>
      </c>
      <c r="D314" s="1" t="s">
        <v>1034</v>
      </c>
      <c r="E314" s="1">
        <v>0</v>
      </c>
    </row>
    <row r="315" spans="1:5" x14ac:dyDescent="0.2">
      <c r="A315" s="1" t="s">
        <v>324</v>
      </c>
      <c r="B315" s="1" t="str">
        <f>VLOOKUP(Table5[[#This Row],[Student_ID]],student_data[#All],2,0)</f>
        <v>Mechanical</v>
      </c>
      <c r="C315" s="1" t="s">
        <v>1031</v>
      </c>
      <c r="D315" s="1" t="s">
        <v>1037</v>
      </c>
      <c r="E315" s="1">
        <v>8.85</v>
      </c>
    </row>
    <row r="316" spans="1:5" x14ac:dyDescent="0.2">
      <c r="A316" s="1" t="s">
        <v>325</v>
      </c>
      <c r="B316" s="1" t="str">
        <f>VLOOKUP(Table5[[#This Row],[Student_ID]],student_data[#All],2,0)</f>
        <v>Electronics</v>
      </c>
      <c r="C316" s="1" t="s">
        <v>1031</v>
      </c>
      <c r="D316" s="1" t="s">
        <v>1036</v>
      </c>
      <c r="E316" s="1">
        <v>10.66</v>
      </c>
    </row>
    <row r="317" spans="1:5" x14ac:dyDescent="0.2">
      <c r="A317" s="1" t="s">
        <v>326</v>
      </c>
      <c r="B317" s="1" t="str">
        <f>VLOOKUP(Table5[[#This Row],[Student_ID]],student_data[#All],2,0)</f>
        <v>Computer Science</v>
      </c>
      <c r="C317" s="1" t="s">
        <v>1031</v>
      </c>
      <c r="D317" s="1" t="s">
        <v>1032</v>
      </c>
      <c r="E317" s="1">
        <v>6.85</v>
      </c>
    </row>
    <row r="318" spans="1:5" x14ac:dyDescent="0.2">
      <c r="A318" s="1" t="s">
        <v>327</v>
      </c>
      <c r="B318" s="1" t="str">
        <f>VLOOKUP(Table5[[#This Row],[Student_ID]],student_data[#All],2,0)</f>
        <v>Electronics</v>
      </c>
      <c r="C318" s="1" t="s">
        <v>1031</v>
      </c>
      <c r="D318" s="1" t="s">
        <v>1036</v>
      </c>
      <c r="E318" s="1">
        <v>10.42</v>
      </c>
    </row>
    <row r="319" spans="1:5" x14ac:dyDescent="0.2">
      <c r="A319" s="1" t="s">
        <v>328</v>
      </c>
      <c r="B319" s="1" t="str">
        <f>VLOOKUP(Table5[[#This Row],[Student_ID]],student_data[#All],2,0)</f>
        <v>Electronics</v>
      </c>
      <c r="C319" s="1" t="s">
        <v>1033</v>
      </c>
      <c r="D319" s="1" t="s">
        <v>1034</v>
      </c>
      <c r="E319" s="1">
        <v>0</v>
      </c>
    </row>
    <row r="320" spans="1:5" x14ac:dyDescent="0.2">
      <c r="A320" s="1" t="s">
        <v>329</v>
      </c>
      <c r="B320" s="1" t="str">
        <f>VLOOKUP(Table5[[#This Row],[Student_ID]],student_data[#All],2,0)</f>
        <v>Mechanical</v>
      </c>
      <c r="C320" s="1" t="s">
        <v>1031</v>
      </c>
      <c r="D320" s="1" t="s">
        <v>1038</v>
      </c>
      <c r="E320" s="1">
        <v>5.67</v>
      </c>
    </row>
    <row r="321" spans="1:5" x14ac:dyDescent="0.2">
      <c r="A321" s="1" t="s">
        <v>330</v>
      </c>
      <c r="B321" s="1" t="str">
        <f>VLOOKUP(Table5[[#This Row],[Student_ID]],student_data[#All],2,0)</f>
        <v>Electronics</v>
      </c>
      <c r="C321" s="1" t="s">
        <v>1033</v>
      </c>
      <c r="D321" s="1" t="s">
        <v>1034</v>
      </c>
      <c r="E321" s="1">
        <v>0</v>
      </c>
    </row>
    <row r="322" spans="1:5" x14ac:dyDescent="0.2">
      <c r="A322" s="1" t="s">
        <v>331</v>
      </c>
      <c r="B322" s="1" t="str">
        <f>VLOOKUP(Table5[[#This Row],[Student_ID]],student_data[#All],2,0)</f>
        <v>Electronics</v>
      </c>
      <c r="C322" s="1" t="s">
        <v>1031</v>
      </c>
      <c r="D322" s="1" t="s">
        <v>1039</v>
      </c>
      <c r="E322" s="1">
        <v>3.59</v>
      </c>
    </row>
    <row r="323" spans="1:5" x14ac:dyDescent="0.2">
      <c r="A323" s="1" t="s">
        <v>332</v>
      </c>
      <c r="B323" s="1" t="str">
        <f>VLOOKUP(Table5[[#This Row],[Student_ID]],student_data[#All],2,0)</f>
        <v>Mechanical</v>
      </c>
      <c r="C323" s="1" t="s">
        <v>1031</v>
      </c>
      <c r="D323" s="1" t="s">
        <v>1040</v>
      </c>
      <c r="E323" s="1">
        <v>6.56</v>
      </c>
    </row>
    <row r="324" spans="1:5" x14ac:dyDescent="0.2">
      <c r="A324" s="1" t="s">
        <v>333</v>
      </c>
      <c r="B324" s="1" t="str">
        <f>VLOOKUP(Table5[[#This Row],[Student_ID]],student_data[#All],2,0)</f>
        <v>Electronics</v>
      </c>
      <c r="C324" s="1" t="s">
        <v>1033</v>
      </c>
      <c r="D324" s="1" t="s">
        <v>1034</v>
      </c>
      <c r="E324" s="1">
        <v>0</v>
      </c>
    </row>
    <row r="325" spans="1:5" x14ac:dyDescent="0.2">
      <c r="A325" s="1" t="s">
        <v>334</v>
      </c>
      <c r="B325" s="1" t="str">
        <f>VLOOKUP(Table5[[#This Row],[Student_ID]],student_data[#All],2,0)</f>
        <v>Electronics</v>
      </c>
      <c r="C325" s="1" t="s">
        <v>1031</v>
      </c>
      <c r="D325" s="1" t="s">
        <v>1032</v>
      </c>
      <c r="E325" s="1">
        <v>5.18</v>
      </c>
    </row>
    <row r="326" spans="1:5" x14ac:dyDescent="0.2">
      <c r="A326" s="1" t="s">
        <v>335</v>
      </c>
      <c r="B326" s="1" t="str">
        <f>VLOOKUP(Table5[[#This Row],[Student_ID]],student_data[#All],2,0)</f>
        <v>Electronics</v>
      </c>
      <c r="C326" s="1" t="s">
        <v>1031</v>
      </c>
      <c r="D326" s="1" t="s">
        <v>1039</v>
      </c>
      <c r="E326" s="1">
        <v>6.96</v>
      </c>
    </row>
    <row r="327" spans="1:5" x14ac:dyDescent="0.2">
      <c r="A327" s="1" t="s">
        <v>336</v>
      </c>
      <c r="B327" s="1" t="str">
        <f>VLOOKUP(Table5[[#This Row],[Student_ID]],student_data[#All],2,0)</f>
        <v>Computer Science</v>
      </c>
      <c r="C327" s="1" t="s">
        <v>1031</v>
      </c>
      <c r="D327" s="1" t="s">
        <v>1038</v>
      </c>
      <c r="E327" s="1">
        <v>6.94</v>
      </c>
    </row>
    <row r="328" spans="1:5" x14ac:dyDescent="0.2">
      <c r="A328" s="1" t="s">
        <v>337</v>
      </c>
      <c r="B328" s="1" t="str">
        <f>VLOOKUP(Table5[[#This Row],[Student_ID]],student_data[#All],2,0)</f>
        <v>Computer Science</v>
      </c>
      <c r="C328" s="1" t="s">
        <v>1031</v>
      </c>
      <c r="D328" s="1" t="s">
        <v>1040</v>
      </c>
      <c r="E328" s="1">
        <v>3.83</v>
      </c>
    </row>
    <row r="329" spans="1:5" x14ac:dyDescent="0.2">
      <c r="A329" s="1" t="s">
        <v>338</v>
      </c>
      <c r="B329" s="1" t="str">
        <f>VLOOKUP(Table5[[#This Row],[Student_ID]],student_data[#All],2,0)</f>
        <v>Computer Science</v>
      </c>
      <c r="C329" s="1" t="s">
        <v>1031</v>
      </c>
      <c r="D329" s="1" t="s">
        <v>1038</v>
      </c>
      <c r="E329" s="1">
        <v>3.52</v>
      </c>
    </row>
    <row r="330" spans="1:5" x14ac:dyDescent="0.2">
      <c r="A330" s="1" t="s">
        <v>339</v>
      </c>
      <c r="B330" s="1" t="str">
        <f>VLOOKUP(Table5[[#This Row],[Student_ID]],student_data[#All],2,0)</f>
        <v>Mechanical</v>
      </c>
      <c r="C330" s="1" t="s">
        <v>1031</v>
      </c>
      <c r="D330" s="1" t="s">
        <v>1035</v>
      </c>
      <c r="E330" s="1">
        <v>3.51</v>
      </c>
    </row>
    <row r="331" spans="1:5" x14ac:dyDescent="0.2">
      <c r="A331" s="1" t="s">
        <v>340</v>
      </c>
      <c r="B331" s="1" t="str">
        <f>VLOOKUP(Table5[[#This Row],[Student_ID]],student_data[#All],2,0)</f>
        <v>Information Technology</v>
      </c>
      <c r="C331" s="1" t="s">
        <v>1033</v>
      </c>
      <c r="D331" s="1" t="s">
        <v>1034</v>
      </c>
      <c r="E331" s="1">
        <v>0</v>
      </c>
    </row>
    <row r="332" spans="1:5" x14ac:dyDescent="0.2">
      <c r="A332" s="1" t="s">
        <v>341</v>
      </c>
      <c r="B332" s="1" t="str">
        <f>VLOOKUP(Table5[[#This Row],[Student_ID]],student_data[#All],2,0)</f>
        <v>Electronics</v>
      </c>
      <c r="C332" s="1" t="s">
        <v>1031</v>
      </c>
      <c r="D332" s="1" t="s">
        <v>1038</v>
      </c>
      <c r="E332" s="1">
        <v>6.72</v>
      </c>
    </row>
    <row r="333" spans="1:5" x14ac:dyDescent="0.2">
      <c r="A333" s="1" t="s">
        <v>342</v>
      </c>
      <c r="B333" s="1" t="str">
        <f>VLOOKUP(Table5[[#This Row],[Student_ID]],student_data[#All],2,0)</f>
        <v>Electronics</v>
      </c>
      <c r="C333" s="1" t="s">
        <v>1033</v>
      </c>
      <c r="D333" s="1" t="s">
        <v>1034</v>
      </c>
      <c r="E333" s="1">
        <v>0</v>
      </c>
    </row>
    <row r="334" spans="1:5" x14ac:dyDescent="0.2">
      <c r="A334" s="1" t="s">
        <v>343</v>
      </c>
      <c r="B334" s="1" t="str">
        <f>VLOOKUP(Table5[[#This Row],[Student_ID]],student_data[#All],2,0)</f>
        <v>Mechanical</v>
      </c>
      <c r="C334" s="1" t="s">
        <v>1033</v>
      </c>
      <c r="D334" s="1" t="s">
        <v>1034</v>
      </c>
      <c r="E334" s="1">
        <v>0</v>
      </c>
    </row>
    <row r="335" spans="1:5" x14ac:dyDescent="0.2">
      <c r="A335" s="1" t="s">
        <v>344</v>
      </c>
      <c r="B335" s="1" t="str">
        <f>VLOOKUP(Table5[[#This Row],[Student_ID]],student_data[#All],2,0)</f>
        <v>Electronics</v>
      </c>
      <c r="C335" s="1" t="s">
        <v>1031</v>
      </c>
      <c r="D335" s="1" t="s">
        <v>1035</v>
      </c>
      <c r="E335" s="1">
        <v>5.43</v>
      </c>
    </row>
    <row r="336" spans="1:5" x14ac:dyDescent="0.2">
      <c r="A336" s="1" t="s">
        <v>345</v>
      </c>
      <c r="B336" s="1" t="str">
        <f>VLOOKUP(Table5[[#This Row],[Student_ID]],student_data[#All],2,0)</f>
        <v>Computer Science</v>
      </c>
      <c r="C336" s="1" t="s">
        <v>1031</v>
      </c>
      <c r="D336" s="1" t="s">
        <v>1038</v>
      </c>
      <c r="E336" s="1">
        <v>4.03</v>
      </c>
    </row>
    <row r="337" spans="1:5" x14ac:dyDescent="0.2">
      <c r="A337" s="1" t="s">
        <v>346</v>
      </c>
      <c r="B337" s="1" t="str">
        <f>VLOOKUP(Table5[[#This Row],[Student_ID]],student_data[#All],2,0)</f>
        <v>Information Technology</v>
      </c>
      <c r="C337" s="1" t="s">
        <v>1031</v>
      </c>
      <c r="D337" s="1" t="s">
        <v>1032</v>
      </c>
      <c r="E337" s="1">
        <v>6.24</v>
      </c>
    </row>
    <row r="338" spans="1:5" x14ac:dyDescent="0.2">
      <c r="A338" s="1" t="s">
        <v>347</v>
      </c>
      <c r="B338" s="1" t="str">
        <f>VLOOKUP(Table5[[#This Row],[Student_ID]],student_data[#All],2,0)</f>
        <v>Civil</v>
      </c>
      <c r="C338" s="1" t="s">
        <v>1031</v>
      </c>
      <c r="D338" s="1" t="s">
        <v>1035</v>
      </c>
      <c r="E338" s="1">
        <v>4.1900000000000004</v>
      </c>
    </row>
    <row r="339" spans="1:5" x14ac:dyDescent="0.2">
      <c r="A339" s="1" t="s">
        <v>348</v>
      </c>
      <c r="B339" s="1" t="str">
        <f>VLOOKUP(Table5[[#This Row],[Student_ID]],student_data[#All],2,0)</f>
        <v>Electronics</v>
      </c>
      <c r="C339" s="1" t="s">
        <v>1031</v>
      </c>
      <c r="D339" s="1" t="s">
        <v>1039</v>
      </c>
      <c r="E339" s="1">
        <v>4.1900000000000004</v>
      </c>
    </row>
    <row r="340" spans="1:5" x14ac:dyDescent="0.2">
      <c r="A340" s="1" t="s">
        <v>349</v>
      </c>
      <c r="B340" s="1" t="str">
        <f>VLOOKUP(Table5[[#This Row],[Student_ID]],student_data[#All],2,0)</f>
        <v>Computer Science</v>
      </c>
      <c r="C340" s="1" t="s">
        <v>1033</v>
      </c>
      <c r="D340" s="1" t="s">
        <v>1034</v>
      </c>
      <c r="E340" s="1">
        <v>0</v>
      </c>
    </row>
    <row r="341" spans="1:5" x14ac:dyDescent="0.2">
      <c r="A341" s="1" t="s">
        <v>350</v>
      </c>
      <c r="B341" s="1" t="str">
        <f>VLOOKUP(Table5[[#This Row],[Student_ID]],student_data[#All],2,0)</f>
        <v>Civil</v>
      </c>
      <c r="C341" s="1" t="s">
        <v>1031</v>
      </c>
      <c r="D341" s="1" t="s">
        <v>1038</v>
      </c>
      <c r="E341" s="1">
        <v>4.24</v>
      </c>
    </row>
    <row r="342" spans="1:5" x14ac:dyDescent="0.2">
      <c r="A342" s="1" t="s">
        <v>351</v>
      </c>
      <c r="B342" s="1" t="str">
        <f>VLOOKUP(Table5[[#This Row],[Student_ID]],student_data[#All],2,0)</f>
        <v>Information Technology</v>
      </c>
      <c r="C342" s="1" t="s">
        <v>1031</v>
      </c>
      <c r="D342" s="1" t="s">
        <v>1035</v>
      </c>
      <c r="E342" s="1">
        <v>5.77</v>
      </c>
    </row>
    <row r="343" spans="1:5" x14ac:dyDescent="0.2">
      <c r="A343" s="1" t="s">
        <v>352</v>
      </c>
      <c r="B343" s="1" t="str">
        <f>VLOOKUP(Table5[[#This Row],[Student_ID]],student_data[#All],2,0)</f>
        <v>Civil</v>
      </c>
      <c r="C343" s="1" t="s">
        <v>1031</v>
      </c>
      <c r="D343" s="1" t="s">
        <v>1038</v>
      </c>
      <c r="E343" s="1">
        <v>6.91</v>
      </c>
    </row>
    <row r="344" spans="1:5" x14ac:dyDescent="0.2">
      <c r="A344" s="1" t="s">
        <v>353</v>
      </c>
      <c r="B344" s="1" t="str">
        <f>VLOOKUP(Table5[[#This Row],[Student_ID]],student_data[#All],2,0)</f>
        <v>Computer Science</v>
      </c>
      <c r="C344" s="1" t="s">
        <v>1033</v>
      </c>
      <c r="D344" s="1" t="s">
        <v>1034</v>
      </c>
      <c r="E344" s="1">
        <v>0</v>
      </c>
    </row>
    <row r="345" spans="1:5" x14ac:dyDescent="0.2">
      <c r="A345" s="1" t="s">
        <v>354</v>
      </c>
      <c r="B345" s="1" t="str">
        <f>VLOOKUP(Table5[[#This Row],[Student_ID]],student_data[#All],2,0)</f>
        <v>Civil</v>
      </c>
      <c r="C345" s="1" t="s">
        <v>1031</v>
      </c>
      <c r="D345" s="1" t="s">
        <v>1038</v>
      </c>
      <c r="E345" s="1">
        <v>4.8600000000000003</v>
      </c>
    </row>
    <row r="346" spans="1:5" x14ac:dyDescent="0.2">
      <c r="A346" s="1" t="s">
        <v>355</v>
      </c>
      <c r="B346" s="1" t="str">
        <f>VLOOKUP(Table5[[#This Row],[Student_ID]],student_data[#All],2,0)</f>
        <v>Mechanical</v>
      </c>
      <c r="C346" s="1" t="s">
        <v>1031</v>
      </c>
      <c r="D346" s="1" t="s">
        <v>1038</v>
      </c>
      <c r="E346" s="1">
        <v>5.78</v>
      </c>
    </row>
    <row r="347" spans="1:5" x14ac:dyDescent="0.2">
      <c r="A347" s="1" t="s">
        <v>356</v>
      </c>
      <c r="B347" s="1" t="str">
        <f>VLOOKUP(Table5[[#This Row],[Student_ID]],student_data[#All],2,0)</f>
        <v>Civil</v>
      </c>
      <c r="C347" s="1" t="s">
        <v>1033</v>
      </c>
      <c r="D347" s="1" t="s">
        <v>1034</v>
      </c>
      <c r="E347" s="1">
        <v>0</v>
      </c>
    </row>
    <row r="348" spans="1:5" x14ac:dyDescent="0.2">
      <c r="A348" s="1" t="s">
        <v>357</v>
      </c>
      <c r="B348" s="1" t="str">
        <f>VLOOKUP(Table5[[#This Row],[Student_ID]],student_data[#All],2,0)</f>
        <v>Electronics</v>
      </c>
      <c r="C348" s="1" t="s">
        <v>1031</v>
      </c>
      <c r="D348" s="1" t="s">
        <v>1040</v>
      </c>
      <c r="E348" s="1">
        <v>6.95</v>
      </c>
    </row>
    <row r="349" spans="1:5" x14ac:dyDescent="0.2">
      <c r="A349" s="1" t="s">
        <v>358</v>
      </c>
      <c r="B349" s="1" t="str">
        <f>VLOOKUP(Table5[[#This Row],[Student_ID]],student_data[#All],2,0)</f>
        <v>Electronics</v>
      </c>
      <c r="C349" s="1" t="s">
        <v>1033</v>
      </c>
      <c r="D349" s="1" t="s">
        <v>1034</v>
      </c>
      <c r="E349" s="1">
        <v>0</v>
      </c>
    </row>
    <row r="350" spans="1:5" x14ac:dyDescent="0.2">
      <c r="A350" s="1" t="s">
        <v>359</v>
      </c>
      <c r="B350" s="1" t="str">
        <f>VLOOKUP(Table5[[#This Row],[Student_ID]],student_data[#All],2,0)</f>
        <v>Mechanical</v>
      </c>
      <c r="C350" s="1" t="s">
        <v>1031</v>
      </c>
      <c r="D350" s="1" t="s">
        <v>1038</v>
      </c>
      <c r="E350" s="1">
        <v>5.25</v>
      </c>
    </row>
    <row r="351" spans="1:5" x14ac:dyDescent="0.2">
      <c r="A351" s="1" t="s">
        <v>360</v>
      </c>
      <c r="B351" s="1" t="str">
        <f>VLOOKUP(Table5[[#This Row],[Student_ID]],student_data[#All],2,0)</f>
        <v>Computer Science</v>
      </c>
      <c r="C351" s="1" t="s">
        <v>1031</v>
      </c>
      <c r="D351" s="1" t="s">
        <v>1032</v>
      </c>
      <c r="E351" s="1">
        <v>6.59</v>
      </c>
    </row>
    <row r="352" spans="1:5" x14ac:dyDescent="0.2">
      <c r="A352" s="1" t="s">
        <v>361</v>
      </c>
      <c r="B352" s="1" t="str">
        <f>VLOOKUP(Table5[[#This Row],[Student_ID]],student_data[#All],2,0)</f>
        <v>Electronics</v>
      </c>
      <c r="C352" s="1" t="s">
        <v>1031</v>
      </c>
      <c r="D352" s="1" t="s">
        <v>1038</v>
      </c>
      <c r="E352" s="1">
        <v>5.03</v>
      </c>
    </row>
    <row r="353" spans="1:5" x14ac:dyDescent="0.2">
      <c r="A353" s="1" t="s">
        <v>362</v>
      </c>
      <c r="B353" s="1" t="str">
        <f>VLOOKUP(Table5[[#This Row],[Student_ID]],student_data[#All],2,0)</f>
        <v>Information Technology</v>
      </c>
      <c r="C353" s="1" t="s">
        <v>1033</v>
      </c>
      <c r="D353" s="1" t="s">
        <v>1034</v>
      </c>
      <c r="E353" s="1">
        <v>0</v>
      </c>
    </row>
    <row r="354" spans="1:5" x14ac:dyDescent="0.2">
      <c r="A354" s="1" t="s">
        <v>363</v>
      </c>
      <c r="B354" s="1" t="str">
        <f>VLOOKUP(Table5[[#This Row],[Student_ID]],student_data[#All],2,0)</f>
        <v>Electronics</v>
      </c>
      <c r="C354" s="1" t="s">
        <v>1031</v>
      </c>
      <c r="D354" s="1" t="s">
        <v>1036</v>
      </c>
      <c r="E354" s="1">
        <v>8.4</v>
      </c>
    </row>
    <row r="355" spans="1:5" x14ac:dyDescent="0.2">
      <c r="A355" s="1" t="s">
        <v>364</v>
      </c>
      <c r="B355" s="1" t="str">
        <f>VLOOKUP(Table5[[#This Row],[Student_ID]],student_data[#All],2,0)</f>
        <v>Electronics</v>
      </c>
      <c r="C355" s="1" t="s">
        <v>1031</v>
      </c>
      <c r="D355" s="1" t="s">
        <v>1035</v>
      </c>
      <c r="E355" s="1">
        <v>6.51</v>
      </c>
    </row>
    <row r="356" spans="1:5" x14ac:dyDescent="0.2">
      <c r="A356" s="1" t="s">
        <v>365</v>
      </c>
      <c r="B356" s="1" t="str">
        <f>VLOOKUP(Table5[[#This Row],[Student_ID]],student_data[#All],2,0)</f>
        <v>Computer Science</v>
      </c>
      <c r="C356" s="1" t="s">
        <v>1031</v>
      </c>
      <c r="D356" s="1" t="s">
        <v>1032</v>
      </c>
      <c r="E356" s="1">
        <v>6.86</v>
      </c>
    </row>
    <row r="357" spans="1:5" x14ac:dyDescent="0.2">
      <c r="A357" s="1" t="s">
        <v>366</v>
      </c>
      <c r="B357" s="1" t="str">
        <f>VLOOKUP(Table5[[#This Row],[Student_ID]],student_data[#All],2,0)</f>
        <v>Civil</v>
      </c>
      <c r="C357" s="1" t="s">
        <v>1031</v>
      </c>
      <c r="D357" s="1" t="s">
        <v>1035</v>
      </c>
      <c r="E357" s="1">
        <v>5.92</v>
      </c>
    </row>
    <row r="358" spans="1:5" x14ac:dyDescent="0.2">
      <c r="A358" s="1" t="s">
        <v>367</v>
      </c>
      <c r="B358" s="1" t="str">
        <f>VLOOKUP(Table5[[#This Row],[Student_ID]],student_data[#All],2,0)</f>
        <v>Electronics</v>
      </c>
      <c r="C358" s="1" t="s">
        <v>1033</v>
      </c>
      <c r="D358" s="1" t="s">
        <v>1034</v>
      </c>
      <c r="E358" s="1">
        <v>0</v>
      </c>
    </row>
    <row r="359" spans="1:5" x14ac:dyDescent="0.2">
      <c r="A359" s="1" t="s">
        <v>368</v>
      </c>
      <c r="B359" s="1" t="str">
        <f>VLOOKUP(Table5[[#This Row],[Student_ID]],student_data[#All],2,0)</f>
        <v>Mechanical</v>
      </c>
      <c r="C359" s="1" t="s">
        <v>1031</v>
      </c>
      <c r="D359" s="1" t="s">
        <v>1035</v>
      </c>
      <c r="E359" s="1">
        <v>3.95</v>
      </c>
    </row>
    <row r="360" spans="1:5" x14ac:dyDescent="0.2">
      <c r="A360" s="1" t="s">
        <v>369</v>
      </c>
      <c r="B360" s="1" t="str">
        <f>VLOOKUP(Table5[[#This Row],[Student_ID]],student_data[#All],2,0)</f>
        <v>Civil</v>
      </c>
      <c r="C360" s="1" t="s">
        <v>1031</v>
      </c>
      <c r="D360" s="1" t="s">
        <v>1039</v>
      </c>
      <c r="E360" s="1">
        <v>4.3</v>
      </c>
    </row>
    <row r="361" spans="1:5" x14ac:dyDescent="0.2">
      <c r="A361" s="1" t="s">
        <v>370</v>
      </c>
      <c r="B361" s="1" t="str">
        <f>VLOOKUP(Table5[[#This Row],[Student_ID]],student_data[#All],2,0)</f>
        <v>Information Technology</v>
      </c>
      <c r="C361" s="1" t="s">
        <v>1031</v>
      </c>
      <c r="D361" s="1" t="s">
        <v>1038</v>
      </c>
      <c r="E361" s="1">
        <v>6.01</v>
      </c>
    </row>
    <row r="362" spans="1:5" x14ac:dyDescent="0.2">
      <c r="A362" s="1" t="s">
        <v>371</v>
      </c>
      <c r="B362" s="1" t="str">
        <f>VLOOKUP(Table5[[#This Row],[Student_ID]],student_data[#All],2,0)</f>
        <v>Computer Science</v>
      </c>
      <c r="C362" s="1" t="s">
        <v>1031</v>
      </c>
      <c r="D362" s="1" t="s">
        <v>1038</v>
      </c>
      <c r="E362" s="1">
        <v>5.64</v>
      </c>
    </row>
    <row r="363" spans="1:5" x14ac:dyDescent="0.2">
      <c r="A363" s="1" t="s">
        <v>372</v>
      </c>
      <c r="B363" s="1" t="str">
        <f>VLOOKUP(Table5[[#This Row],[Student_ID]],student_data[#All],2,0)</f>
        <v>Information Technology</v>
      </c>
      <c r="C363" s="1" t="s">
        <v>1033</v>
      </c>
      <c r="D363" s="1" t="s">
        <v>1034</v>
      </c>
      <c r="E363" s="1">
        <v>0</v>
      </c>
    </row>
    <row r="364" spans="1:5" x14ac:dyDescent="0.2">
      <c r="A364" s="1" t="s">
        <v>373</v>
      </c>
      <c r="B364" s="1" t="str">
        <f>VLOOKUP(Table5[[#This Row],[Student_ID]],student_data[#All],2,0)</f>
        <v>Civil</v>
      </c>
      <c r="C364" s="1" t="s">
        <v>1033</v>
      </c>
      <c r="D364" s="1" t="s">
        <v>1034</v>
      </c>
      <c r="E364" s="1">
        <v>0</v>
      </c>
    </row>
    <row r="365" spans="1:5" x14ac:dyDescent="0.2">
      <c r="A365" s="1" t="s">
        <v>374</v>
      </c>
      <c r="B365" s="1" t="str">
        <f>VLOOKUP(Table5[[#This Row],[Student_ID]],student_data[#All],2,0)</f>
        <v>Civil</v>
      </c>
      <c r="C365" s="1" t="s">
        <v>1031</v>
      </c>
      <c r="D365" s="1" t="s">
        <v>1032</v>
      </c>
      <c r="E365" s="1">
        <v>5.65</v>
      </c>
    </row>
    <row r="366" spans="1:5" x14ac:dyDescent="0.2">
      <c r="A366" s="1" t="s">
        <v>375</v>
      </c>
      <c r="B366" s="1" t="str">
        <f>VLOOKUP(Table5[[#This Row],[Student_ID]],student_data[#All],2,0)</f>
        <v>Civil</v>
      </c>
      <c r="C366" s="1" t="s">
        <v>1031</v>
      </c>
      <c r="D366" s="1" t="s">
        <v>1040</v>
      </c>
      <c r="E366" s="1">
        <v>4.3</v>
      </c>
    </row>
    <row r="367" spans="1:5" x14ac:dyDescent="0.2">
      <c r="A367" s="1" t="s">
        <v>376</v>
      </c>
      <c r="B367" s="1" t="str">
        <f>VLOOKUP(Table5[[#This Row],[Student_ID]],student_data[#All],2,0)</f>
        <v>Information Technology</v>
      </c>
      <c r="C367" s="1" t="s">
        <v>1031</v>
      </c>
      <c r="D367" s="1" t="s">
        <v>1038</v>
      </c>
      <c r="E367" s="1">
        <v>3.87</v>
      </c>
    </row>
    <row r="368" spans="1:5" x14ac:dyDescent="0.2">
      <c r="A368" s="1" t="s">
        <v>377</v>
      </c>
      <c r="B368" s="1" t="str">
        <f>VLOOKUP(Table5[[#This Row],[Student_ID]],student_data[#All],2,0)</f>
        <v>Civil</v>
      </c>
      <c r="C368" s="1" t="s">
        <v>1031</v>
      </c>
      <c r="D368" s="1" t="s">
        <v>1035</v>
      </c>
      <c r="E368" s="1">
        <v>6.66</v>
      </c>
    </row>
    <row r="369" spans="1:5" x14ac:dyDescent="0.2">
      <c r="A369" s="1" t="s">
        <v>378</v>
      </c>
      <c r="B369" s="1" t="str">
        <f>VLOOKUP(Table5[[#This Row],[Student_ID]],student_data[#All],2,0)</f>
        <v>Information Technology</v>
      </c>
      <c r="C369" s="1" t="s">
        <v>1031</v>
      </c>
      <c r="D369" s="1" t="s">
        <v>1032</v>
      </c>
      <c r="E369" s="1">
        <v>6.85</v>
      </c>
    </row>
    <row r="370" spans="1:5" x14ac:dyDescent="0.2">
      <c r="A370" s="1" t="s">
        <v>379</v>
      </c>
      <c r="B370" s="1" t="str">
        <f>VLOOKUP(Table5[[#This Row],[Student_ID]],student_data[#All],2,0)</f>
        <v>Civil</v>
      </c>
      <c r="C370" s="1" t="s">
        <v>1031</v>
      </c>
      <c r="D370" s="1" t="s">
        <v>1032</v>
      </c>
      <c r="E370" s="1">
        <v>5.37</v>
      </c>
    </row>
    <row r="371" spans="1:5" x14ac:dyDescent="0.2">
      <c r="A371" s="1" t="s">
        <v>380</v>
      </c>
      <c r="B371" s="1" t="str">
        <f>VLOOKUP(Table5[[#This Row],[Student_ID]],student_data[#All],2,0)</f>
        <v>Mechanical</v>
      </c>
      <c r="C371" s="1" t="s">
        <v>1031</v>
      </c>
      <c r="D371" s="1" t="s">
        <v>1038</v>
      </c>
      <c r="E371" s="1">
        <v>4.6900000000000004</v>
      </c>
    </row>
    <row r="372" spans="1:5" x14ac:dyDescent="0.2">
      <c r="A372" s="1" t="s">
        <v>381</v>
      </c>
      <c r="B372" s="1" t="str">
        <f>VLOOKUP(Table5[[#This Row],[Student_ID]],student_data[#All],2,0)</f>
        <v>Civil</v>
      </c>
      <c r="C372" s="1" t="s">
        <v>1033</v>
      </c>
      <c r="D372" s="1" t="s">
        <v>1034</v>
      </c>
      <c r="E372" s="1">
        <v>0</v>
      </c>
    </row>
    <row r="373" spans="1:5" x14ac:dyDescent="0.2">
      <c r="A373" s="1" t="s">
        <v>382</v>
      </c>
      <c r="B373" s="1" t="str">
        <f>VLOOKUP(Table5[[#This Row],[Student_ID]],student_data[#All],2,0)</f>
        <v>Information Technology</v>
      </c>
      <c r="C373" s="1" t="s">
        <v>1031</v>
      </c>
      <c r="D373" s="1" t="s">
        <v>1032</v>
      </c>
      <c r="E373" s="1">
        <v>5.32</v>
      </c>
    </row>
    <row r="374" spans="1:5" x14ac:dyDescent="0.2">
      <c r="A374" s="1" t="s">
        <v>383</v>
      </c>
      <c r="B374" s="1" t="str">
        <f>VLOOKUP(Table5[[#This Row],[Student_ID]],student_data[#All],2,0)</f>
        <v>Electronics</v>
      </c>
      <c r="C374" s="1" t="s">
        <v>1033</v>
      </c>
      <c r="D374" s="1" t="s">
        <v>1034</v>
      </c>
      <c r="E374" s="1">
        <v>0</v>
      </c>
    </row>
    <row r="375" spans="1:5" x14ac:dyDescent="0.2">
      <c r="A375" s="1" t="s">
        <v>384</v>
      </c>
      <c r="B375" s="1" t="str">
        <f>VLOOKUP(Table5[[#This Row],[Student_ID]],student_data[#All],2,0)</f>
        <v>Civil</v>
      </c>
      <c r="C375" s="1" t="s">
        <v>1033</v>
      </c>
      <c r="D375" s="1" t="s">
        <v>1034</v>
      </c>
      <c r="E375" s="1">
        <v>0</v>
      </c>
    </row>
    <row r="376" spans="1:5" x14ac:dyDescent="0.2">
      <c r="A376" s="1" t="s">
        <v>385</v>
      </c>
      <c r="B376" s="1" t="str">
        <f>VLOOKUP(Table5[[#This Row],[Student_ID]],student_data[#All],2,0)</f>
        <v>Electronics</v>
      </c>
      <c r="C376" s="1" t="s">
        <v>1031</v>
      </c>
      <c r="D376" s="1" t="s">
        <v>1038</v>
      </c>
      <c r="E376" s="1">
        <v>3.71</v>
      </c>
    </row>
    <row r="377" spans="1:5" x14ac:dyDescent="0.2">
      <c r="A377" s="1" t="s">
        <v>386</v>
      </c>
      <c r="B377" s="1" t="str">
        <f>VLOOKUP(Table5[[#This Row],[Student_ID]],student_data[#All],2,0)</f>
        <v>Mechanical</v>
      </c>
      <c r="C377" s="1" t="s">
        <v>1031</v>
      </c>
      <c r="D377" s="1" t="s">
        <v>1038</v>
      </c>
      <c r="E377" s="1">
        <v>3.87</v>
      </c>
    </row>
    <row r="378" spans="1:5" x14ac:dyDescent="0.2">
      <c r="A378" s="1" t="s">
        <v>387</v>
      </c>
      <c r="B378" s="1" t="str">
        <f>VLOOKUP(Table5[[#This Row],[Student_ID]],student_data[#All],2,0)</f>
        <v>Computer Science</v>
      </c>
      <c r="C378" s="1" t="s">
        <v>1031</v>
      </c>
      <c r="D378" s="1" t="s">
        <v>1032</v>
      </c>
      <c r="E378" s="1">
        <v>5.74</v>
      </c>
    </row>
    <row r="379" spans="1:5" x14ac:dyDescent="0.2">
      <c r="A379" s="1" t="s">
        <v>388</v>
      </c>
      <c r="B379" s="1" t="str">
        <f>VLOOKUP(Table5[[#This Row],[Student_ID]],student_data[#All],2,0)</f>
        <v>Mechanical</v>
      </c>
      <c r="C379" s="1" t="s">
        <v>1033</v>
      </c>
      <c r="D379" s="1" t="s">
        <v>1034</v>
      </c>
      <c r="E379" s="1">
        <v>0</v>
      </c>
    </row>
    <row r="380" spans="1:5" x14ac:dyDescent="0.2">
      <c r="A380" s="1" t="s">
        <v>389</v>
      </c>
      <c r="B380" s="1" t="str">
        <f>VLOOKUP(Table5[[#This Row],[Student_ID]],student_data[#All],2,0)</f>
        <v>Civil</v>
      </c>
      <c r="C380" s="1" t="s">
        <v>1033</v>
      </c>
      <c r="D380" s="1" t="s">
        <v>1034</v>
      </c>
      <c r="E380" s="1">
        <v>0</v>
      </c>
    </row>
    <row r="381" spans="1:5" x14ac:dyDescent="0.2">
      <c r="A381" s="1" t="s">
        <v>390</v>
      </c>
      <c r="B381" s="1" t="str">
        <f>VLOOKUP(Table5[[#This Row],[Student_ID]],student_data[#All],2,0)</f>
        <v>Electronics</v>
      </c>
      <c r="C381" s="1" t="s">
        <v>1031</v>
      </c>
      <c r="D381" s="1" t="s">
        <v>1032</v>
      </c>
      <c r="E381" s="1">
        <v>6.17</v>
      </c>
    </row>
    <row r="382" spans="1:5" x14ac:dyDescent="0.2">
      <c r="A382" s="1" t="s">
        <v>391</v>
      </c>
      <c r="B382" s="1" t="str">
        <f>VLOOKUP(Table5[[#This Row],[Student_ID]],student_data[#All],2,0)</f>
        <v>Electronics</v>
      </c>
      <c r="C382" s="1" t="s">
        <v>1031</v>
      </c>
      <c r="D382" s="1" t="s">
        <v>1032</v>
      </c>
      <c r="E382" s="1">
        <v>5.85</v>
      </c>
    </row>
    <row r="383" spans="1:5" x14ac:dyDescent="0.2">
      <c r="A383" s="1" t="s">
        <v>392</v>
      </c>
      <c r="B383" s="1" t="str">
        <f>VLOOKUP(Table5[[#This Row],[Student_ID]],student_data[#All],2,0)</f>
        <v>Information Technology</v>
      </c>
      <c r="C383" s="1" t="s">
        <v>1033</v>
      </c>
      <c r="D383" s="1" t="s">
        <v>1034</v>
      </c>
      <c r="E383" s="1">
        <v>0</v>
      </c>
    </row>
    <row r="384" spans="1:5" x14ac:dyDescent="0.2">
      <c r="A384" s="1" t="s">
        <v>393</v>
      </c>
      <c r="B384" s="1" t="str">
        <f>VLOOKUP(Table5[[#This Row],[Student_ID]],student_data[#All],2,0)</f>
        <v>Electronics</v>
      </c>
      <c r="C384" s="1" t="s">
        <v>1031</v>
      </c>
      <c r="D384" s="1" t="s">
        <v>1032</v>
      </c>
      <c r="E384" s="1">
        <v>3.99</v>
      </c>
    </row>
    <row r="385" spans="1:5" x14ac:dyDescent="0.2">
      <c r="A385" s="1" t="s">
        <v>394</v>
      </c>
      <c r="B385" s="1" t="str">
        <f>VLOOKUP(Table5[[#This Row],[Student_ID]],student_data[#All],2,0)</f>
        <v>Information Technology</v>
      </c>
      <c r="C385" s="1" t="s">
        <v>1033</v>
      </c>
      <c r="D385" s="1" t="s">
        <v>1034</v>
      </c>
      <c r="E385" s="1">
        <v>0</v>
      </c>
    </row>
    <row r="386" spans="1:5" x14ac:dyDescent="0.2">
      <c r="A386" s="1" t="s">
        <v>395</v>
      </c>
      <c r="B386" s="1" t="str">
        <f>VLOOKUP(Table5[[#This Row],[Student_ID]],student_data[#All],2,0)</f>
        <v>Computer Science</v>
      </c>
      <c r="C386" s="1" t="s">
        <v>1031</v>
      </c>
      <c r="D386" s="1" t="s">
        <v>1040</v>
      </c>
      <c r="E386" s="1">
        <v>4.1900000000000004</v>
      </c>
    </row>
    <row r="387" spans="1:5" x14ac:dyDescent="0.2">
      <c r="A387" s="1" t="s">
        <v>396</v>
      </c>
      <c r="B387" s="1" t="str">
        <f>VLOOKUP(Table5[[#This Row],[Student_ID]],student_data[#All],2,0)</f>
        <v>Civil</v>
      </c>
      <c r="C387" s="1" t="s">
        <v>1031</v>
      </c>
      <c r="D387" s="1" t="s">
        <v>1035</v>
      </c>
      <c r="E387" s="1">
        <v>6.83</v>
      </c>
    </row>
    <row r="388" spans="1:5" x14ac:dyDescent="0.2">
      <c r="A388" s="1" t="s">
        <v>397</v>
      </c>
      <c r="B388" s="1" t="str">
        <f>VLOOKUP(Table5[[#This Row],[Student_ID]],student_data[#All],2,0)</f>
        <v>Information Technology</v>
      </c>
      <c r="C388" s="1" t="s">
        <v>1033</v>
      </c>
      <c r="D388" s="1" t="s">
        <v>1034</v>
      </c>
      <c r="E388" s="1">
        <v>0</v>
      </c>
    </row>
    <row r="389" spans="1:5" x14ac:dyDescent="0.2">
      <c r="A389" s="1" t="s">
        <v>398</v>
      </c>
      <c r="B389" s="1" t="str">
        <f>VLOOKUP(Table5[[#This Row],[Student_ID]],student_data[#All],2,0)</f>
        <v>Computer Science</v>
      </c>
      <c r="C389" s="1" t="s">
        <v>1031</v>
      </c>
      <c r="D389" s="1" t="s">
        <v>1032</v>
      </c>
      <c r="E389" s="1">
        <v>3.69</v>
      </c>
    </row>
    <row r="390" spans="1:5" x14ac:dyDescent="0.2">
      <c r="A390" s="1" t="s">
        <v>399</v>
      </c>
      <c r="B390" s="1" t="str">
        <f>VLOOKUP(Table5[[#This Row],[Student_ID]],student_data[#All],2,0)</f>
        <v>Electronics</v>
      </c>
      <c r="C390" s="1" t="s">
        <v>1031</v>
      </c>
      <c r="D390" s="1" t="s">
        <v>1035</v>
      </c>
      <c r="E390" s="1">
        <v>4.34</v>
      </c>
    </row>
    <row r="391" spans="1:5" x14ac:dyDescent="0.2">
      <c r="A391" s="1" t="s">
        <v>400</v>
      </c>
      <c r="B391" s="1" t="str">
        <f>VLOOKUP(Table5[[#This Row],[Student_ID]],student_data[#All],2,0)</f>
        <v>Electronics</v>
      </c>
      <c r="C391" s="1" t="s">
        <v>1031</v>
      </c>
      <c r="D391" s="1" t="s">
        <v>1038</v>
      </c>
      <c r="E391" s="1">
        <v>4.7</v>
      </c>
    </row>
    <row r="392" spans="1:5" x14ac:dyDescent="0.2">
      <c r="A392" s="1" t="s">
        <v>401</v>
      </c>
      <c r="B392" s="1" t="str">
        <f>VLOOKUP(Table5[[#This Row],[Student_ID]],student_data[#All],2,0)</f>
        <v>Computer Science</v>
      </c>
      <c r="C392" s="1" t="s">
        <v>1031</v>
      </c>
      <c r="D392" s="1" t="s">
        <v>1032</v>
      </c>
      <c r="E392" s="1">
        <v>3.58</v>
      </c>
    </row>
    <row r="393" spans="1:5" x14ac:dyDescent="0.2">
      <c r="A393" s="1" t="s">
        <v>402</v>
      </c>
      <c r="B393" s="1" t="str">
        <f>VLOOKUP(Table5[[#This Row],[Student_ID]],student_data[#All],2,0)</f>
        <v>Electronics</v>
      </c>
      <c r="C393" s="1" t="s">
        <v>1031</v>
      </c>
      <c r="D393" s="1" t="s">
        <v>1039</v>
      </c>
      <c r="E393" s="1">
        <v>4.53</v>
      </c>
    </row>
    <row r="394" spans="1:5" x14ac:dyDescent="0.2">
      <c r="A394" s="1" t="s">
        <v>403</v>
      </c>
      <c r="B394" s="1" t="str">
        <f>VLOOKUP(Table5[[#This Row],[Student_ID]],student_data[#All],2,0)</f>
        <v>Computer Science</v>
      </c>
      <c r="C394" s="1" t="s">
        <v>1033</v>
      </c>
      <c r="D394" s="1" t="s">
        <v>1034</v>
      </c>
      <c r="E394" s="1">
        <v>0</v>
      </c>
    </row>
    <row r="395" spans="1:5" x14ac:dyDescent="0.2">
      <c r="A395" s="1" t="s">
        <v>404</v>
      </c>
      <c r="B395" s="1" t="str">
        <f>VLOOKUP(Table5[[#This Row],[Student_ID]],student_data[#All],2,0)</f>
        <v>Information Technology</v>
      </c>
      <c r="C395" s="1" t="s">
        <v>1031</v>
      </c>
      <c r="D395" s="1" t="s">
        <v>1039</v>
      </c>
      <c r="E395" s="1">
        <v>3.75</v>
      </c>
    </row>
    <row r="396" spans="1:5" x14ac:dyDescent="0.2">
      <c r="A396" s="1" t="s">
        <v>405</v>
      </c>
      <c r="B396" s="1" t="str">
        <f>VLOOKUP(Table5[[#This Row],[Student_ID]],student_data[#All],2,0)</f>
        <v>Information Technology</v>
      </c>
      <c r="C396" s="1" t="s">
        <v>1033</v>
      </c>
      <c r="D396" s="1" t="s">
        <v>1034</v>
      </c>
      <c r="E396" s="1">
        <v>0</v>
      </c>
    </row>
    <row r="397" spans="1:5" x14ac:dyDescent="0.2">
      <c r="A397" s="1" t="s">
        <v>406</v>
      </c>
      <c r="B397" s="1" t="str">
        <f>VLOOKUP(Table5[[#This Row],[Student_ID]],student_data[#All],2,0)</f>
        <v>Computer Science</v>
      </c>
      <c r="C397" s="1" t="s">
        <v>1033</v>
      </c>
      <c r="D397" s="1" t="s">
        <v>1034</v>
      </c>
      <c r="E397" s="1">
        <v>0</v>
      </c>
    </row>
    <row r="398" spans="1:5" x14ac:dyDescent="0.2">
      <c r="A398" s="1" t="s">
        <v>407</v>
      </c>
      <c r="B398" s="1" t="str">
        <f>VLOOKUP(Table5[[#This Row],[Student_ID]],student_data[#All],2,0)</f>
        <v>Information Technology</v>
      </c>
      <c r="C398" s="1" t="s">
        <v>1031</v>
      </c>
      <c r="D398" s="1" t="s">
        <v>1037</v>
      </c>
      <c r="E398" s="1">
        <v>14.65</v>
      </c>
    </row>
    <row r="399" spans="1:5" x14ac:dyDescent="0.2">
      <c r="A399" s="1" t="s">
        <v>408</v>
      </c>
      <c r="B399" s="1" t="str">
        <f>VLOOKUP(Table5[[#This Row],[Student_ID]],student_data[#All],2,0)</f>
        <v>Information Technology</v>
      </c>
      <c r="C399" s="1" t="s">
        <v>1033</v>
      </c>
      <c r="D399" s="1" t="s">
        <v>1034</v>
      </c>
      <c r="E399" s="1">
        <v>0</v>
      </c>
    </row>
    <row r="400" spans="1:5" x14ac:dyDescent="0.2">
      <c r="A400" s="1" t="s">
        <v>409</v>
      </c>
      <c r="B400" s="1" t="str">
        <f>VLOOKUP(Table5[[#This Row],[Student_ID]],student_data[#All],2,0)</f>
        <v>Information Technology</v>
      </c>
      <c r="C400" s="1" t="s">
        <v>1031</v>
      </c>
      <c r="D400" s="1" t="s">
        <v>1036</v>
      </c>
      <c r="E400" s="1">
        <v>13.6</v>
      </c>
    </row>
    <row r="401" spans="1:5" x14ac:dyDescent="0.2">
      <c r="A401" s="1" t="s">
        <v>410</v>
      </c>
      <c r="B401" s="1" t="str">
        <f>VLOOKUP(Table5[[#This Row],[Student_ID]],student_data[#All],2,0)</f>
        <v>Mechanical</v>
      </c>
      <c r="C401" s="1" t="s">
        <v>1031</v>
      </c>
      <c r="D401" s="1" t="s">
        <v>1038</v>
      </c>
      <c r="E401" s="1">
        <v>3.64</v>
      </c>
    </row>
    <row r="402" spans="1:5" x14ac:dyDescent="0.2">
      <c r="A402" s="1" t="s">
        <v>411</v>
      </c>
      <c r="B402" s="1" t="str">
        <f>VLOOKUP(Table5[[#This Row],[Student_ID]],student_data[#All],2,0)</f>
        <v>Civil</v>
      </c>
      <c r="C402" s="1" t="s">
        <v>1031</v>
      </c>
      <c r="D402" s="1" t="s">
        <v>1032</v>
      </c>
      <c r="E402" s="1">
        <v>4.92</v>
      </c>
    </row>
    <row r="403" spans="1:5" x14ac:dyDescent="0.2">
      <c r="A403" s="1" t="s">
        <v>412</v>
      </c>
      <c r="B403" s="1" t="str">
        <f>VLOOKUP(Table5[[#This Row],[Student_ID]],student_data[#All],2,0)</f>
        <v>Electronics</v>
      </c>
      <c r="C403" s="1" t="s">
        <v>1031</v>
      </c>
      <c r="D403" s="1" t="s">
        <v>1038</v>
      </c>
      <c r="E403" s="1">
        <v>5.35</v>
      </c>
    </row>
    <row r="404" spans="1:5" x14ac:dyDescent="0.2">
      <c r="A404" s="1" t="s">
        <v>413</v>
      </c>
      <c r="B404" s="1" t="str">
        <f>VLOOKUP(Table5[[#This Row],[Student_ID]],student_data[#All],2,0)</f>
        <v>Mechanical</v>
      </c>
      <c r="C404" s="1" t="s">
        <v>1031</v>
      </c>
      <c r="D404" s="1" t="s">
        <v>1037</v>
      </c>
      <c r="E404" s="1">
        <v>11.39</v>
      </c>
    </row>
    <row r="405" spans="1:5" x14ac:dyDescent="0.2">
      <c r="A405" s="1" t="s">
        <v>414</v>
      </c>
      <c r="B405" s="1" t="str">
        <f>VLOOKUP(Table5[[#This Row],[Student_ID]],student_data[#All],2,0)</f>
        <v>Information Technology</v>
      </c>
      <c r="C405" s="1" t="s">
        <v>1031</v>
      </c>
      <c r="D405" s="1" t="s">
        <v>1038</v>
      </c>
      <c r="E405" s="1">
        <v>4.42</v>
      </c>
    </row>
    <row r="406" spans="1:5" x14ac:dyDescent="0.2">
      <c r="A406" s="1" t="s">
        <v>415</v>
      </c>
      <c r="B406" s="1" t="str">
        <f>VLOOKUP(Table5[[#This Row],[Student_ID]],student_data[#All],2,0)</f>
        <v>Computer Science</v>
      </c>
      <c r="C406" s="1" t="s">
        <v>1031</v>
      </c>
      <c r="D406" s="1" t="s">
        <v>1038</v>
      </c>
      <c r="E406" s="1">
        <v>4.8600000000000003</v>
      </c>
    </row>
    <row r="407" spans="1:5" x14ac:dyDescent="0.2">
      <c r="A407" s="1" t="s">
        <v>416</v>
      </c>
      <c r="B407" s="1" t="str">
        <f>VLOOKUP(Table5[[#This Row],[Student_ID]],student_data[#All],2,0)</f>
        <v>Information Technology</v>
      </c>
      <c r="C407" s="1" t="s">
        <v>1031</v>
      </c>
      <c r="D407" s="1" t="s">
        <v>1036</v>
      </c>
      <c r="E407" s="1">
        <v>11.59</v>
      </c>
    </row>
    <row r="408" spans="1:5" x14ac:dyDescent="0.2">
      <c r="A408" s="1" t="s">
        <v>417</v>
      </c>
      <c r="B408" s="1" t="str">
        <f>VLOOKUP(Table5[[#This Row],[Student_ID]],student_data[#All],2,0)</f>
        <v>Civil</v>
      </c>
      <c r="C408" s="1" t="s">
        <v>1031</v>
      </c>
      <c r="D408" s="1" t="s">
        <v>1039</v>
      </c>
      <c r="E408" s="1">
        <v>5.16</v>
      </c>
    </row>
    <row r="409" spans="1:5" x14ac:dyDescent="0.2">
      <c r="A409" s="1" t="s">
        <v>418</v>
      </c>
      <c r="B409" s="1" t="str">
        <f>VLOOKUP(Table5[[#This Row],[Student_ID]],student_data[#All],2,0)</f>
        <v>Information Technology</v>
      </c>
      <c r="C409" s="1" t="s">
        <v>1033</v>
      </c>
      <c r="D409" s="1" t="s">
        <v>1034</v>
      </c>
      <c r="E409" s="1">
        <v>0</v>
      </c>
    </row>
    <row r="410" spans="1:5" x14ac:dyDescent="0.2">
      <c r="A410" s="1" t="s">
        <v>419</v>
      </c>
      <c r="B410" s="1" t="str">
        <f>VLOOKUP(Table5[[#This Row],[Student_ID]],student_data[#All],2,0)</f>
        <v>Computer Science</v>
      </c>
      <c r="C410" s="1" t="s">
        <v>1033</v>
      </c>
      <c r="D410" s="1" t="s">
        <v>1034</v>
      </c>
      <c r="E410" s="1">
        <v>0</v>
      </c>
    </row>
    <row r="411" spans="1:5" x14ac:dyDescent="0.2">
      <c r="A411" s="1" t="s">
        <v>420</v>
      </c>
      <c r="B411" s="1" t="str">
        <f>VLOOKUP(Table5[[#This Row],[Student_ID]],student_data[#All],2,0)</f>
        <v>Civil</v>
      </c>
      <c r="C411" s="1" t="s">
        <v>1031</v>
      </c>
      <c r="D411" s="1" t="s">
        <v>1035</v>
      </c>
      <c r="E411" s="1">
        <v>6.96</v>
      </c>
    </row>
    <row r="412" spans="1:5" x14ac:dyDescent="0.2">
      <c r="A412" s="1" t="s">
        <v>421</v>
      </c>
      <c r="B412" s="1" t="str">
        <f>VLOOKUP(Table5[[#This Row],[Student_ID]],student_data[#All],2,0)</f>
        <v>Information Technology</v>
      </c>
      <c r="C412" s="1" t="s">
        <v>1031</v>
      </c>
      <c r="D412" s="1" t="s">
        <v>1032</v>
      </c>
      <c r="E412" s="1">
        <v>3.67</v>
      </c>
    </row>
    <row r="413" spans="1:5" x14ac:dyDescent="0.2">
      <c r="A413" s="1" t="s">
        <v>422</v>
      </c>
      <c r="B413" s="1" t="str">
        <f>VLOOKUP(Table5[[#This Row],[Student_ID]],student_data[#All],2,0)</f>
        <v>Civil</v>
      </c>
      <c r="C413" s="1" t="s">
        <v>1031</v>
      </c>
      <c r="D413" s="1" t="s">
        <v>1032</v>
      </c>
      <c r="E413" s="1">
        <v>5.01</v>
      </c>
    </row>
    <row r="414" spans="1:5" x14ac:dyDescent="0.2">
      <c r="A414" s="1" t="s">
        <v>423</v>
      </c>
      <c r="B414" s="1" t="str">
        <f>VLOOKUP(Table5[[#This Row],[Student_ID]],student_data[#All],2,0)</f>
        <v>Electronics</v>
      </c>
      <c r="C414" s="1" t="s">
        <v>1031</v>
      </c>
      <c r="D414" s="1" t="s">
        <v>1036</v>
      </c>
      <c r="E414" s="1">
        <v>12.78</v>
      </c>
    </row>
    <row r="415" spans="1:5" x14ac:dyDescent="0.2">
      <c r="A415" s="1" t="s">
        <v>424</v>
      </c>
      <c r="B415" s="1" t="str">
        <f>VLOOKUP(Table5[[#This Row],[Student_ID]],student_data[#All],2,0)</f>
        <v>Electronics</v>
      </c>
      <c r="C415" s="1" t="s">
        <v>1031</v>
      </c>
      <c r="D415" s="1" t="s">
        <v>1032</v>
      </c>
      <c r="E415" s="1">
        <v>6.88</v>
      </c>
    </row>
    <row r="416" spans="1:5" x14ac:dyDescent="0.2">
      <c r="A416" s="1" t="s">
        <v>425</v>
      </c>
      <c r="B416" s="1" t="str">
        <f>VLOOKUP(Table5[[#This Row],[Student_ID]],student_data[#All],2,0)</f>
        <v>Information Technology</v>
      </c>
      <c r="C416" s="1" t="s">
        <v>1031</v>
      </c>
      <c r="D416" s="1" t="s">
        <v>1032</v>
      </c>
      <c r="E416" s="1">
        <v>5.12</v>
      </c>
    </row>
    <row r="417" spans="1:5" x14ac:dyDescent="0.2">
      <c r="A417" s="1" t="s">
        <v>426</v>
      </c>
      <c r="B417" s="1" t="str">
        <f>VLOOKUP(Table5[[#This Row],[Student_ID]],student_data[#All],2,0)</f>
        <v>Civil</v>
      </c>
      <c r="C417" s="1" t="s">
        <v>1031</v>
      </c>
      <c r="D417" s="1" t="s">
        <v>1036</v>
      </c>
      <c r="E417" s="1">
        <v>14.36</v>
      </c>
    </row>
    <row r="418" spans="1:5" x14ac:dyDescent="0.2">
      <c r="A418" s="1" t="s">
        <v>427</v>
      </c>
      <c r="B418" s="1" t="str">
        <f>VLOOKUP(Table5[[#This Row],[Student_ID]],student_data[#All],2,0)</f>
        <v>Computer Science</v>
      </c>
      <c r="C418" s="1" t="s">
        <v>1031</v>
      </c>
      <c r="D418" s="1" t="s">
        <v>1039</v>
      </c>
      <c r="E418" s="1">
        <v>3.89</v>
      </c>
    </row>
    <row r="419" spans="1:5" x14ac:dyDescent="0.2">
      <c r="A419" s="1" t="s">
        <v>428</v>
      </c>
      <c r="B419" s="1" t="str">
        <f>VLOOKUP(Table5[[#This Row],[Student_ID]],student_data[#All],2,0)</f>
        <v>Information Technology</v>
      </c>
      <c r="C419" s="1" t="s">
        <v>1031</v>
      </c>
      <c r="D419" s="1" t="s">
        <v>1035</v>
      </c>
      <c r="E419" s="1">
        <v>4.5</v>
      </c>
    </row>
    <row r="420" spans="1:5" x14ac:dyDescent="0.2">
      <c r="A420" s="1" t="s">
        <v>429</v>
      </c>
      <c r="B420" s="1" t="str">
        <f>VLOOKUP(Table5[[#This Row],[Student_ID]],student_data[#All],2,0)</f>
        <v>Electronics</v>
      </c>
      <c r="C420" s="1" t="s">
        <v>1031</v>
      </c>
      <c r="D420" s="1" t="s">
        <v>1039</v>
      </c>
      <c r="E420" s="1">
        <v>3.52</v>
      </c>
    </row>
    <row r="421" spans="1:5" x14ac:dyDescent="0.2">
      <c r="A421" s="1" t="s">
        <v>430</v>
      </c>
      <c r="B421" s="1" t="str">
        <f>VLOOKUP(Table5[[#This Row],[Student_ID]],student_data[#All],2,0)</f>
        <v>Electronics</v>
      </c>
      <c r="C421" s="1" t="s">
        <v>1031</v>
      </c>
      <c r="D421" s="1" t="s">
        <v>1038</v>
      </c>
      <c r="E421" s="1">
        <v>4.68</v>
      </c>
    </row>
    <row r="422" spans="1:5" x14ac:dyDescent="0.2">
      <c r="A422" s="1" t="s">
        <v>431</v>
      </c>
      <c r="B422" s="1" t="str">
        <f>VLOOKUP(Table5[[#This Row],[Student_ID]],student_data[#All],2,0)</f>
        <v>Information Technology</v>
      </c>
      <c r="C422" s="1" t="s">
        <v>1033</v>
      </c>
      <c r="D422" s="1" t="s">
        <v>1034</v>
      </c>
      <c r="E422" s="1">
        <v>0</v>
      </c>
    </row>
    <row r="423" spans="1:5" x14ac:dyDescent="0.2">
      <c r="A423" s="1" t="s">
        <v>432</v>
      </c>
      <c r="B423" s="1" t="str">
        <f>VLOOKUP(Table5[[#This Row],[Student_ID]],student_data[#All],2,0)</f>
        <v>Civil</v>
      </c>
      <c r="C423" s="1" t="s">
        <v>1031</v>
      </c>
      <c r="D423" s="1" t="s">
        <v>1038</v>
      </c>
      <c r="E423" s="1">
        <v>6.88</v>
      </c>
    </row>
    <row r="424" spans="1:5" x14ac:dyDescent="0.2">
      <c r="A424" s="1" t="s">
        <v>433</v>
      </c>
      <c r="B424" s="1" t="str">
        <f>VLOOKUP(Table5[[#This Row],[Student_ID]],student_data[#All],2,0)</f>
        <v>Electronics</v>
      </c>
      <c r="C424" s="1" t="s">
        <v>1031</v>
      </c>
      <c r="D424" s="1" t="s">
        <v>1032</v>
      </c>
      <c r="E424" s="1">
        <v>5.19</v>
      </c>
    </row>
    <row r="425" spans="1:5" x14ac:dyDescent="0.2">
      <c r="A425" s="1" t="s">
        <v>434</v>
      </c>
      <c r="B425" s="1" t="str">
        <f>VLOOKUP(Table5[[#This Row],[Student_ID]],student_data[#All],2,0)</f>
        <v>Civil</v>
      </c>
      <c r="C425" s="1" t="s">
        <v>1031</v>
      </c>
      <c r="D425" s="1" t="s">
        <v>1040</v>
      </c>
      <c r="E425" s="1">
        <v>6.88</v>
      </c>
    </row>
    <row r="426" spans="1:5" x14ac:dyDescent="0.2">
      <c r="A426" s="1" t="s">
        <v>435</v>
      </c>
      <c r="B426" s="1" t="str">
        <f>VLOOKUP(Table5[[#This Row],[Student_ID]],student_data[#All],2,0)</f>
        <v>Electronics</v>
      </c>
      <c r="C426" s="1" t="s">
        <v>1033</v>
      </c>
      <c r="D426" s="1" t="s">
        <v>1034</v>
      </c>
      <c r="E426" s="1">
        <v>0</v>
      </c>
    </row>
    <row r="427" spans="1:5" x14ac:dyDescent="0.2">
      <c r="A427" s="1" t="s">
        <v>436</v>
      </c>
      <c r="B427" s="1" t="str">
        <f>VLOOKUP(Table5[[#This Row],[Student_ID]],student_data[#All],2,0)</f>
        <v>Electronics</v>
      </c>
      <c r="C427" s="1" t="s">
        <v>1031</v>
      </c>
      <c r="D427" s="1" t="s">
        <v>1038</v>
      </c>
      <c r="E427" s="1">
        <v>3.87</v>
      </c>
    </row>
    <row r="428" spans="1:5" x14ac:dyDescent="0.2">
      <c r="A428" s="1" t="s">
        <v>437</v>
      </c>
      <c r="B428" s="1" t="str">
        <f>VLOOKUP(Table5[[#This Row],[Student_ID]],student_data[#All],2,0)</f>
        <v>Mechanical</v>
      </c>
      <c r="C428" s="1" t="s">
        <v>1031</v>
      </c>
      <c r="D428" s="1" t="s">
        <v>1032</v>
      </c>
      <c r="E428" s="1">
        <v>4.1900000000000004</v>
      </c>
    </row>
    <row r="429" spans="1:5" x14ac:dyDescent="0.2">
      <c r="A429" s="1" t="s">
        <v>438</v>
      </c>
      <c r="B429" s="1" t="str">
        <f>VLOOKUP(Table5[[#This Row],[Student_ID]],student_data[#All],2,0)</f>
        <v>Electronics</v>
      </c>
      <c r="C429" s="1" t="s">
        <v>1031</v>
      </c>
      <c r="D429" s="1" t="s">
        <v>1040</v>
      </c>
      <c r="E429" s="1">
        <v>3.86</v>
      </c>
    </row>
    <row r="430" spans="1:5" x14ac:dyDescent="0.2">
      <c r="A430" s="1" t="s">
        <v>439</v>
      </c>
      <c r="B430" s="1" t="str">
        <f>VLOOKUP(Table5[[#This Row],[Student_ID]],student_data[#All],2,0)</f>
        <v>Computer Science</v>
      </c>
      <c r="C430" s="1" t="s">
        <v>1031</v>
      </c>
      <c r="D430" s="1" t="s">
        <v>1038</v>
      </c>
      <c r="E430" s="1">
        <v>5.68</v>
      </c>
    </row>
    <row r="431" spans="1:5" x14ac:dyDescent="0.2">
      <c r="A431" s="1" t="s">
        <v>440</v>
      </c>
      <c r="B431" s="1" t="str">
        <f>VLOOKUP(Table5[[#This Row],[Student_ID]],student_data[#All],2,0)</f>
        <v>Information Technology</v>
      </c>
      <c r="C431" s="1" t="s">
        <v>1031</v>
      </c>
      <c r="D431" s="1" t="s">
        <v>1040</v>
      </c>
      <c r="E431" s="1">
        <v>4.1900000000000004</v>
      </c>
    </row>
    <row r="432" spans="1:5" x14ac:dyDescent="0.2">
      <c r="A432" s="1" t="s">
        <v>441</v>
      </c>
      <c r="B432" s="1" t="str">
        <f>VLOOKUP(Table5[[#This Row],[Student_ID]],student_data[#All],2,0)</f>
        <v>Information Technology</v>
      </c>
      <c r="C432" s="1" t="s">
        <v>1033</v>
      </c>
      <c r="D432" s="1" t="s">
        <v>1034</v>
      </c>
      <c r="E432" s="1">
        <v>0</v>
      </c>
    </row>
    <row r="433" spans="1:5" x14ac:dyDescent="0.2">
      <c r="A433" s="1" t="s">
        <v>442</v>
      </c>
      <c r="B433" s="1" t="str">
        <f>VLOOKUP(Table5[[#This Row],[Student_ID]],student_data[#All],2,0)</f>
        <v>Civil</v>
      </c>
      <c r="C433" s="1" t="s">
        <v>1031</v>
      </c>
      <c r="D433" s="1" t="s">
        <v>1035</v>
      </c>
      <c r="E433" s="1">
        <v>4.5</v>
      </c>
    </row>
    <row r="434" spans="1:5" x14ac:dyDescent="0.2">
      <c r="A434" s="1" t="s">
        <v>443</v>
      </c>
      <c r="B434" s="1" t="str">
        <f>VLOOKUP(Table5[[#This Row],[Student_ID]],student_data[#All],2,0)</f>
        <v>Electronics</v>
      </c>
      <c r="C434" s="1" t="s">
        <v>1031</v>
      </c>
      <c r="D434" s="1" t="s">
        <v>1032</v>
      </c>
      <c r="E434" s="1">
        <v>6.34</v>
      </c>
    </row>
    <row r="435" spans="1:5" x14ac:dyDescent="0.2">
      <c r="A435" s="1" t="s">
        <v>444</v>
      </c>
      <c r="B435" s="1" t="str">
        <f>VLOOKUP(Table5[[#This Row],[Student_ID]],student_data[#All],2,0)</f>
        <v>Computer Science</v>
      </c>
      <c r="C435" s="1" t="s">
        <v>1031</v>
      </c>
      <c r="D435" s="1" t="s">
        <v>1035</v>
      </c>
      <c r="E435" s="1">
        <v>3.85</v>
      </c>
    </row>
    <row r="436" spans="1:5" x14ac:dyDescent="0.2">
      <c r="A436" s="1" t="s">
        <v>445</v>
      </c>
      <c r="B436" s="1" t="str">
        <f>VLOOKUP(Table5[[#This Row],[Student_ID]],student_data[#All],2,0)</f>
        <v>Civil</v>
      </c>
      <c r="C436" s="1" t="s">
        <v>1031</v>
      </c>
      <c r="D436" s="1" t="s">
        <v>1036</v>
      </c>
      <c r="E436" s="1">
        <v>12.56</v>
      </c>
    </row>
    <row r="437" spans="1:5" x14ac:dyDescent="0.2">
      <c r="A437" s="1" t="s">
        <v>446</v>
      </c>
      <c r="B437" s="1" t="str">
        <f>VLOOKUP(Table5[[#This Row],[Student_ID]],student_data[#All],2,0)</f>
        <v>Mechanical</v>
      </c>
      <c r="C437" s="1" t="s">
        <v>1031</v>
      </c>
      <c r="D437" s="1" t="s">
        <v>1032</v>
      </c>
      <c r="E437" s="1">
        <v>5.65</v>
      </c>
    </row>
    <row r="438" spans="1:5" x14ac:dyDescent="0.2">
      <c r="A438" s="1" t="s">
        <v>447</v>
      </c>
      <c r="B438" s="1" t="str">
        <f>VLOOKUP(Table5[[#This Row],[Student_ID]],student_data[#All],2,0)</f>
        <v>Civil</v>
      </c>
      <c r="C438" s="1" t="s">
        <v>1031</v>
      </c>
      <c r="D438" s="1" t="s">
        <v>1039</v>
      </c>
      <c r="E438" s="1">
        <v>4.1900000000000004</v>
      </c>
    </row>
    <row r="439" spans="1:5" x14ac:dyDescent="0.2">
      <c r="A439" s="1" t="s">
        <v>448</v>
      </c>
      <c r="B439" s="1" t="str">
        <f>VLOOKUP(Table5[[#This Row],[Student_ID]],student_data[#All],2,0)</f>
        <v>Civil</v>
      </c>
      <c r="C439" s="1" t="s">
        <v>1031</v>
      </c>
      <c r="D439" s="1" t="s">
        <v>1037</v>
      </c>
      <c r="E439" s="1">
        <v>11.75</v>
      </c>
    </row>
    <row r="440" spans="1:5" x14ac:dyDescent="0.2">
      <c r="A440" s="1" t="s">
        <v>449</v>
      </c>
      <c r="B440" s="1" t="str">
        <f>VLOOKUP(Table5[[#This Row],[Student_ID]],student_data[#All],2,0)</f>
        <v>Electronics</v>
      </c>
      <c r="C440" s="1" t="s">
        <v>1031</v>
      </c>
      <c r="D440" s="1" t="s">
        <v>1036</v>
      </c>
      <c r="E440" s="1">
        <v>14.5</v>
      </c>
    </row>
    <row r="441" spans="1:5" x14ac:dyDescent="0.2">
      <c r="A441" s="1" t="s">
        <v>450</v>
      </c>
      <c r="B441" s="1" t="str">
        <f>VLOOKUP(Table5[[#This Row],[Student_ID]],student_data[#All],2,0)</f>
        <v>Mechanical</v>
      </c>
      <c r="C441" s="1" t="s">
        <v>1031</v>
      </c>
      <c r="D441" s="1" t="s">
        <v>1036</v>
      </c>
      <c r="E441" s="1">
        <v>9.33</v>
      </c>
    </row>
    <row r="442" spans="1:5" x14ac:dyDescent="0.2">
      <c r="A442" s="1" t="s">
        <v>451</v>
      </c>
      <c r="B442" s="1" t="str">
        <f>VLOOKUP(Table5[[#This Row],[Student_ID]],student_data[#All],2,0)</f>
        <v>Civil</v>
      </c>
      <c r="C442" s="1" t="s">
        <v>1031</v>
      </c>
      <c r="D442" s="1" t="s">
        <v>1039</v>
      </c>
      <c r="E442" s="1">
        <v>4.41</v>
      </c>
    </row>
    <row r="443" spans="1:5" x14ac:dyDescent="0.2">
      <c r="A443" s="1" t="s">
        <v>452</v>
      </c>
      <c r="B443" s="1" t="str">
        <f>VLOOKUP(Table5[[#This Row],[Student_ID]],student_data[#All],2,0)</f>
        <v>Computer Science</v>
      </c>
      <c r="C443" s="1" t="s">
        <v>1031</v>
      </c>
      <c r="D443" s="1" t="s">
        <v>1038</v>
      </c>
      <c r="E443" s="1">
        <v>4.3499999999999996</v>
      </c>
    </row>
    <row r="444" spans="1:5" x14ac:dyDescent="0.2">
      <c r="A444" s="1" t="s">
        <v>453</v>
      </c>
      <c r="B444" s="1" t="str">
        <f>VLOOKUP(Table5[[#This Row],[Student_ID]],student_data[#All],2,0)</f>
        <v>Computer Science</v>
      </c>
      <c r="C444" s="1" t="s">
        <v>1031</v>
      </c>
      <c r="D444" s="1" t="s">
        <v>1038</v>
      </c>
      <c r="E444" s="1">
        <v>4.8600000000000003</v>
      </c>
    </row>
    <row r="445" spans="1:5" x14ac:dyDescent="0.2">
      <c r="A445" s="1" t="s">
        <v>454</v>
      </c>
      <c r="B445" s="1" t="str">
        <f>VLOOKUP(Table5[[#This Row],[Student_ID]],student_data[#All],2,0)</f>
        <v>Information Technology</v>
      </c>
      <c r="C445" s="1" t="s">
        <v>1033</v>
      </c>
      <c r="D445" s="1" t="s">
        <v>1034</v>
      </c>
      <c r="E445" s="1">
        <v>0</v>
      </c>
    </row>
    <row r="446" spans="1:5" x14ac:dyDescent="0.2">
      <c r="A446" s="1" t="s">
        <v>455</v>
      </c>
      <c r="B446" s="1" t="str">
        <f>VLOOKUP(Table5[[#This Row],[Student_ID]],student_data[#All],2,0)</f>
        <v>Mechanical</v>
      </c>
      <c r="C446" s="1" t="s">
        <v>1031</v>
      </c>
      <c r="D446" s="1" t="s">
        <v>1032</v>
      </c>
      <c r="E446" s="1">
        <v>4.2</v>
      </c>
    </row>
    <row r="447" spans="1:5" x14ac:dyDescent="0.2">
      <c r="A447" s="1" t="s">
        <v>456</v>
      </c>
      <c r="B447" s="1" t="str">
        <f>VLOOKUP(Table5[[#This Row],[Student_ID]],student_data[#All],2,0)</f>
        <v>Mechanical</v>
      </c>
      <c r="C447" s="1" t="s">
        <v>1031</v>
      </c>
      <c r="D447" s="1" t="s">
        <v>1032</v>
      </c>
      <c r="E447" s="1">
        <v>4.32</v>
      </c>
    </row>
    <row r="448" spans="1:5" x14ac:dyDescent="0.2">
      <c r="A448" s="1" t="s">
        <v>457</v>
      </c>
      <c r="B448" s="1" t="str">
        <f>VLOOKUP(Table5[[#This Row],[Student_ID]],student_data[#All],2,0)</f>
        <v>Information Technology</v>
      </c>
      <c r="C448" s="1" t="s">
        <v>1031</v>
      </c>
      <c r="D448" s="1" t="s">
        <v>1038</v>
      </c>
      <c r="E448" s="1">
        <v>5.43</v>
      </c>
    </row>
    <row r="449" spans="1:5" x14ac:dyDescent="0.2">
      <c r="A449" s="1" t="s">
        <v>458</v>
      </c>
      <c r="B449" s="1" t="str">
        <f>VLOOKUP(Table5[[#This Row],[Student_ID]],student_data[#All],2,0)</f>
        <v>Civil</v>
      </c>
      <c r="C449" s="1" t="s">
        <v>1031</v>
      </c>
      <c r="D449" s="1" t="s">
        <v>1039</v>
      </c>
      <c r="E449" s="1">
        <v>6.92</v>
      </c>
    </row>
    <row r="450" spans="1:5" x14ac:dyDescent="0.2">
      <c r="A450" s="1" t="s">
        <v>459</v>
      </c>
      <c r="B450" s="1" t="str">
        <f>VLOOKUP(Table5[[#This Row],[Student_ID]],student_data[#All],2,0)</f>
        <v>Mechanical</v>
      </c>
      <c r="C450" s="1" t="s">
        <v>1031</v>
      </c>
      <c r="D450" s="1" t="s">
        <v>1038</v>
      </c>
      <c r="E450" s="1">
        <v>4.8600000000000003</v>
      </c>
    </row>
    <row r="451" spans="1:5" x14ac:dyDescent="0.2">
      <c r="A451" s="1" t="s">
        <v>460</v>
      </c>
      <c r="B451" s="1" t="str">
        <f>VLOOKUP(Table5[[#This Row],[Student_ID]],student_data[#All],2,0)</f>
        <v>Computer Science</v>
      </c>
      <c r="C451" s="1" t="s">
        <v>1033</v>
      </c>
      <c r="D451" s="1" t="s">
        <v>1034</v>
      </c>
      <c r="E451" s="1">
        <v>0</v>
      </c>
    </row>
    <row r="452" spans="1:5" x14ac:dyDescent="0.2">
      <c r="A452" s="1" t="s">
        <v>461</v>
      </c>
      <c r="B452" s="1" t="str">
        <f>VLOOKUP(Table5[[#This Row],[Student_ID]],student_data[#All],2,0)</f>
        <v>Computer Science</v>
      </c>
      <c r="C452" s="1" t="s">
        <v>1033</v>
      </c>
      <c r="D452" s="1" t="s">
        <v>1034</v>
      </c>
      <c r="E452" s="1">
        <v>0</v>
      </c>
    </row>
    <row r="453" spans="1:5" x14ac:dyDescent="0.2">
      <c r="A453" s="1" t="s">
        <v>462</v>
      </c>
      <c r="B453" s="1" t="str">
        <f>VLOOKUP(Table5[[#This Row],[Student_ID]],student_data[#All],2,0)</f>
        <v>Electronics</v>
      </c>
      <c r="C453" s="1" t="s">
        <v>1031</v>
      </c>
      <c r="D453" s="1" t="s">
        <v>1032</v>
      </c>
      <c r="E453" s="1">
        <v>6.83</v>
      </c>
    </row>
    <row r="454" spans="1:5" x14ac:dyDescent="0.2">
      <c r="A454" s="1" t="s">
        <v>463</v>
      </c>
      <c r="B454" s="1" t="str">
        <f>VLOOKUP(Table5[[#This Row],[Student_ID]],student_data[#All],2,0)</f>
        <v>Mechanical</v>
      </c>
      <c r="C454" s="1" t="s">
        <v>1031</v>
      </c>
      <c r="D454" s="1" t="s">
        <v>1038</v>
      </c>
      <c r="E454" s="1">
        <v>4.22</v>
      </c>
    </row>
    <row r="455" spans="1:5" x14ac:dyDescent="0.2">
      <c r="A455" s="1" t="s">
        <v>464</v>
      </c>
      <c r="B455" s="1" t="str">
        <f>VLOOKUP(Table5[[#This Row],[Student_ID]],student_data[#All],2,0)</f>
        <v>Civil</v>
      </c>
      <c r="C455" s="1" t="s">
        <v>1031</v>
      </c>
      <c r="D455" s="1" t="s">
        <v>1038</v>
      </c>
      <c r="E455" s="1">
        <v>4.3499999999999996</v>
      </c>
    </row>
    <row r="456" spans="1:5" x14ac:dyDescent="0.2">
      <c r="A456" s="1" t="s">
        <v>465</v>
      </c>
      <c r="B456" s="1" t="str">
        <f>VLOOKUP(Table5[[#This Row],[Student_ID]],student_data[#All],2,0)</f>
        <v>Information Technology</v>
      </c>
      <c r="C456" s="1" t="s">
        <v>1031</v>
      </c>
      <c r="D456" s="1" t="s">
        <v>1035</v>
      </c>
      <c r="E456" s="1">
        <v>5.15</v>
      </c>
    </row>
    <row r="457" spans="1:5" x14ac:dyDescent="0.2">
      <c r="A457" s="1" t="s">
        <v>466</v>
      </c>
      <c r="B457" s="1" t="str">
        <f>VLOOKUP(Table5[[#This Row],[Student_ID]],student_data[#All],2,0)</f>
        <v>Information Technology</v>
      </c>
      <c r="C457" s="1" t="s">
        <v>1031</v>
      </c>
      <c r="D457" s="1" t="s">
        <v>1038</v>
      </c>
      <c r="E457" s="1">
        <v>3.66</v>
      </c>
    </row>
    <row r="458" spans="1:5" x14ac:dyDescent="0.2">
      <c r="A458" s="1" t="s">
        <v>467</v>
      </c>
      <c r="B458" s="1" t="str">
        <f>VLOOKUP(Table5[[#This Row],[Student_ID]],student_data[#All],2,0)</f>
        <v>Civil</v>
      </c>
      <c r="C458" s="1" t="s">
        <v>1031</v>
      </c>
      <c r="D458" s="1" t="s">
        <v>1032</v>
      </c>
      <c r="E458" s="1">
        <v>4.5</v>
      </c>
    </row>
    <row r="459" spans="1:5" x14ac:dyDescent="0.2">
      <c r="A459" s="1" t="s">
        <v>468</v>
      </c>
      <c r="B459" s="1" t="str">
        <f>VLOOKUP(Table5[[#This Row],[Student_ID]],student_data[#All],2,0)</f>
        <v>Electronics</v>
      </c>
      <c r="C459" s="1" t="s">
        <v>1031</v>
      </c>
      <c r="D459" s="1" t="s">
        <v>1032</v>
      </c>
      <c r="E459" s="1">
        <v>5.65</v>
      </c>
    </row>
    <row r="460" spans="1:5" x14ac:dyDescent="0.2">
      <c r="A460" s="1" t="s">
        <v>469</v>
      </c>
      <c r="B460" s="1" t="str">
        <f>VLOOKUP(Table5[[#This Row],[Student_ID]],student_data[#All],2,0)</f>
        <v>Information Technology</v>
      </c>
      <c r="C460" s="1" t="s">
        <v>1033</v>
      </c>
      <c r="D460" s="1" t="s">
        <v>1034</v>
      </c>
      <c r="E460" s="1">
        <v>0</v>
      </c>
    </row>
    <row r="461" spans="1:5" x14ac:dyDescent="0.2">
      <c r="A461" s="1" t="s">
        <v>470</v>
      </c>
      <c r="B461" s="1" t="str">
        <f>VLOOKUP(Table5[[#This Row],[Student_ID]],student_data[#All],2,0)</f>
        <v>Mechanical</v>
      </c>
      <c r="C461" s="1" t="s">
        <v>1031</v>
      </c>
      <c r="D461" s="1" t="s">
        <v>1032</v>
      </c>
      <c r="E461" s="1">
        <v>5.19</v>
      </c>
    </row>
    <row r="462" spans="1:5" x14ac:dyDescent="0.2">
      <c r="A462" s="1" t="s">
        <v>471</v>
      </c>
      <c r="B462" s="1" t="str">
        <f>VLOOKUP(Table5[[#This Row],[Student_ID]],student_data[#All],2,0)</f>
        <v>Electronics</v>
      </c>
      <c r="C462" s="1" t="s">
        <v>1031</v>
      </c>
      <c r="D462" s="1" t="s">
        <v>1036</v>
      </c>
      <c r="E462" s="1">
        <v>9.39</v>
      </c>
    </row>
    <row r="463" spans="1:5" x14ac:dyDescent="0.2">
      <c r="A463" s="1" t="s">
        <v>472</v>
      </c>
      <c r="B463" s="1" t="str">
        <f>VLOOKUP(Table5[[#This Row],[Student_ID]],student_data[#All],2,0)</f>
        <v>Mechanical</v>
      </c>
      <c r="C463" s="1" t="s">
        <v>1031</v>
      </c>
      <c r="D463" s="1" t="s">
        <v>1035</v>
      </c>
      <c r="E463" s="1">
        <v>5.33</v>
      </c>
    </row>
    <row r="464" spans="1:5" x14ac:dyDescent="0.2">
      <c r="A464" s="1" t="s">
        <v>473</v>
      </c>
      <c r="B464" s="1" t="str">
        <f>VLOOKUP(Table5[[#This Row],[Student_ID]],student_data[#All],2,0)</f>
        <v>Computer Science</v>
      </c>
      <c r="C464" s="1" t="s">
        <v>1031</v>
      </c>
      <c r="D464" s="1" t="s">
        <v>1032</v>
      </c>
      <c r="E464" s="1">
        <v>5.6</v>
      </c>
    </row>
    <row r="465" spans="1:5" x14ac:dyDescent="0.2">
      <c r="A465" s="1" t="s">
        <v>474</v>
      </c>
      <c r="B465" s="1" t="str">
        <f>VLOOKUP(Table5[[#This Row],[Student_ID]],student_data[#All],2,0)</f>
        <v>Electronics</v>
      </c>
      <c r="C465" s="1" t="s">
        <v>1031</v>
      </c>
      <c r="D465" s="1" t="s">
        <v>1035</v>
      </c>
      <c r="E465" s="1">
        <v>5.77</v>
      </c>
    </row>
    <row r="466" spans="1:5" x14ac:dyDescent="0.2">
      <c r="A466" s="1" t="s">
        <v>475</v>
      </c>
      <c r="B466" s="1" t="str">
        <f>VLOOKUP(Table5[[#This Row],[Student_ID]],student_data[#All],2,0)</f>
        <v>Information Technology</v>
      </c>
      <c r="C466" s="1" t="s">
        <v>1031</v>
      </c>
      <c r="D466" s="1" t="s">
        <v>1038</v>
      </c>
      <c r="E466" s="1">
        <v>4.5</v>
      </c>
    </row>
    <row r="467" spans="1:5" x14ac:dyDescent="0.2">
      <c r="A467" s="1" t="s">
        <v>476</v>
      </c>
      <c r="B467" s="1" t="str">
        <f>VLOOKUP(Table5[[#This Row],[Student_ID]],student_data[#All],2,0)</f>
        <v>Electronics</v>
      </c>
      <c r="C467" s="1" t="s">
        <v>1031</v>
      </c>
      <c r="D467" s="1" t="s">
        <v>1032</v>
      </c>
      <c r="E467" s="1">
        <v>4.8899999999999997</v>
      </c>
    </row>
    <row r="468" spans="1:5" x14ac:dyDescent="0.2">
      <c r="A468" s="1" t="s">
        <v>477</v>
      </c>
      <c r="B468" s="1" t="str">
        <f>VLOOKUP(Table5[[#This Row],[Student_ID]],student_data[#All],2,0)</f>
        <v>Electronics</v>
      </c>
      <c r="C468" s="1" t="s">
        <v>1031</v>
      </c>
      <c r="D468" s="1" t="s">
        <v>1032</v>
      </c>
      <c r="E468" s="1">
        <v>6.33</v>
      </c>
    </row>
    <row r="469" spans="1:5" x14ac:dyDescent="0.2">
      <c r="A469" s="1" t="s">
        <v>478</v>
      </c>
      <c r="B469" s="1" t="str">
        <f>VLOOKUP(Table5[[#This Row],[Student_ID]],student_data[#All],2,0)</f>
        <v>Electronics</v>
      </c>
      <c r="C469" s="1" t="s">
        <v>1033</v>
      </c>
      <c r="D469" s="1" t="s">
        <v>1034</v>
      </c>
      <c r="E469" s="1">
        <v>0</v>
      </c>
    </row>
    <row r="470" spans="1:5" x14ac:dyDescent="0.2">
      <c r="A470" s="1" t="s">
        <v>479</v>
      </c>
      <c r="B470" s="1" t="str">
        <f>VLOOKUP(Table5[[#This Row],[Student_ID]],student_data[#All],2,0)</f>
        <v>Electronics</v>
      </c>
      <c r="C470" s="1" t="s">
        <v>1031</v>
      </c>
      <c r="D470" s="1" t="s">
        <v>1040</v>
      </c>
      <c r="E470" s="1">
        <v>5.2</v>
      </c>
    </row>
    <row r="471" spans="1:5" x14ac:dyDescent="0.2">
      <c r="A471" s="1" t="s">
        <v>480</v>
      </c>
      <c r="B471" s="1" t="str">
        <f>VLOOKUP(Table5[[#This Row],[Student_ID]],student_data[#All],2,0)</f>
        <v>Mechanical</v>
      </c>
      <c r="C471" s="1" t="s">
        <v>1031</v>
      </c>
      <c r="D471" s="1" t="s">
        <v>1038</v>
      </c>
      <c r="E471" s="1">
        <v>3.61</v>
      </c>
    </row>
    <row r="472" spans="1:5" x14ac:dyDescent="0.2">
      <c r="A472" s="1" t="s">
        <v>481</v>
      </c>
      <c r="B472" s="1" t="str">
        <f>VLOOKUP(Table5[[#This Row],[Student_ID]],student_data[#All],2,0)</f>
        <v>Computer Science</v>
      </c>
      <c r="C472" s="1" t="s">
        <v>1031</v>
      </c>
      <c r="D472" s="1" t="s">
        <v>1032</v>
      </c>
      <c r="E472" s="1">
        <v>6.96</v>
      </c>
    </row>
    <row r="473" spans="1:5" x14ac:dyDescent="0.2">
      <c r="A473" s="1" t="s">
        <v>482</v>
      </c>
      <c r="B473" s="1" t="str">
        <f>VLOOKUP(Table5[[#This Row],[Student_ID]],student_data[#All],2,0)</f>
        <v>Civil</v>
      </c>
      <c r="C473" s="1" t="s">
        <v>1031</v>
      </c>
      <c r="D473" s="1" t="s">
        <v>1032</v>
      </c>
      <c r="E473" s="1">
        <v>5.43</v>
      </c>
    </row>
    <row r="474" spans="1:5" x14ac:dyDescent="0.2">
      <c r="A474" s="1" t="s">
        <v>483</v>
      </c>
      <c r="B474" s="1" t="str">
        <f>VLOOKUP(Table5[[#This Row],[Student_ID]],student_data[#All],2,0)</f>
        <v>Electronics</v>
      </c>
      <c r="C474" s="1" t="s">
        <v>1033</v>
      </c>
      <c r="D474" s="1" t="s">
        <v>1034</v>
      </c>
      <c r="E474" s="1">
        <v>0</v>
      </c>
    </row>
    <row r="475" spans="1:5" x14ac:dyDescent="0.2">
      <c r="A475" s="1" t="s">
        <v>484</v>
      </c>
      <c r="B475" s="1" t="str">
        <f>VLOOKUP(Table5[[#This Row],[Student_ID]],student_data[#All],2,0)</f>
        <v>Information Technology</v>
      </c>
      <c r="C475" s="1" t="s">
        <v>1031</v>
      </c>
      <c r="D475" s="1" t="s">
        <v>1038</v>
      </c>
      <c r="E475" s="1">
        <v>4.1100000000000003</v>
      </c>
    </row>
    <row r="476" spans="1:5" x14ac:dyDescent="0.2">
      <c r="A476" s="1" t="s">
        <v>485</v>
      </c>
      <c r="B476" s="1" t="str">
        <f>VLOOKUP(Table5[[#This Row],[Student_ID]],student_data[#All],2,0)</f>
        <v>Electronics</v>
      </c>
      <c r="C476" s="1" t="s">
        <v>1031</v>
      </c>
      <c r="D476" s="1" t="s">
        <v>1032</v>
      </c>
      <c r="E476" s="1">
        <v>6.11</v>
      </c>
    </row>
    <row r="477" spans="1:5" x14ac:dyDescent="0.2">
      <c r="A477" s="1" t="s">
        <v>486</v>
      </c>
      <c r="B477" s="1" t="str">
        <f>VLOOKUP(Table5[[#This Row],[Student_ID]],student_data[#All],2,0)</f>
        <v>Information Technology</v>
      </c>
      <c r="C477" s="1" t="s">
        <v>1031</v>
      </c>
      <c r="D477" s="1" t="s">
        <v>1035</v>
      </c>
      <c r="E477" s="1">
        <v>5.33</v>
      </c>
    </row>
    <row r="478" spans="1:5" x14ac:dyDescent="0.2">
      <c r="A478" s="1" t="s">
        <v>487</v>
      </c>
      <c r="B478" s="1" t="str">
        <f>VLOOKUP(Table5[[#This Row],[Student_ID]],student_data[#All],2,0)</f>
        <v>Mechanical</v>
      </c>
      <c r="C478" s="1" t="s">
        <v>1031</v>
      </c>
      <c r="D478" s="1" t="s">
        <v>1038</v>
      </c>
      <c r="E478" s="1">
        <v>4.34</v>
      </c>
    </row>
    <row r="479" spans="1:5" x14ac:dyDescent="0.2">
      <c r="A479" s="1" t="s">
        <v>488</v>
      </c>
      <c r="B479" s="1" t="str">
        <f>VLOOKUP(Table5[[#This Row],[Student_ID]],student_data[#All],2,0)</f>
        <v>Information Technology</v>
      </c>
      <c r="C479" s="1" t="s">
        <v>1031</v>
      </c>
      <c r="D479" s="1" t="s">
        <v>1032</v>
      </c>
      <c r="E479" s="1">
        <v>4.3499999999999996</v>
      </c>
    </row>
    <row r="480" spans="1:5" x14ac:dyDescent="0.2">
      <c r="A480" s="1" t="s">
        <v>489</v>
      </c>
      <c r="B480" s="1" t="str">
        <f>VLOOKUP(Table5[[#This Row],[Student_ID]],student_data[#All],2,0)</f>
        <v>Civil</v>
      </c>
      <c r="C480" s="1" t="s">
        <v>1031</v>
      </c>
      <c r="D480" s="1" t="s">
        <v>1037</v>
      </c>
      <c r="E480" s="1">
        <v>11.75</v>
      </c>
    </row>
    <row r="481" spans="1:5" x14ac:dyDescent="0.2">
      <c r="A481" s="1" t="s">
        <v>490</v>
      </c>
      <c r="B481" s="1" t="str">
        <f>VLOOKUP(Table5[[#This Row],[Student_ID]],student_data[#All],2,0)</f>
        <v>Computer Science</v>
      </c>
      <c r="C481" s="1" t="s">
        <v>1031</v>
      </c>
      <c r="D481" s="1" t="s">
        <v>1032</v>
      </c>
      <c r="E481" s="1">
        <v>6.85</v>
      </c>
    </row>
    <row r="482" spans="1:5" x14ac:dyDescent="0.2">
      <c r="A482" s="1" t="s">
        <v>491</v>
      </c>
      <c r="B482" s="1" t="str">
        <f>VLOOKUP(Table5[[#This Row],[Student_ID]],student_data[#All],2,0)</f>
        <v>Information Technology</v>
      </c>
      <c r="C482" s="1" t="s">
        <v>1031</v>
      </c>
      <c r="D482" s="1" t="s">
        <v>1036</v>
      </c>
      <c r="E482" s="1">
        <v>13.6</v>
      </c>
    </row>
    <row r="483" spans="1:5" x14ac:dyDescent="0.2">
      <c r="A483" s="1" t="s">
        <v>492</v>
      </c>
      <c r="B483" s="1" t="str">
        <f>VLOOKUP(Table5[[#This Row],[Student_ID]],student_data[#All],2,0)</f>
        <v>Information Technology</v>
      </c>
      <c r="C483" s="1" t="s">
        <v>1031</v>
      </c>
      <c r="D483" s="1" t="s">
        <v>1040</v>
      </c>
      <c r="E483" s="1">
        <v>4.1100000000000003</v>
      </c>
    </row>
    <row r="484" spans="1:5" x14ac:dyDescent="0.2">
      <c r="A484" s="1" t="s">
        <v>493</v>
      </c>
      <c r="B484" s="1" t="str">
        <f>VLOOKUP(Table5[[#This Row],[Student_ID]],student_data[#All],2,0)</f>
        <v>Computer Science</v>
      </c>
      <c r="C484" s="1" t="s">
        <v>1033</v>
      </c>
      <c r="D484" s="1" t="s">
        <v>1034</v>
      </c>
      <c r="E484" s="1">
        <v>0</v>
      </c>
    </row>
    <row r="485" spans="1:5" x14ac:dyDescent="0.2">
      <c r="A485" s="1" t="s">
        <v>494</v>
      </c>
      <c r="B485" s="1" t="str">
        <f>VLOOKUP(Table5[[#This Row],[Student_ID]],student_data[#All],2,0)</f>
        <v>Civil</v>
      </c>
      <c r="C485" s="1" t="s">
        <v>1031</v>
      </c>
      <c r="D485" s="1" t="s">
        <v>1038</v>
      </c>
      <c r="E485" s="1">
        <v>4.37</v>
      </c>
    </row>
    <row r="486" spans="1:5" x14ac:dyDescent="0.2">
      <c r="A486" s="1" t="s">
        <v>495</v>
      </c>
      <c r="B486" s="1" t="str">
        <f>VLOOKUP(Table5[[#This Row],[Student_ID]],student_data[#All],2,0)</f>
        <v>Electronics</v>
      </c>
      <c r="C486" s="1" t="s">
        <v>1031</v>
      </c>
      <c r="D486" s="1" t="s">
        <v>1036</v>
      </c>
      <c r="E486" s="1">
        <v>9.25</v>
      </c>
    </row>
    <row r="487" spans="1:5" x14ac:dyDescent="0.2">
      <c r="A487" s="1" t="s">
        <v>496</v>
      </c>
      <c r="B487" s="1" t="str">
        <f>VLOOKUP(Table5[[#This Row],[Student_ID]],student_data[#All],2,0)</f>
        <v>Information Technology</v>
      </c>
      <c r="C487" s="1" t="s">
        <v>1031</v>
      </c>
      <c r="D487" s="1" t="s">
        <v>1032</v>
      </c>
      <c r="E487" s="1">
        <v>3.56</v>
      </c>
    </row>
    <row r="488" spans="1:5" x14ac:dyDescent="0.2">
      <c r="A488" s="1" t="s">
        <v>497</v>
      </c>
      <c r="B488" s="1" t="str">
        <f>VLOOKUP(Table5[[#This Row],[Student_ID]],student_data[#All],2,0)</f>
        <v>Computer Science</v>
      </c>
      <c r="C488" s="1" t="s">
        <v>1031</v>
      </c>
      <c r="D488" s="1" t="s">
        <v>1032</v>
      </c>
      <c r="E488" s="1">
        <v>5.72</v>
      </c>
    </row>
    <row r="489" spans="1:5" x14ac:dyDescent="0.2">
      <c r="A489" s="1" t="s">
        <v>498</v>
      </c>
      <c r="B489" s="1" t="str">
        <f>VLOOKUP(Table5[[#This Row],[Student_ID]],student_data[#All],2,0)</f>
        <v>Mechanical</v>
      </c>
      <c r="C489" s="1" t="s">
        <v>1031</v>
      </c>
      <c r="D489" s="1" t="s">
        <v>1038</v>
      </c>
      <c r="E489" s="1">
        <v>3.87</v>
      </c>
    </row>
    <row r="490" spans="1:5" x14ac:dyDescent="0.2">
      <c r="A490" s="1" t="s">
        <v>499</v>
      </c>
      <c r="B490" s="1" t="str">
        <f>VLOOKUP(Table5[[#This Row],[Student_ID]],student_data[#All],2,0)</f>
        <v>Computer Science</v>
      </c>
      <c r="C490" s="1" t="s">
        <v>1031</v>
      </c>
      <c r="D490" s="1" t="s">
        <v>1038</v>
      </c>
      <c r="E490" s="1">
        <v>6.86</v>
      </c>
    </row>
    <row r="491" spans="1:5" x14ac:dyDescent="0.2">
      <c r="A491" s="1" t="s">
        <v>500</v>
      </c>
      <c r="B491" s="1" t="str">
        <f>VLOOKUP(Table5[[#This Row],[Student_ID]],student_data[#All],2,0)</f>
        <v>Mechanical</v>
      </c>
      <c r="C491" s="1" t="s">
        <v>1031</v>
      </c>
      <c r="D491" s="1" t="s">
        <v>1038</v>
      </c>
      <c r="E491" s="1">
        <v>4.1900000000000004</v>
      </c>
    </row>
    <row r="492" spans="1:5" x14ac:dyDescent="0.2">
      <c r="A492" s="1" t="s">
        <v>501</v>
      </c>
      <c r="B492" s="1" t="str">
        <f>VLOOKUP(Table5[[#This Row],[Student_ID]],student_data[#All],2,0)</f>
        <v>Civil</v>
      </c>
      <c r="C492" s="1" t="s">
        <v>1031</v>
      </c>
      <c r="D492" s="1" t="s">
        <v>1038</v>
      </c>
      <c r="E492" s="1">
        <v>4.42</v>
      </c>
    </row>
    <row r="493" spans="1:5" x14ac:dyDescent="0.2">
      <c r="A493" s="1" t="s">
        <v>502</v>
      </c>
      <c r="B493" s="1" t="str">
        <f>VLOOKUP(Table5[[#This Row],[Student_ID]],student_data[#All],2,0)</f>
        <v>Electronics</v>
      </c>
      <c r="C493" s="1" t="s">
        <v>1033</v>
      </c>
      <c r="D493" s="1" t="s">
        <v>1034</v>
      </c>
      <c r="E493" s="1">
        <v>0</v>
      </c>
    </row>
    <row r="494" spans="1:5" x14ac:dyDescent="0.2">
      <c r="A494" s="1" t="s">
        <v>503</v>
      </c>
      <c r="B494" s="1" t="str">
        <f>VLOOKUP(Table5[[#This Row],[Student_ID]],student_data[#All],2,0)</f>
        <v>Computer Science</v>
      </c>
      <c r="C494" s="1" t="s">
        <v>1031</v>
      </c>
      <c r="D494" s="1" t="s">
        <v>1032</v>
      </c>
      <c r="E494" s="1">
        <v>5.4</v>
      </c>
    </row>
    <row r="495" spans="1:5" x14ac:dyDescent="0.2">
      <c r="A495" s="1" t="s">
        <v>504</v>
      </c>
      <c r="B495" s="1" t="str">
        <f>VLOOKUP(Table5[[#This Row],[Student_ID]],student_data[#All],2,0)</f>
        <v>Information Technology</v>
      </c>
      <c r="C495" s="1" t="s">
        <v>1031</v>
      </c>
      <c r="D495" s="1" t="s">
        <v>1039</v>
      </c>
      <c r="E495" s="1">
        <v>4.1100000000000003</v>
      </c>
    </row>
    <row r="496" spans="1:5" x14ac:dyDescent="0.2">
      <c r="A496" s="1" t="s">
        <v>505</v>
      </c>
      <c r="B496" s="1" t="str">
        <f>VLOOKUP(Table5[[#This Row],[Student_ID]],student_data[#All],2,0)</f>
        <v>Civil</v>
      </c>
      <c r="C496" s="1" t="s">
        <v>1031</v>
      </c>
      <c r="D496" s="1" t="s">
        <v>1038</v>
      </c>
      <c r="E496" s="1">
        <v>4.67</v>
      </c>
    </row>
    <row r="497" spans="1:5" x14ac:dyDescent="0.2">
      <c r="A497" s="1" t="s">
        <v>506</v>
      </c>
      <c r="B497" s="1" t="str">
        <f>VLOOKUP(Table5[[#This Row],[Student_ID]],student_data[#All],2,0)</f>
        <v>Computer Science</v>
      </c>
      <c r="C497" s="1" t="s">
        <v>1031</v>
      </c>
      <c r="D497" s="1" t="s">
        <v>1038</v>
      </c>
      <c r="E497" s="1">
        <v>3.89</v>
      </c>
    </row>
    <row r="498" spans="1:5" x14ac:dyDescent="0.2">
      <c r="A498" s="1" t="s">
        <v>507</v>
      </c>
      <c r="B498" s="1" t="str">
        <f>VLOOKUP(Table5[[#This Row],[Student_ID]],student_data[#All],2,0)</f>
        <v>Information Technology</v>
      </c>
      <c r="C498" s="1" t="s">
        <v>1031</v>
      </c>
      <c r="D498" s="1" t="s">
        <v>1038</v>
      </c>
      <c r="E498" s="1">
        <v>5.33</v>
      </c>
    </row>
    <row r="499" spans="1:5" x14ac:dyDescent="0.2">
      <c r="A499" s="1" t="s">
        <v>508</v>
      </c>
      <c r="B499" s="1" t="str">
        <f>VLOOKUP(Table5[[#This Row],[Student_ID]],student_data[#All],2,0)</f>
        <v>Computer Science</v>
      </c>
      <c r="C499" s="1" t="s">
        <v>1031</v>
      </c>
      <c r="D499" s="1" t="s">
        <v>1038</v>
      </c>
      <c r="E499" s="1">
        <v>4.68</v>
      </c>
    </row>
    <row r="500" spans="1:5" x14ac:dyDescent="0.2">
      <c r="A500" s="1" t="s">
        <v>509</v>
      </c>
      <c r="B500" s="1" t="str">
        <f>VLOOKUP(Table5[[#This Row],[Student_ID]],student_data[#All],2,0)</f>
        <v>Mechanical</v>
      </c>
      <c r="C500" s="1" t="s">
        <v>1031</v>
      </c>
      <c r="D500" s="1" t="s">
        <v>1039</v>
      </c>
      <c r="E500" s="1">
        <v>5.49</v>
      </c>
    </row>
    <row r="501" spans="1:5" x14ac:dyDescent="0.2">
      <c r="A501" s="1" t="s">
        <v>510</v>
      </c>
      <c r="B501" s="1" t="str">
        <f>VLOOKUP(Table5[[#This Row],[Student_ID]],student_data[#All],2,0)</f>
        <v>Computer Science</v>
      </c>
      <c r="C501" s="1" t="s">
        <v>1031</v>
      </c>
      <c r="D501" s="1" t="s">
        <v>1038</v>
      </c>
      <c r="E501" s="1">
        <v>4.4000000000000004</v>
      </c>
    </row>
    <row r="502" spans="1:5" x14ac:dyDescent="0.2">
      <c r="A502" s="1" t="s">
        <v>511</v>
      </c>
      <c r="B502" s="1" t="str">
        <f>VLOOKUP(Table5[[#This Row],[Student_ID]],student_data[#All],2,0)</f>
        <v>Computer Science</v>
      </c>
      <c r="C502" s="1" t="s">
        <v>1031</v>
      </c>
      <c r="D502" s="1" t="s">
        <v>1035</v>
      </c>
      <c r="E502" s="1">
        <v>4.12</v>
      </c>
    </row>
    <row r="503" spans="1:5" x14ac:dyDescent="0.2">
      <c r="A503" s="1" t="s">
        <v>512</v>
      </c>
      <c r="B503" s="1" t="str">
        <f>VLOOKUP(Table5[[#This Row],[Student_ID]],student_data[#All],2,0)</f>
        <v>Computer Science</v>
      </c>
      <c r="C503" s="1" t="s">
        <v>1031</v>
      </c>
      <c r="D503" s="1" t="s">
        <v>1032</v>
      </c>
      <c r="E503" s="1">
        <v>5.19</v>
      </c>
    </row>
    <row r="504" spans="1:5" x14ac:dyDescent="0.2">
      <c r="A504" s="1" t="s">
        <v>513</v>
      </c>
      <c r="B504" s="1" t="str">
        <f>VLOOKUP(Table5[[#This Row],[Student_ID]],student_data[#All],2,0)</f>
        <v>Civil</v>
      </c>
      <c r="C504" s="1" t="s">
        <v>1031</v>
      </c>
      <c r="D504" s="1" t="s">
        <v>1038</v>
      </c>
      <c r="E504" s="1">
        <v>4.32</v>
      </c>
    </row>
    <row r="505" spans="1:5" x14ac:dyDescent="0.2">
      <c r="A505" s="1" t="s">
        <v>514</v>
      </c>
      <c r="B505" s="1" t="str">
        <f>VLOOKUP(Table5[[#This Row],[Student_ID]],student_data[#All],2,0)</f>
        <v>Computer Science</v>
      </c>
      <c r="C505" s="1" t="s">
        <v>1031</v>
      </c>
      <c r="D505" s="1" t="s">
        <v>1035</v>
      </c>
      <c r="E505" s="1">
        <v>6.03</v>
      </c>
    </row>
    <row r="506" spans="1:5" x14ac:dyDescent="0.2">
      <c r="A506" s="1" t="s">
        <v>515</v>
      </c>
      <c r="B506" s="1" t="str">
        <f>VLOOKUP(Table5[[#This Row],[Student_ID]],student_data[#All],2,0)</f>
        <v>Information Technology</v>
      </c>
      <c r="C506" s="1" t="s">
        <v>1031</v>
      </c>
      <c r="D506" s="1" t="s">
        <v>1040</v>
      </c>
      <c r="E506" s="1">
        <v>4.8899999999999997</v>
      </c>
    </row>
    <row r="507" spans="1:5" x14ac:dyDescent="0.2">
      <c r="A507" s="1" t="s">
        <v>516</v>
      </c>
      <c r="B507" s="1" t="str">
        <f>VLOOKUP(Table5[[#This Row],[Student_ID]],student_data[#All],2,0)</f>
        <v>Mechanical</v>
      </c>
      <c r="C507" s="1" t="s">
        <v>1031</v>
      </c>
      <c r="D507" s="1" t="s">
        <v>1038</v>
      </c>
      <c r="E507" s="1">
        <v>3.92</v>
      </c>
    </row>
    <row r="508" spans="1:5" x14ac:dyDescent="0.2">
      <c r="A508" s="1" t="s">
        <v>517</v>
      </c>
      <c r="B508" s="1" t="str">
        <f>VLOOKUP(Table5[[#This Row],[Student_ID]],student_data[#All],2,0)</f>
        <v>Mechanical</v>
      </c>
      <c r="C508" s="1" t="s">
        <v>1031</v>
      </c>
      <c r="D508" s="1" t="s">
        <v>1035</v>
      </c>
      <c r="E508" s="1">
        <v>4.3600000000000003</v>
      </c>
    </row>
    <row r="509" spans="1:5" x14ac:dyDescent="0.2">
      <c r="A509" s="1" t="s">
        <v>518</v>
      </c>
      <c r="B509" s="1" t="str">
        <f>VLOOKUP(Table5[[#This Row],[Student_ID]],student_data[#All],2,0)</f>
        <v>Computer Science</v>
      </c>
      <c r="C509" s="1" t="s">
        <v>1031</v>
      </c>
      <c r="D509" s="1" t="s">
        <v>1032</v>
      </c>
      <c r="E509" s="1">
        <v>6.33</v>
      </c>
    </row>
    <row r="510" spans="1:5" x14ac:dyDescent="0.2">
      <c r="A510" s="1" t="s">
        <v>519</v>
      </c>
      <c r="B510" s="1" t="str">
        <f>VLOOKUP(Table5[[#This Row],[Student_ID]],student_data[#All],2,0)</f>
        <v>Civil</v>
      </c>
      <c r="C510" s="1" t="s">
        <v>1031</v>
      </c>
      <c r="D510" s="1" t="s">
        <v>1035</v>
      </c>
      <c r="E510" s="1">
        <v>4.1900000000000004</v>
      </c>
    </row>
    <row r="511" spans="1:5" x14ac:dyDescent="0.2">
      <c r="A511" s="1" t="s">
        <v>520</v>
      </c>
      <c r="B511" s="1" t="str">
        <f>VLOOKUP(Table5[[#This Row],[Student_ID]],student_data[#All],2,0)</f>
        <v>Civil</v>
      </c>
      <c r="C511" s="1" t="s">
        <v>1033</v>
      </c>
      <c r="D511" s="1" t="s">
        <v>1034</v>
      </c>
      <c r="E511" s="1">
        <v>0</v>
      </c>
    </row>
    <row r="512" spans="1:5" x14ac:dyDescent="0.2">
      <c r="A512" s="1" t="s">
        <v>521</v>
      </c>
      <c r="B512" s="1" t="str">
        <f>VLOOKUP(Table5[[#This Row],[Student_ID]],student_data[#All],2,0)</f>
        <v>Information Technology</v>
      </c>
      <c r="C512" s="1" t="s">
        <v>1031</v>
      </c>
      <c r="D512" s="1" t="s">
        <v>1040</v>
      </c>
      <c r="E512" s="1">
        <v>4.1100000000000003</v>
      </c>
    </row>
    <row r="513" spans="1:5" x14ac:dyDescent="0.2">
      <c r="A513" s="1" t="s">
        <v>522</v>
      </c>
      <c r="B513" s="1" t="str">
        <f>VLOOKUP(Table5[[#This Row],[Student_ID]],student_data[#All],2,0)</f>
        <v>Computer Science</v>
      </c>
      <c r="C513" s="1" t="s">
        <v>1031</v>
      </c>
      <c r="D513" s="1" t="s">
        <v>1035</v>
      </c>
      <c r="E513" s="1">
        <v>6.84</v>
      </c>
    </row>
    <row r="514" spans="1:5" x14ac:dyDescent="0.2">
      <c r="A514" s="1" t="s">
        <v>523</v>
      </c>
      <c r="B514" s="1" t="str">
        <f>VLOOKUP(Table5[[#This Row],[Student_ID]],student_data[#All],2,0)</f>
        <v>Mechanical</v>
      </c>
      <c r="C514" s="1" t="s">
        <v>1033</v>
      </c>
      <c r="D514" s="1" t="s">
        <v>1034</v>
      </c>
      <c r="E514" s="1">
        <v>0</v>
      </c>
    </row>
    <row r="515" spans="1:5" x14ac:dyDescent="0.2">
      <c r="A515" s="1" t="s">
        <v>524</v>
      </c>
      <c r="B515" s="1" t="str">
        <f>VLOOKUP(Table5[[#This Row],[Student_ID]],student_data[#All],2,0)</f>
        <v>Civil</v>
      </c>
      <c r="C515" s="1" t="s">
        <v>1033</v>
      </c>
      <c r="D515" s="1" t="s">
        <v>1034</v>
      </c>
      <c r="E515" s="1">
        <v>0</v>
      </c>
    </row>
    <row r="516" spans="1:5" x14ac:dyDescent="0.2">
      <c r="A516" s="1" t="s">
        <v>525</v>
      </c>
      <c r="B516" s="1" t="str">
        <f>VLOOKUP(Table5[[#This Row],[Student_ID]],student_data[#All],2,0)</f>
        <v>Computer Science</v>
      </c>
      <c r="C516" s="1" t="s">
        <v>1031</v>
      </c>
      <c r="D516" s="1" t="s">
        <v>1040</v>
      </c>
      <c r="E516" s="1">
        <v>6.59</v>
      </c>
    </row>
    <row r="517" spans="1:5" x14ac:dyDescent="0.2">
      <c r="A517" s="1" t="s">
        <v>526</v>
      </c>
      <c r="B517" s="1" t="str">
        <f>VLOOKUP(Table5[[#This Row],[Student_ID]],student_data[#All],2,0)</f>
        <v>Civil</v>
      </c>
      <c r="C517" s="1" t="s">
        <v>1031</v>
      </c>
      <c r="D517" s="1" t="s">
        <v>1038</v>
      </c>
      <c r="E517" s="1">
        <v>4.34</v>
      </c>
    </row>
    <row r="518" spans="1:5" x14ac:dyDescent="0.2">
      <c r="A518" s="1" t="s">
        <v>527</v>
      </c>
      <c r="B518" s="1" t="str">
        <f>VLOOKUP(Table5[[#This Row],[Student_ID]],student_data[#All],2,0)</f>
        <v>Civil</v>
      </c>
      <c r="C518" s="1" t="s">
        <v>1031</v>
      </c>
      <c r="D518" s="1" t="s">
        <v>1035</v>
      </c>
      <c r="E518" s="1">
        <v>4.5</v>
      </c>
    </row>
    <row r="519" spans="1:5" x14ac:dyDescent="0.2">
      <c r="A519" s="1" t="s">
        <v>528</v>
      </c>
      <c r="B519" s="1" t="str">
        <f>VLOOKUP(Table5[[#This Row],[Student_ID]],student_data[#All],2,0)</f>
        <v>Mechanical</v>
      </c>
      <c r="C519" s="1" t="s">
        <v>1031</v>
      </c>
      <c r="D519" s="1" t="s">
        <v>1038</v>
      </c>
      <c r="E519" s="1">
        <v>6.06</v>
      </c>
    </row>
    <row r="520" spans="1:5" x14ac:dyDescent="0.2">
      <c r="A520" s="1" t="s">
        <v>529</v>
      </c>
      <c r="B520" s="1" t="str">
        <f>VLOOKUP(Table5[[#This Row],[Student_ID]],student_data[#All],2,0)</f>
        <v>Electronics</v>
      </c>
      <c r="C520" s="1" t="s">
        <v>1031</v>
      </c>
      <c r="D520" s="1" t="s">
        <v>1035</v>
      </c>
      <c r="E520" s="1">
        <v>4.12</v>
      </c>
    </row>
    <row r="521" spans="1:5" x14ac:dyDescent="0.2">
      <c r="A521" s="1" t="s">
        <v>530</v>
      </c>
      <c r="B521" s="1" t="str">
        <f>VLOOKUP(Table5[[#This Row],[Student_ID]],student_data[#All],2,0)</f>
        <v>Information Technology</v>
      </c>
      <c r="C521" s="1" t="s">
        <v>1031</v>
      </c>
      <c r="D521" s="1" t="s">
        <v>1038</v>
      </c>
      <c r="E521" s="1">
        <v>4.5599999999999996</v>
      </c>
    </row>
    <row r="522" spans="1:5" x14ac:dyDescent="0.2">
      <c r="A522" s="1" t="s">
        <v>531</v>
      </c>
      <c r="B522" s="1" t="str">
        <f>VLOOKUP(Table5[[#This Row],[Student_ID]],student_data[#All],2,0)</f>
        <v>Information Technology</v>
      </c>
      <c r="C522" s="1" t="s">
        <v>1033</v>
      </c>
      <c r="D522" s="1" t="s">
        <v>1034</v>
      </c>
      <c r="E522" s="1">
        <v>0</v>
      </c>
    </row>
    <row r="523" spans="1:5" x14ac:dyDescent="0.2">
      <c r="A523" s="1" t="s">
        <v>532</v>
      </c>
      <c r="B523" s="1" t="str">
        <f>VLOOKUP(Table5[[#This Row],[Student_ID]],student_data[#All],2,0)</f>
        <v>Mechanical</v>
      </c>
      <c r="C523" s="1" t="s">
        <v>1033</v>
      </c>
      <c r="D523" s="1" t="s">
        <v>1034</v>
      </c>
      <c r="E523" s="1">
        <v>0</v>
      </c>
    </row>
    <row r="524" spans="1:5" x14ac:dyDescent="0.2">
      <c r="A524" s="1" t="s">
        <v>533</v>
      </c>
      <c r="B524" s="1" t="str">
        <f>VLOOKUP(Table5[[#This Row],[Student_ID]],student_data[#All],2,0)</f>
        <v>Civil</v>
      </c>
      <c r="C524" s="1" t="s">
        <v>1031</v>
      </c>
      <c r="D524" s="1" t="s">
        <v>1036</v>
      </c>
      <c r="E524" s="1">
        <v>13.75</v>
      </c>
    </row>
    <row r="525" spans="1:5" x14ac:dyDescent="0.2">
      <c r="A525" s="1" t="s">
        <v>534</v>
      </c>
      <c r="B525" s="1" t="str">
        <f>VLOOKUP(Table5[[#This Row],[Student_ID]],student_data[#All],2,0)</f>
        <v>Computer Science</v>
      </c>
      <c r="C525" s="1" t="s">
        <v>1031</v>
      </c>
      <c r="D525" s="1" t="s">
        <v>1035</v>
      </c>
      <c r="E525" s="1">
        <v>4.1100000000000003</v>
      </c>
    </row>
    <row r="526" spans="1:5" x14ac:dyDescent="0.2">
      <c r="A526" s="1" t="s">
        <v>535</v>
      </c>
      <c r="B526" s="1" t="str">
        <f>VLOOKUP(Table5[[#This Row],[Student_ID]],student_data[#All],2,0)</f>
        <v>Civil</v>
      </c>
      <c r="C526" s="1" t="s">
        <v>1031</v>
      </c>
      <c r="D526" s="1" t="s">
        <v>1035</v>
      </c>
      <c r="E526" s="1">
        <v>5.13</v>
      </c>
    </row>
    <row r="527" spans="1:5" x14ac:dyDescent="0.2">
      <c r="A527" s="1" t="s">
        <v>536</v>
      </c>
      <c r="B527" s="1" t="str">
        <f>VLOOKUP(Table5[[#This Row],[Student_ID]],student_data[#All],2,0)</f>
        <v>Mechanical</v>
      </c>
      <c r="C527" s="1" t="s">
        <v>1031</v>
      </c>
      <c r="D527" s="1" t="s">
        <v>1032</v>
      </c>
      <c r="E527" s="1">
        <v>3.98</v>
      </c>
    </row>
    <row r="528" spans="1:5" x14ac:dyDescent="0.2">
      <c r="A528" s="1" t="s">
        <v>537</v>
      </c>
      <c r="B528" s="1" t="str">
        <f>VLOOKUP(Table5[[#This Row],[Student_ID]],student_data[#All],2,0)</f>
        <v>Information Technology</v>
      </c>
      <c r="C528" s="1" t="s">
        <v>1031</v>
      </c>
      <c r="D528" s="1" t="s">
        <v>1035</v>
      </c>
      <c r="E528" s="1">
        <v>4.41</v>
      </c>
    </row>
    <row r="529" spans="1:5" x14ac:dyDescent="0.2">
      <c r="A529" s="1" t="s">
        <v>538</v>
      </c>
      <c r="B529" s="1" t="str">
        <f>VLOOKUP(Table5[[#This Row],[Student_ID]],student_data[#All],2,0)</f>
        <v>Civil</v>
      </c>
      <c r="C529" s="1" t="s">
        <v>1031</v>
      </c>
      <c r="D529" s="1" t="s">
        <v>1038</v>
      </c>
      <c r="E529" s="1">
        <v>3.56</v>
      </c>
    </row>
    <row r="530" spans="1:5" x14ac:dyDescent="0.2">
      <c r="A530" s="1" t="s">
        <v>539</v>
      </c>
      <c r="B530" s="1" t="str">
        <f>VLOOKUP(Table5[[#This Row],[Student_ID]],student_data[#All],2,0)</f>
        <v>Information Technology</v>
      </c>
      <c r="C530" s="1" t="s">
        <v>1031</v>
      </c>
      <c r="D530" s="1" t="s">
        <v>1038</v>
      </c>
      <c r="E530" s="1">
        <v>5.13</v>
      </c>
    </row>
    <row r="531" spans="1:5" x14ac:dyDescent="0.2">
      <c r="A531" s="1" t="s">
        <v>540</v>
      </c>
      <c r="B531" s="1" t="str">
        <f>VLOOKUP(Table5[[#This Row],[Student_ID]],student_data[#All],2,0)</f>
        <v>Computer Science</v>
      </c>
      <c r="C531" s="1" t="s">
        <v>1031</v>
      </c>
      <c r="D531" s="1" t="s">
        <v>1035</v>
      </c>
      <c r="E531" s="1">
        <v>5.03</v>
      </c>
    </row>
    <row r="532" spans="1:5" x14ac:dyDescent="0.2">
      <c r="A532" s="1" t="s">
        <v>541</v>
      </c>
      <c r="B532" s="1" t="str">
        <f>VLOOKUP(Table5[[#This Row],[Student_ID]],student_data[#All],2,0)</f>
        <v>Information Technology</v>
      </c>
      <c r="C532" s="1" t="s">
        <v>1031</v>
      </c>
      <c r="D532" s="1" t="s">
        <v>1032</v>
      </c>
      <c r="E532" s="1">
        <v>5.12</v>
      </c>
    </row>
    <row r="533" spans="1:5" x14ac:dyDescent="0.2">
      <c r="A533" s="1" t="s">
        <v>542</v>
      </c>
      <c r="B533" s="1" t="str">
        <f>VLOOKUP(Table5[[#This Row],[Student_ID]],student_data[#All],2,0)</f>
        <v>Information Technology</v>
      </c>
      <c r="C533" s="1" t="s">
        <v>1031</v>
      </c>
      <c r="D533" s="1" t="s">
        <v>1032</v>
      </c>
      <c r="E533" s="1">
        <v>4.4000000000000004</v>
      </c>
    </row>
    <row r="534" spans="1:5" x14ac:dyDescent="0.2">
      <c r="A534" s="1" t="s">
        <v>543</v>
      </c>
      <c r="B534" s="1" t="str">
        <f>VLOOKUP(Table5[[#This Row],[Student_ID]],student_data[#All],2,0)</f>
        <v>Electronics</v>
      </c>
      <c r="C534" s="1" t="s">
        <v>1033</v>
      </c>
      <c r="D534" s="1" t="s">
        <v>1034</v>
      </c>
      <c r="E534" s="1">
        <v>0</v>
      </c>
    </row>
    <row r="535" spans="1:5" x14ac:dyDescent="0.2">
      <c r="A535" s="1" t="s">
        <v>544</v>
      </c>
      <c r="B535" s="1" t="str">
        <f>VLOOKUP(Table5[[#This Row],[Student_ID]],student_data[#All],2,0)</f>
        <v>Electronics</v>
      </c>
      <c r="C535" s="1" t="s">
        <v>1033</v>
      </c>
      <c r="D535" s="1" t="s">
        <v>1034</v>
      </c>
      <c r="E535" s="1">
        <v>0</v>
      </c>
    </row>
    <row r="536" spans="1:5" x14ac:dyDescent="0.2">
      <c r="A536" s="1" t="s">
        <v>545</v>
      </c>
      <c r="B536" s="1" t="str">
        <f>VLOOKUP(Table5[[#This Row],[Student_ID]],student_data[#All],2,0)</f>
        <v>Electronics</v>
      </c>
      <c r="C536" s="1" t="s">
        <v>1031</v>
      </c>
      <c r="D536" s="1" t="s">
        <v>1038</v>
      </c>
      <c r="E536" s="1">
        <v>3.95</v>
      </c>
    </row>
    <row r="537" spans="1:5" x14ac:dyDescent="0.2">
      <c r="A537" s="1" t="s">
        <v>546</v>
      </c>
      <c r="B537" s="1" t="str">
        <f>VLOOKUP(Table5[[#This Row],[Student_ID]],student_data[#All],2,0)</f>
        <v>Information Technology</v>
      </c>
      <c r="C537" s="1" t="s">
        <v>1031</v>
      </c>
      <c r="D537" s="1" t="s">
        <v>1038</v>
      </c>
      <c r="E537" s="1">
        <v>5.65</v>
      </c>
    </row>
    <row r="538" spans="1:5" x14ac:dyDescent="0.2">
      <c r="A538" s="1" t="s">
        <v>547</v>
      </c>
      <c r="B538" s="1" t="str">
        <f>VLOOKUP(Table5[[#This Row],[Student_ID]],student_data[#All],2,0)</f>
        <v>Mechanical</v>
      </c>
      <c r="C538" s="1" t="s">
        <v>1031</v>
      </c>
      <c r="D538" s="1" t="s">
        <v>1040</v>
      </c>
      <c r="E538" s="1">
        <v>4.4000000000000004</v>
      </c>
    </row>
    <row r="539" spans="1:5" x14ac:dyDescent="0.2">
      <c r="A539" s="1" t="s">
        <v>548</v>
      </c>
      <c r="B539" s="1" t="str">
        <f>VLOOKUP(Table5[[#This Row],[Student_ID]],student_data[#All],2,0)</f>
        <v>Information Technology</v>
      </c>
      <c r="C539" s="1" t="s">
        <v>1033</v>
      </c>
      <c r="D539" s="1" t="s">
        <v>1034</v>
      </c>
      <c r="E539" s="1">
        <v>0</v>
      </c>
    </row>
    <row r="540" spans="1:5" x14ac:dyDescent="0.2">
      <c r="A540" s="1" t="s">
        <v>549</v>
      </c>
      <c r="B540" s="1" t="str">
        <f>VLOOKUP(Table5[[#This Row],[Student_ID]],student_data[#All],2,0)</f>
        <v>Mechanical</v>
      </c>
      <c r="C540" s="1" t="s">
        <v>1033</v>
      </c>
      <c r="D540" s="1" t="s">
        <v>1034</v>
      </c>
      <c r="E540" s="1">
        <v>0</v>
      </c>
    </row>
    <row r="541" spans="1:5" x14ac:dyDescent="0.2">
      <c r="A541" s="1" t="s">
        <v>550</v>
      </c>
      <c r="B541" s="1" t="str">
        <f>VLOOKUP(Table5[[#This Row],[Student_ID]],student_data[#All],2,0)</f>
        <v>Mechanical</v>
      </c>
      <c r="C541" s="1" t="s">
        <v>1031</v>
      </c>
      <c r="D541" s="1" t="s">
        <v>1038</v>
      </c>
      <c r="E541" s="1">
        <v>4.5599999999999996</v>
      </c>
    </row>
    <row r="542" spans="1:5" x14ac:dyDescent="0.2">
      <c r="A542" s="1" t="s">
        <v>551</v>
      </c>
      <c r="B542" s="1" t="str">
        <f>VLOOKUP(Table5[[#This Row],[Student_ID]],student_data[#All],2,0)</f>
        <v>Electronics</v>
      </c>
      <c r="C542" s="1" t="s">
        <v>1033</v>
      </c>
      <c r="D542" s="1" t="s">
        <v>1034</v>
      </c>
      <c r="E542" s="1">
        <v>0</v>
      </c>
    </row>
    <row r="543" spans="1:5" x14ac:dyDescent="0.2">
      <c r="A543" s="1" t="s">
        <v>552</v>
      </c>
      <c r="B543" s="1" t="str">
        <f>VLOOKUP(Table5[[#This Row],[Student_ID]],student_data[#All],2,0)</f>
        <v>Civil</v>
      </c>
      <c r="C543" s="1" t="s">
        <v>1031</v>
      </c>
      <c r="D543" s="1" t="s">
        <v>1038</v>
      </c>
      <c r="E543" s="1">
        <v>4.33</v>
      </c>
    </row>
    <row r="544" spans="1:5" x14ac:dyDescent="0.2">
      <c r="A544" s="1" t="s">
        <v>553</v>
      </c>
      <c r="B544" s="1" t="str">
        <f>VLOOKUP(Table5[[#This Row],[Student_ID]],student_data[#All],2,0)</f>
        <v>Computer Science</v>
      </c>
      <c r="C544" s="1" t="s">
        <v>1031</v>
      </c>
      <c r="D544" s="1" t="s">
        <v>1035</v>
      </c>
      <c r="E544" s="1">
        <v>4.67</v>
      </c>
    </row>
    <row r="545" spans="1:5" x14ac:dyDescent="0.2">
      <c r="A545" s="1" t="s">
        <v>554</v>
      </c>
      <c r="B545" s="1" t="str">
        <f>VLOOKUP(Table5[[#This Row],[Student_ID]],student_data[#All],2,0)</f>
        <v>Electronics</v>
      </c>
      <c r="C545" s="1" t="s">
        <v>1031</v>
      </c>
      <c r="D545" s="1" t="s">
        <v>1038</v>
      </c>
      <c r="E545" s="1">
        <v>4.3499999999999996</v>
      </c>
    </row>
    <row r="546" spans="1:5" x14ac:dyDescent="0.2">
      <c r="A546" s="1" t="s">
        <v>555</v>
      </c>
      <c r="B546" s="1" t="str">
        <f>VLOOKUP(Table5[[#This Row],[Student_ID]],student_data[#All],2,0)</f>
        <v>Electronics</v>
      </c>
      <c r="C546" s="1" t="s">
        <v>1031</v>
      </c>
      <c r="D546" s="1" t="s">
        <v>1036</v>
      </c>
      <c r="E546" s="1">
        <v>9.34</v>
      </c>
    </row>
    <row r="547" spans="1:5" x14ac:dyDescent="0.2">
      <c r="A547" s="1" t="s">
        <v>556</v>
      </c>
      <c r="B547" s="1" t="str">
        <f>VLOOKUP(Table5[[#This Row],[Student_ID]],student_data[#All],2,0)</f>
        <v>Civil</v>
      </c>
      <c r="C547" s="1" t="s">
        <v>1031</v>
      </c>
      <c r="D547" s="1" t="s">
        <v>1038</v>
      </c>
      <c r="E547" s="1">
        <v>4.5999999999999996</v>
      </c>
    </row>
    <row r="548" spans="1:5" x14ac:dyDescent="0.2">
      <c r="A548" s="1" t="s">
        <v>557</v>
      </c>
      <c r="B548" s="1" t="str">
        <f>VLOOKUP(Table5[[#This Row],[Student_ID]],student_data[#All],2,0)</f>
        <v>Computer Science</v>
      </c>
      <c r="C548" s="1" t="s">
        <v>1031</v>
      </c>
      <c r="D548" s="1" t="s">
        <v>1039</v>
      </c>
      <c r="E548" s="1">
        <v>4.12</v>
      </c>
    </row>
    <row r="549" spans="1:5" x14ac:dyDescent="0.2">
      <c r="A549" s="1" t="s">
        <v>558</v>
      </c>
      <c r="B549" s="1" t="str">
        <f>VLOOKUP(Table5[[#This Row],[Student_ID]],student_data[#All],2,0)</f>
        <v>Information Technology</v>
      </c>
      <c r="C549" s="1" t="s">
        <v>1031</v>
      </c>
      <c r="D549" s="1" t="s">
        <v>1032</v>
      </c>
      <c r="E549" s="1">
        <v>5.13</v>
      </c>
    </row>
    <row r="550" spans="1:5" x14ac:dyDescent="0.2">
      <c r="A550" s="1" t="s">
        <v>559</v>
      </c>
      <c r="B550" s="1" t="str">
        <f>VLOOKUP(Table5[[#This Row],[Student_ID]],student_data[#All],2,0)</f>
        <v>Information Technology</v>
      </c>
      <c r="C550" s="1" t="s">
        <v>1031</v>
      </c>
      <c r="D550" s="1" t="s">
        <v>1036</v>
      </c>
      <c r="E550" s="1">
        <v>9.25</v>
      </c>
    </row>
    <row r="551" spans="1:5" x14ac:dyDescent="0.2">
      <c r="A551" s="1" t="s">
        <v>560</v>
      </c>
      <c r="B551" s="1" t="str">
        <f>VLOOKUP(Table5[[#This Row],[Student_ID]],student_data[#All],2,0)</f>
        <v>Electronics</v>
      </c>
      <c r="C551" s="1" t="s">
        <v>1033</v>
      </c>
      <c r="D551" s="1" t="s">
        <v>1034</v>
      </c>
      <c r="E551" s="1">
        <v>0</v>
      </c>
    </row>
    <row r="552" spans="1:5" x14ac:dyDescent="0.2">
      <c r="A552" s="1" t="s">
        <v>561</v>
      </c>
      <c r="B552" s="1" t="str">
        <f>VLOOKUP(Table5[[#This Row],[Student_ID]],student_data[#All],2,0)</f>
        <v>Computer Science</v>
      </c>
      <c r="C552" s="1" t="s">
        <v>1031</v>
      </c>
      <c r="D552" s="1" t="s">
        <v>1038</v>
      </c>
      <c r="E552" s="1">
        <v>3.87</v>
      </c>
    </row>
    <row r="553" spans="1:5" x14ac:dyDescent="0.2">
      <c r="A553" s="1" t="s">
        <v>562</v>
      </c>
      <c r="B553" s="1" t="str">
        <f>VLOOKUP(Table5[[#This Row],[Student_ID]],student_data[#All],2,0)</f>
        <v>Electronics</v>
      </c>
      <c r="C553" s="1" t="s">
        <v>1031</v>
      </c>
      <c r="D553" s="1" t="s">
        <v>1038</v>
      </c>
      <c r="E553" s="1">
        <v>4.2</v>
      </c>
    </row>
    <row r="554" spans="1:5" x14ac:dyDescent="0.2">
      <c r="A554" s="1" t="s">
        <v>563</v>
      </c>
      <c r="B554" s="1" t="str">
        <f>VLOOKUP(Table5[[#This Row],[Student_ID]],student_data[#All],2,0)</f>
        <v>Mechanical</v>
      </c>
      <c r="C554" s="1" t="s">
        <v>1031</v>
      </c>
      <c r="D554" s="1" t="s">
        <v>1032</v>
      </c>
      <c r="E554" s="1">
        <v>4.68</v>
      </c>
    </row>
    <row r="555" spans="1:5" x14ac:dyDescent="0.2">
      <c r="A555" s="1" t="s">
        <v>564</v>
      </c>
      <c r="B555" s="1" t="str">
        <f>VLOOKUP(Table5[[#This Row],[Student_ID]],student_data[#All],2,0)</f>
        <v>Electronics</v>
      </c>
      <c r="C555" s="1" t="s">
        <v>1033</v>
      </c>
      <c r="D555" s="1" t="s">
        <v>1034</v>
      </c>
      <c r="E555" s="1">
        <v>0</v>
      </c>
    </row>
    <row r="556" spans="1:5" x14ac:dyDescent="0.2">
      <c r="A556" s="1" t="s">
        <v>565</v>
      </c>
      <c r="B556" s="1" t="str">
        <f>VLOOKUP(Table5[[#This Row],[Student_ID]],student_data[#All],2,0)</f>
        <v>Electronics</v>
      </c>
      <c r="C556" s="1" t="s">
        <v>1031</v>
      </c>
      <c r="D556" s="1" t="s">
        <v>1038</v>
      </c>
      <c r="E556" s="1">
        <v>5.14</v>
      </c>
    </row>
    <row r="557" spans="1:5" x14ac:dyDescent="0.2">
      <c r="A557" s="1" t="s">
        <v>566</v>
      </c>
      <c r="B557" s="1" t="str">
        <f>VLOOKUP(Table5[[#This Row],[Student_ID]],student_data[#All],2,0)</f>
        <v>Information Technology</v>
      </c>
      <c r="C557" s="1" t="s">
        <v>1033</v>
      </c>
      <c r="D557" s="1" t="s">
        <v>1034</v>
      </c>
      <c r="E557" s="1">
        <v>0</v>
      </c>
    </row>
    <row r="558" spans="1:5" x14ac:dyDescent="0.2">
      <c r="A558" s="1" t="s">
        <v>567</v>
      </c>
      <c r="B558" s="1" t="str">
        <f>VLOOKUP(Table5[[#This Row],[Student_ID]],student_data[#All],2,0)</f>
        <v>Information Technology</v>
      </c>
      <c r="C558" s="1" t="s">
        <v>1033</v>
      </c>
      <c r="D558" s="1" t="s">
        <v>1034</v>
      </c>
      <c r="E558" s="1">
        <v>0</v>
      </c>
    </row>
    <row r="559" spans="1:5" x14ac:dyDescent="0.2">
      <c r="A559" s="1" t="s">
        <v>568</v>
      </c>
      <c r="B559" s="1" t="str">
        <f>VLOOKUP(Table5[[#This Row],[Student_ID]],student_data[#All],2,0)</f>
        <v>Information Technology</v>
      </c>
      <c r="C559" s="1" t="s">
        <v>1031</v>
      </c>
      <c r="D559" s="1" t="s">
        <v>1039</v>
      </c>
      <c r="E559" s="1">
        <v>4.1900000000000004</v>
      </c>
    </row>
    <row r="560" spans="1:5" x14ac:dyDescent="0.2">
      <c r="A560" s="1" t="s">
        <v>569</v>
      </c>
      <c r="B560" s="1" t="str">
        <f>VLOOKUP(Table5[[#This Row],[Student_ID]],student_data[#All],2,0)</f>
        <v>Mechanical</v>
      </c>
      <c r="C560" s="1" t="s">
        <v>1031</v>
      </c>
      <c r="D560" s="1" t="s">
        <v>1038</v>
      </c>
      <c r="E560" s="1">
        <v>3.99</v>
      </c>
    </row>
    <row r="561" spans="1:5" x14ac:dyDescent="0.2">
      <c r="A561" s="1" t="s">
        <v>570</v>
      </c>
      <c r="B561" s="1" t="str">
        <f>VLOOKUP(Table5[[#This Row],[Student_ID]],student_data[#All],2,0)</f>
        <v>Information Technology</v>
      </c>
      <c r="C561" s="1" t="s">
        <v>1031</v>
      </c>
      <c r="D561" s="1" t="s">
        <v>1032</v>
      </c>
      <c r="E561" s="1">
        <v>5.15</v>
      </c>
    </row>
    <row r="562" spans="1:5" x14ac:dyDescent="0.2">
      <c r="A562" s="1" t="s">
        <v>571</v>
      </c>
      <c r="B562" s="1" t="str">
        <f>VLOOKUP(Table5[[#This Row],[Student_ID]],student_data[#All],2,0)</f>
        <v>Computer Science</v>
      </c>
      <c r="C562" s="1" t="s">
        <v>1031</v>
      </c>
      <c r="D562" s="1" t="s">
        <v>1032</v>
      </c>
      <c r="E562" s="1">
        <v>3.92</v>
      </c>
    </row>
    <row r="563" spans="1:5" x14ac:dyDescent="0.2">
      <c r="A563" s="1" t="s">
        <v>572</v>
      </c>
      <c r="B563" s="1" t="str">
        <f>VLOOKUP(Table5[[#This Row],[Student_ID]],student_data[#All],2,0)</f>
        <v>Civil</v>
      </c>
      <c r="C563" s="1" t="s">
        <v>1031</v>
      </c>
      <c r="D563" s="1" t="s">
        <v>1032</v>
      </c>
      <c r="E563" s="1">
        <v>4.24</v>
      </c>
    </row>
    <row r="564" spans="1:5" x14ac:dyDescent="0.2">
      <c r="A564" s="1" t="s">
        <v>573</v>
      </c>
      <c r="B564" s="1" t="str">
        <f>VLOOKUP(Table5[[#This Row],[Student_ID]],student_data[#All],2,0)</f>
        <v>Computer Science</v>
      </c>
      <c r="C564" s="1" t="s">
        <v>1031</v>
      </c>
      <c r="D564" s="1" t="s">
        <v>1035</v>
      </c>
      <c r="E564" s="1">
        <v>5.19</v>
      </c>
    </row>
    <row r="565" spans="1:5" x14ac:dyDescent="0.2">
      <c r="A565" s="1" t="s">
        <v>574</v>
      </c>
      <c r="B565" s="1" t="str">
        <f>VLOOKUP(Table5[[#This Row],[Student_ID]],student_data[#All],2,0)</f>
        <v>Computer Science</v>
      </c>
      <c r="C565" s="1" t="s">
        <v>1033</v>
      </c>
      <c r="D565" s="1" t="s">
        <v>1034</v>
      </c>
      <c r="E565" s="1">
        <v>0</v>
      </c>
    </row>
    <row r="566" spans="1:5" x14ac:dyDescent="0.2">
      <c r="A566" s="1" t="s">
        <v>575</v>
      </c>
      <c r="B566" s="1" t="str">
        <f>VLOOKUP(Table5[[#This Row],[Student_ID]],student_data[#All],2,0)</f>
        <v>Information Technology</v>
      </c>
      <c r="C566" s="1" t="s">
        <v>1031</v>
      </c>
      <c r="D566" s="1" t="s">
        <v>1035</v>
      </c>
      <c r="E566" s="1">
        <v>4.5599999999999996</v>
      </c>
    </row>
    <row r="567" spans="1:5" x14ac:dyDescent="0.2">
      <c r="A567" s="1" t="s">
        <v>576</v>
      </c>
      <c r="B567" s="1" t="str">
        <f>VLOOKUP(Table5[[#This Row],[Student_ID]],student_data[#All],2,0)</f>
        <v>Civil</v>
      </c>
      <c r="C567" s="1" t="s">
        <v>1031</v>
      </c>
      <c r="D567" s="1" t="s">
        <v>1036</v>
      </c>
      <c r="E567" s="1">
        <v>8.4</v>
      </c>
    </row>
    <row r="568" spans="1:5" x14ac:dyDescent="0.2">
      <c r="A568" s="1" t="s">
        <v>577</v>
      </c>
      <c r="B568" s="1" t="str">
        <f>VLOOKUP(Table5[[#This Row],[Student_ID]],student_data[#All],2,0)</f>
        <v>Civil</v>
      </c>
      <c r="C568" s="1" t="s">
        <v>1033</v>
      </c>
      <c r="D568" s="1" t="s">
        <v>1034</v>
      </c>
      <c r="E568" s="1">
        <v>0</v>
      </c>
    </row>
    <row r="569" spans="1:5" x14ac:dyDescent="0.2">
      <c r="A569" s="1" t="s">
        <v>578</v>
      </c>
      <c r="B569" s="1" t="str">
        <f>VLOOKUP(Table5[[#This Row],[Student_ID]],student_data[#All],2,0)</f>
        <v>Civil</v>
      </c>
      <c r="C569" s="1" t="s">
        <v>1031</v>
      </c>
      <c r="D569" s="1" t="s">
        <v>1038</v>
      </c>
      <c r="E569" s="1">
        <v>4.8600000000000003</v>
      </c>
    </row>
    <row r="570" spans="1:5" x14ac:dyDescent="0.2">
      <c r="A570" s="1" t="s">
        <v>579</v>
      </c>
      <c r="B570" s="1" t="str">
        <f>VLOOKUP(Table5[[#This Row],[Student_ID]],student_data[#All],2,0)</f>
        <v>Mechanical</v>
      </c>
      <c r="C570" s="1" t="s">
        <v>1031</v>
      </c>
      <c r="D570" s="1" t="s">
        <v>1032</v>
      </c>
      <c r="E570" s="1">
        <v>6.84</v>
      </c>
    </row>
    <row r="571" spans="1:5" x14ac:dyDescent="0.2">
      <c r="A571" s="1" t="s">
        <v>580</v>
      </c>
      <c r="B571" s="1" t="str">
        <f>VLOOKUP(Table5[[#This Row],[Student_ID]],student_data[#All],2,0)</f>
        <v>Information Technology</v>
      </c>
      <c r="C571" s="1" t="s">
        <v>1031</v>
      </c>
      <c r="D571" s="1" t="s">
        <v>1038</v>
      </c>
      <c r="E571" s="1">
        <v>5.78</v>
      </c>
    </row>
    <row r="572" spans="1:5" x14ac:dyDescent="0.2">
      <c r="A572" s="1" t="s">
        <v>581</v>
      </c>
      <c r="B572" s="1" t="str">
        <f>VLOOKUP(Table5[[#This Row],[Student_ID]],student_data[#All],2,0)</f>
        <v>Civil</v>
      </c>
      <c r="C572" s="1" t="s">
        <v>1031</v>
      </c>
      <c r="D572" s="1" t="s">
        <v>1038</v>
      </c>
      <c r="E572" s="1">
        <v>5.03</v>
      </c>
    </row>
    <row r="573" spans="1:5" x14ac:dyDescent="0.2">
      <c r="A573" s="1" t="s">
        <v>582</v>
      </c>
      <c r="B573" s="1" t="str">
        <f>VLOOKUP(Table5[[#This Row],[Student_ID]],student_data[#All],2,0)</f>
        <v>Mechanical</v>
      </c>
      <c r="C573" s="1" t="s">
        <v>1031</v>
      </c>
      <c r="D573" s="1" t="s">
        <v>1040</v>
      </c>
      <c r="E573" s="1">
        <v>4.1900000000000004</v>
      </c>
    </row>
    <row r="574" spans="1:5" x14ac:dyDescent="0.2">
      <c r="A574" s="1" t="s">
        <v>583</v>
      </c>
      <c r="B574" s="1" t="str">
        <f>VLOOKUP(Table5[[#This Row],[Student_ID]],student_data[#All],2,0)</f>
        <v>Electronics</v>
      </c>
      <c r="C574" s="1" t="s">
        <v>1031</v>
      </c>
      <c r="D574" s="1" t="s">
        <v>1038</v>
      </c>
      <c r="E574" s="1">
        <v>4.5599999999999996</v>
      </c>
    </row>
    <row r="575" spans="1:5" x14ac:dyDescent="0.2">
      <c r="A575" s="1" t="s">
        <v>584</v>
      </c>
      <c r="B575" s="1" t="str">
        <f>VLOOKUP(Table5[[#This Row],[Student_ID]],student_data[#All],2,0)</f>
        <v>Electronics</v>
      </c>
      <c r="C575" s="1" t="s">
        <v>1031</v>
      </c>
      <c r="D575" s="1" t="s">
        <v>1039</v>
      </c>
      <c r="E575" s="1">
        <v>3.89</v>
      </c>
    </row>
    <row r="576" spans="1:5" x14ac:dyDescent="0.2">
      <c r="A576" s="1" t="s">
        <v>585</v>
      </c>
      <c r="B576" s="1" t="str">
        <f>VLOOKUP(Table5[[#This Row],[Student_ID]],student_data[#All],2,0)</f>
        <v>Mechanical</v>
      </c>
      <c r="C576" s="1" t="s">
        <v>1033</v>
      </c>
      <c r="D576" s="1" t="s">
        <v>1034</v>
      </c>
      <c r="E576" s="1">
        <v>0</v>
      </c>
    </row>
    <row r="577" spans="1:5" x14ac:dyDescent="0.2">
      <c r="A577" s="1" t="s">
        <v>586</v>
      </c>
      <c r="B577" s="1" t="str">
        <f>VLOOKUP(Table5[[#This Row],[Student_ID]],student_data[#All],2,0)</f>
        <v>Mechanical</v>
      </c>
      <c r="C577" s="1" t="s">
        <v>1033</v>
      </c>
      <c r="D577" s="1" t="s">
        <v>1034</v>
      </c>
      <c r="E577" s="1">
        <v>0</v>
      </c>
    </row>
    <row r="578" spans="1:5" x14ac:dyDescent="0.2">
      <c r="A578" s="1" t="s">
        <v>587</v>
      </c>
      <c r="B578" s="1" t="str">
        <f>VLOOKUP(Table5[[#This Row],[Student_ID]],student_data[#All],2,0)</f>
        <v>Information Technology</v>
      </c>
      <c r="C578" s="1" t="s">
        <v>1031</v>
      </c>
      <c r="D578" s="1" t="s">
        <v>1035</v>
      </c>
      <c r="E578" s="1">
        <v>4.2</v>
      </c>
    </row>
    <row r="579" spans="1:5" x14ac:dyDescent="0.2">
      <c r="A579" s="1" t="s">
        <v>588</v>
      </c>
      <c r="B579" s="1" t="str">
        <f>VLOOKUP(Table5[[#This Row],[Student_ID]],student_data[#All],2,0)</f>
        <v>Information Technology</v>
      </c>
      <c r="C579" s="1" t="s">
        <v>1031</v>
      </c>
      <c r="D579" s="1" t="s">
        <v>1038</v>
      </c>
      <c r="E579" s="1">
        <v>5.49</v>
      </c>
    </row>
    <row r="580" spans="1:5" x14ac:dyDescent="0.2">
      <c r="A580" s="1" t="s">
        <v>589</v>
      </c>
      <c r="B580" s="1" t="str">
        <f>VLOOKUP(Table5[[#This Row],[Student_ID]],student_data[#All],2,0)</f>
        <v>Electronics</v>
      </c>
      <c r="C580" s="1" t="s">
        <v>1031</v>
      </c>
      <c r="D580" s="1" t="s">
        <v>1038</v>
      </c>
      <c r="E580" s="1">
        <v>4.4000000000000004</v>
      </c>
    </row>
    <row r="581" spans="1:5" x14ac:dyDescent="0.2">
      <c r="A581" s="1" t="s">
        <v>590</v>
      </c>
      <c r="B581" s="1" t="str">
        <f>VLOOKUP(Table5[[#This Row],[Student_ID]],student_data[#All],2,0)</f>
        <v>Civil</v>
      </c>
      <c r="C581" s="1" t="s">
        <v>1033</v>
      </c>
      <c r="D581" s="1" t="s">
        <v>1034</v>
      </c>
      <c r="E581" s="1">
        <v>0</v>
      </c>
    </row>
    <row r="582" spans="1:5" x14ac:dyDescent="0.2">
      <c r="A582" s="1" t="s">
        <v>591</v>
      </c>
      <c r="B582" s="1" t="str">
        <f>VLOOKUP(Table5[[#This Row],[Student_ID]],student_data[#All],2,0)</f>
        <v>Electronics</v>
      </c>
      <c r="C582" s="1" t="s">
        <v>1033</v>
      </c>
      <c r="D582" s="1" t="s">
        <v>1034</v>
      </c>
      <c r="E582" s="1">
        <v>0</v>
      </c>
    </row>
    <row r="583" spans="1:5" x14ac:dyDescent="0.2">
      <c r="A583" s="1" t="s">
        <v>592</v>
      </c>
      <c r="B583" s="1" t="str">
        <f>VLOOKUP(Table5[[#This Row],[Student_ID]],student_data[#All],2,0)</f>
        <v>Civil</v>
      </c>
      <c r="C583" s="1" t="s">
        <v>1031</v>
      </c>
      <c r="D583" s="1" t="s">
        <v>1038</v>
      </c>
      <c r="E583" s="1">
        <v>4.8600000000000003</v>
      </c>
    </row>
    <row r="584" spans="1:5" x14ac:dyDescent="0.2">
      <c r="A584" s="1" t="s">
        <v>593</v>
      </c>
      <c r="B584" s="1" t="str">
        <f>VLOOKUP(Table5[[#This Row],[Student_ID]],student_data[#All],2,0)</f>
        <v>Civil</v>
      </c>
      <c r="C584" s="1" t="s">
        <v>1031</v>
      </c>
      <c r="D584" s="1" t="s">
        <v>1032</v>
      </c>
      <c r="E584" s="1">
        <v>6.86</v>
      </c>
    </row>
    <row r="585" spans="1:5" x14ac:dyDescent="0.2">
      <c r="A585" s="1" t="s">
        <v>594</v>
      </c>
      <c r="B585" s="1" t="str">
        <f>VLOOKUP(Table5[[#This Row],[Student_ID]],student_data[#All],2,0)</f>
        <v>Information Technology</v>
      </c>
      <c r="C585" s="1" t="s">
        <v>1031</v>
      </c>
      <c r="D585" s="1" t="s">
        <v>1035</v>
      </c>
      <c r="E585" s="1">
        <v>5.13</v>
      </c>
    </row>
    <row r="586" spans="1:5" x14ac:dyDescent="0.2">
      <c r="A586" s="1" t="s">
        <v>595</v>
      </c>
      <c r="B586" s="1" t="str">
        <f>VLOOKUP(Table5[[#This Row],[Student_ID]],student_data[#All],2,0)</f>
        <v>Computer Science</v>
      </c>
      <c r="C586" s="1" t="s">
        <v>1031</v>
      </c>
      <c r="D586" s="1" t="s">
        <v>1038</v>
      </c>
      <c r="E586" s="1">
        <v>4.3499999999999996</v>
      </c>
    </row>
    <row r="587" spans="1:5" x14ac:dyDescent="0.2">
      <c r="A587" s="1" t="s">
        <v>596</v>
      </c>
      <c r="B587" s="1" t="str">
        <f>VLOOKUP(Table5[[#This Row],[Student_ID]],student_data[#All],2,0)</f>
        <v>Computer Science</v>
      </c>
      <c r="C587" s="1" t="s">
        <v>1031</v>
      </c>
      <c r="D587" s="1" t="s">
        <v>1038</v>
      </c>
      <c r="E587" s="1">
        <v>4.8600000000000003</v>
      </c>
    </row>
    <row r="588" spans="1:5" x14ac:dyDescent="0.2">
      <c r="A588" s="1" t="s">
        <v>597</v>
      </c>
      <c r="B588" s="1" t="str">
        <f>VLOOKUP(Table5[[#This Row],[Student_ID]],student_data[#All],2,0)</f>
        <v>Mechanical</v>
      </c>
      <c r="C588" s="1" t="s">
        <v>1031</v>
      </c>
      <c r="D588" s="1" t="s">
        <v>1035</v>
      </c>
      <c r="E588" s="1">
        <v>6.01</v>
      </c>
    </row>
    <row r="589" spans="1:5" x14ac:dyDescent="0.2">
      <c r="A589" s="1" t="s">
        <v>598</v>
      </c>
      <c r="B589" s="1" t="str">
        <f>VLOOKUP(Table5[[#This Row],[Student_ID]],student_data[#All],2,0)</f>
        <v>Information Technology</v>
      </c>
      <c r="C589" s="1" t="s">
        <v>1031</v>
      </c>
      <c r="D589" s="1" t="s">
        <v>1035</v>
      </c>
      <c r="E589" s="1">
        <v>4.5</v>
      </c>
    </row>
    <row r="590" spans="1:5" x14ac:dyDescent="0.2">
      <c r="A590" s="1" t="s">
        <v>599</v>
      </c>
      <c r="B590" s="1" t="str">
        <f>VLOOKUP(Table5[[#This Row],[Student_ID]],student_data[#All],2,0)</f>
        <v>Civil</v>
      </c>
      <c r="C590" s="1" t="s">
        <v>1031</v>
      </c>
      <c r="D590" s="1" t="s">
        <v>1039</v>
      </c>
      <c r="E590" s="1">
        <v>4.5999999999999996</v>
      </c>
    </row>
    <row r="591" spans="1:5" x14ac:dyDescent="0.2">
      <c r="A591" s="1" t="s">
        <v>600</v>
      </c>
      <c r="B591" s="1" t="str">
        <f>VLOOKUP(Table5[[#This Row],[Student_ID]],student_data[#All],2,0)</f>
        <v>Computer Science</v>
      </c>
      <c r="C591" s="1" t="s">
        <v>1031</v>
      </c>
      <c r="D591" s="1" t="s">
        <v>1032</v>
      </c>
      <c r="E591" s="1">
        <v>4.1100000000000003</v>
      </c>
    </row>
    <row r="592" spans="1:5" x14ac:dyDescent="0.2">
      <c r="A592" s="1" t="s">
        <v>601</v>
      </c>
      <c r="B592" s="1" t="str">
        <f>VLOOKUP(Table5[[#This Row],[Student_ID]],student_data[#All],2,0)</f>
        <v>Civil</v>
      </c>
      <c r="C592" s="1" t="s">
        <v>1031</v>
      </c>
      <c r="D592" s="1" t="s">
        <v>1032</v>
      </c>
      <c r="E592" s="1">
        <v>4.3</v>
      </c>
    </row>
    <row r="593" spans="1:5" x14ac:dyDescent="0.2">
      <c r="A593" s="1" t="s">
        <v>602</v>
      </c>
      <c r="B593" s="1" t="str">
        <f>VLOOKUP(Table5[[#This Row],[Student_ID]],student_data[#All],2,0)</f>
        <v>Computer Science</v>
      </c>
      <c r="C593" s="1" t="s">
        <v>1033</v>
      </c>
      <c r="D593" s="1" t="s">
        <v>1034</v>
      </c>
      <c r="E593" s="1">
        <v>0</v>
      </c>
    </row>
    <row r="594" spans="1:5" x14ac:dyDescent="0.2">
      <c r="A594" s="1" t="s">
        <v>603</v>
      </c>
      <c r="B594" s="1" t="str">
        <f>VLOOKUP(Table5[[#This Row],[Student_ID]],student_data[#All],2,0)</f>
        <v>Computer Science</v>
      </c>
      <c r="C594" s="1" t="s">
        <v>1031</v>
      </c>
      <c r="D594" s="1" t="s">
        <v>1039</v>
      </c>
      <c r="E594" s="1">
        <v>5.15</v>
      </c>
    </row>
    <row r="595" spans="1:5" x14ac:dyDescent="0.2">
      <c r="A595" s="1" t="s">
        <v>604</v>
      </c>
      <c r="B595" s="1" t="str">
        <f>VLOOKUP(Table5[[#This Row],[Student_ID]],student_data[#All],2,0)</f>
        <v>Computer Science</v>
      </c>
      <c r="C595" s="1" t="s">
        <v>1033</v>
      </c>
      <c r="D595" s="1" t="s">
        <v>1034</v>
      </c>
      <c r="E595" s="1">
        <v>0</v>
      </c>
    </row>
    <row r="596" spans="1:5" x14ac:dyDescent="0.2">
      <c r="A596" s="1" t="s">
        <v>605</v>
      </c>
      <c r="B596" s="1" t="str">
        <f>VLOOKUP(Table5[[#This Row],[Student_ID]],student_data[#All],2,0)</f>
        <v>Information Technology</v>
      </c>
      <c r="C596" s="1" t="s">
        <v>1031</v>
      </c>
      <c r="D596" s="1" t="s">
        <v>1038</v>
      </c>
      <c r="E596" s="1">
        <v>4.32</v>
      </c>
    </row>
    <row r="597" spans="1:5" x14ac:dyDescent="0.2">
      <c r="A597" s="1" t="s">
        <v>606</v>
      </c>
      <c r="B597" s="1" t="str">
        <f>VLOOKUP(Table5[[#This Row],[Student_ID]],student_data[#All],2,0)</f>
        <v>Electronics</v>
      </c>
      <c r="C597" s="1" t="s">
        <v>1031</v>
      </c>
      <c r="D597" s="1" t="s">
        <v>1038</v>
      </c>
      <c r="E597" s="1">
        <v>3.95</v>
      </c>
    </row>
    <row r="598" spans="1:5" x14ac:dyDescent="0.2">
      <c r="A598" s="1" t="s">
        <v>607</v>
      </c>
      <c r="B598" s="1" t="str">
        <f>VLOOKUP(Table5[[#This Row],[Student_ID]],student_data[#All],2,0)</f>
        <v>Civil</v>
      </c>
      <c r="C598" s="1" t="s">
        <v>1031</v>
      </c>
      <c r="D598" s="1" t="s">
        <v>1038</v>
      </c>
      <c r="E598" s="1">
        <v>5.33</v>
      </c>
    </row>
    <row r="599" spans="1:5" x14ac:dyDescent="0.2">
      <c r="A599" s="1" t="s">
        <v>608</v>
      </c>
      <c r="B599" s="1" t="str">
        <f>VLOOKUP(Table5[[#This Row],[Student_ID]],student_data[#All],2,0)</f>
        <v>Information Technology</v>
      </c>
      <c r="C599" s="1" t="s">
        <v>1031</v>
      </c>
      <c r="D599" s="1" t="s">
        <v>1038</v>
      </c>
      <c r="E599" s="1">
        <v>4.12</v>
      </c>
    </row>
    <row r="600" spans="1:5" x14ac:dyDescent="0.2">
      <c r="A600" s="1" t="s">
        <v>609</v>
      </c>
      <c r="B600" s="1" t="str">
        <f>VLOOKUP(Table5[[#This Row],[Student_ID]],student_data[#All],2,0)</f>
        <v>Information Technology</v>
      </c>
      <c r="C600" s="1" t="s">
        <v>1031</v>
      </c>
      <c r="D600" s="1" t="s">
        <v>1036</v>
      </c>
      <c r="E600" s="1">
        <v>13.25</v>
      </c>
    </row>
    <row r="601" spans="1:5" x14ac:dyDescent="0.2">
      <c r="A601" s="1" t="s">
        <v>610</v>
      </c>
      <c r="B601" s="1" t="str">
        <f>VLOOKUP(Table5[[#This Row],[Student_ID]],student_data[#All],2,0)</f>
        <v>Information Technology</v>
      </c>
      <c r="C601" s="1" t="s">
        <v>1031</v>
      </c>
      <c r="D601" s="1" t="s">
        <v>1038</v>
      </c>
      <c r="E601" s="1">
        <v>6.84</v>
      </c>
    </row>
    <row r="602" spans="1:5" x14ac:dyDescent="0.2">
      <c r="A602" s="1" t="s">
        <v>611</v>
      </c>
      <c r="B602" s="1" t="str">
        <f>VLOOKUP(Table5[[#This Row],[Student_ID]],student_data[#All],2,0)</f>
        <v>Information Technology</v>
      </c>
      <c r="C602" s="1" t="s">
        <v>1031</v>
      </c>
      <c r="D602" s="1" t="s">
        <v>1032</v>
      </c>
      <c r="E602" s="1">
        <v>3.95</v>
      </c>
    </row>
    <row r="603" spans="1:5" x14ac:dyDescent="0.2">
      <c r="A603" s="1" t="s">
        <v>612</v>
      </c>
      <c r="B603" s="1" t="str">
        <f>VLOOKUP(Table5[[#This Row],[Student_ID]],student_data[#All],2,0)</f>
        <v>Information Technology</v>
      </c>
      <c r="C603" s="1" t="s">
        <v>1033</v>
      </c>
      <c r="D603" s="1" t="s">
        <v>1034</v>
      </c>
      <c r="E603" s="1">
        <v>0</v>
      </c>
    </row>
    <row r="604" spans="1:5" x14ac:dyDescent="0.2">
      <c r="A604" s="1" t="s">
        <v>613</v>
      </c>
      <c r="B604" s="1" t="str">
        <f>VLOOKUP(Table5[[#This Row],[Student_ID]],student_data[#All],2,0)</f>
        <v>Mechanical</v>
      </c>
      <c r="C604" s="1" t="s">
        <v>1031</v>
      </c>
      <c r="D604" s="1" t="s">
        <v>1036</v>
      </c>
      <c r="E604" s="1">
        <v>13.62</v>
      </c>
    </row>
    <row r="605" spans="1:5" x14ac:dyDescent="0.2">
      <c r="A605" s="1" t="s">
        <v>614</v>
      </c>
      <c r="B605" s="1" t="str">
        <f>VLOOKUP(Table5[[#This Row],[Student_ID]],student_data[#All],2,0)</f>
        <v>Civil</v>
      </c>
      <c r="C605" s="1" t="s">
        <v>1031</v>
      </c>
      <c r="D605" s="1" t="s">
        <v>1032</v>
      </c>
      <c r="E605" s="1">
        <v>4.5599999999999996</v>
      </c>
    </row>
    <row r="606" spans="1:5" x14ac:dyDescent="0.2">
      <c r="A606" s="1" t="s">
        <v>615</v>
      </c>
      <c r="B606" s="1" t="str">
        <f>VLOOKUP(Table5[[#This Row],[Student_ID]],student_data[#All],2,0)</f>
        <v>Information Technology</v>
      </c>
      <c r="C606" s="1" t="s">
        <v>1033</v>
      </c>
      <c r="D606" s="1" t="s">
        <v>1034</v>
      </c>
      <c r="E606" s="1">
        <v>0</v>
      </c>
    </row>
    <row r="607" spans="1:5" x14ac:dyDescent="0.2">
      <c r="A607" s="1" t="s">
        <v>616</v>
      </c>
      <c r="B607" s="1" t="str">
        <f>VLOOKUP(Table5[[#This Row],[Student_ID]],student_data[#All],2,0)</f>
        <v>Civil</v>
      </c>
      <c r="C607" s="1" t="s">
        <v>1031</v>
      </c>
      <c r="D607" s="1" t="s">
        <v>1035</v>
      </c>
      <c r="E607" s="1">
        <v>5.13</v>
      </c>
    </row>
    <row r="608" spans="1:5" x14ac:dyDescent="0.2">
      <c r="A608" s="1" t="s">
        <v>617</v>
      </c>
      <c r="B608" s="1" t="str">
        <f>VLOOKUP(Table5[[#This Row],[Student_ID]],student_data[#All],2,0)</f>
        <v>Mechanical</v>
      </c>
      <c r="C608" s="1" t="s">
        <v>1033</v>
      </c>
      <c r="D608" s="1" t="s">
        <v>1034</v>
      </c>
      <c r="E608" s="1">
        <v>0</v>
      </c>
    </row>
    <row r="609" spans="1:5" x14ac:dyDescent="0.2">
      <c r="A609" s="1" t="s">
        <v>618</v>
      </c>
      <c r="B609" s="1" t="str">
        <f>VLOOKUP(Table5[[#This Row],[Student_ID]],student_data[#All],2,0)</f>
        <v>Mechanical</v>
      </c>
      <c r="C609" s="1" t="s">
        <v>1031</v>
      </c>
      <c r="D609" s="1" t="s">
        <v>1039</v>
      </c>
      <c r="E609" s="1">
        <v>5.03</v>
      </c>
    </row>
    <row r="610" spans="1:5" x14ac:dyDescent="0.2">
      <c r="A610" s="1" t="s">
        <v>619</v>
      </c>
      <c r="B610" s="1" t="str">
        <f>VLOOKUP(Table5[[#This Row],[Student_ID]],student_data[#All],2,0)</f>
        <v>Civil</v>
      </c>
      <c r="C610" s="1" t="s">
        <v>1031</v>
      </c>
      <c r="D610" s="1" t="s">
        <v>1039</v>
      </c>
      <c r="E610" s="1">
        <v>4.3</v>
      </c>
    </row>
    <row r="611" spans="1:5" x14ac:dyDescent="0.2">
      <c r="A611" s="1" t="s">
        <v>620</v>
      </c>
      <c r="B611" s="1" t="str">
        <f>VLOOKUP(Table5[[#This Row],[Student_ID]],student_data[#All],2,0)</f>
        <v>Computer Science</v>
      </c>
      <c r="C611" s="1" t="s">
        <v>1033</v>
      </c>
      <c r="D611" s="1" t="s">
        <v>1034</v>
      </c>
      <c r="E611" s="1">
        <v>0</v>
      </c>
    </row>
    <row r="612" spans="1:5" x14ac:dyDescent="0.2">
      <c r="A612" s="1" t="s">
        <v>621</v>
      </c>
      <c r="B612" s="1" t="str">
        <f>VLOOKUP(Table5[[#This Row],[Student_ID]],student_data[#All],2,0)</f>
        <v>Electronics</v>
      </c>
      <c r="C612" s="1" t="s">
        <v>1031</v>
      </c>
      <c r="D612" s="1" t="s">
        <v>1032</v>
      </c>
      <c r="E612" s="1">
        <v>5.65</v>
      </c>
    </row>
    <row r="613" spans="1:5" x14ac:dyDescent="0.2">
      <c r="A613" s="1" t="s">
        <v>622</v>
      </c>
      <c r="B613" s="1" t="str">
        <f>VLOOKUP(Table5[[#This Row],[Student_ID]],student_data[#All],2,0)</f>
        <v>Computer Science</v>
      </c>
      <c r="C613" s="1" t="s">
        <v>1031</v>
      </c>
      <c r="D613" s="1" t="s">
        <v>1038</v>
      </c>
      <c r="E613" s="1">
        <v>5.43</v>
      </c>
    </row>
    <row r="614" spans="1:5" x14ac:dyDescent="0.2">
      <c r="A614" s="1" t="s">
        <v>623</v>
      </c>
      <c r="B614" s="1" t="str">
        <f>VLOOKUP(Table5[[#This Row],[Student_ID]],student_data[#All],2,0)</f>
        <v>Computer Science</v>
      </c>
      <c r="C614" s="1" t="s">
        <v>1031</v>
      </c>
      <c r="D614" s="1" t="s">
        <v>1039</v>
      </c>
      <c r="E614" s="1">
        <v>4.5599999999999996</v>
      </c>
    </row>
    <row r="615" spans="1:5" x14ac:dyDescent="0.2">
      <c r="A615" s="1" t="s">
        <v>624</v>
      </c>
      <c r="B615" s="1" t="str">
        <f>VLOOKUP(Table5[[#This Row],[Student_ID]],student_data[#All],2,0)</f>
        <v>Computer Science</v>
      </c>
      <c r="C615" s="1" t="s">
        <v>1031</v>
      </c>
      <c r="D615" s="1" t="s">
        <v>1038</v>
      </c>
      <c r="E615" s="1">
        <v>4.3499999999999996</v>
      </c>
    </row>
    <row r="616" spans="1:5" x14ac:dyDescent="0.2">
      <c r="A616" s="1" t="s">
        <v>625</v>
      </c>
      <c r="B616" s="1" t="str">
        <f>VLOOKUP(Table5[[#This Row],[Student_ID]],student_data[#All],2,0)</f>
        <v>Information Technology</v>
      </c>
      <c r="C616" s="1" t="s">
        <v>1031</v>
      </c>
      <c r="D616" s="1" t="s">
        <v>1035</v>
      </c>
      <c r="E616" s="1">
        <v>4.59</v>
      </c>
    </row>
    <row r="617" spans="1:5" x14ac:dyDescent="0.2">
      <c r="A617" s="1" t="s">
        <v>626</v>
      </c>
      <c r="B617" s="1" t="str">
        <f>VLOOKUP(Table5[[#This Row],[Student_ID]],student_data[#All],2,0)</f>
        <v>Mechanical</v>
      </c>
      <c r="C617" s="1" t="s">
        <v>1031</v>
      </c>
      <c r="D617" s="1" t="s">
        <v>1039</v>
      </c>
      <c r="E617" s="1">
        <v>4.1900000000000004</v>
      </c>
    </row>
    <row r="618" spans="1:5" x14ac:dyDescent="0.2">
      <c r="A618" s="1" t="s">
        <v>627</v>
      </c>
      <c r="B618" s="1" t="str">
        <f>VLOOKUP(Table5[[#This Row],[Student_ID]],student_data[#All],2,0)</f>
        <v>Computer Science</v>
      </c>
      <c r="C618" s="1" t="s">
        <v>1033</v>
      </c>
      <c r="D618" s="1" t="s">
        <v>1034</v>
      </c>
      <c r="E618" s="1">
        <v>0</v>
      </c>
    </row>
    <row r="619" spans="1:5" x14ac:dyDescent="0.2">
      <c r="A619" s="1" t="s">
        <v>628</v>
      </c>
      <c r="B619" s="1" t="str">
        <f>VLOOKUP(Table5[[#This Row],[Student_ID]],student_data[#All],2,0)</f>
        <v>Mechanical</v>
      </c>
      <c r="C619" s="1" t="s">
        <v>1031</v>
      </c>
      <c r="D619" s="1" t="s">
        <v>1040</v>
      </c>
      <c r="E619" s="1">
        <v>5.2</v>
      </c>
    </row>
    <row r="620" spans="1:5" x14ac:dyDescent="0.2">
      <c r="A620" s="1" t="s">
        <v>629</v>
      </c>
      <c r="B620" s="1" t="str">
        <f>VLOOKUP(Table5[[#This Row],[Student_ID]],student_data[#All],2,0)</f>
        <v>Civil</v>
      </c>
      <c r="C620" s="1" t="s">
        <v>1033</v>
      </c>
      <c r="D620" s="1" t="s">
        <v>1034</v>
      </c>
      <c r="E620" s="1">
        <v>0</v>
      </c>
    </row>
    <row r="621" spans="1:5" x14ac:dyDescent="0.2">
      <c r="A621" s="1" t="s">
        <v>630</v>
      </c>
      <c r="B621" s="1" t="str">
        <f>VLOOKUP(Table5[[#This Row],[Student_ID]],student_data[#All],2,0)</f>
        <v>Electronics</v>
      </c>
      <c r="C621" s="1" t="s">
        <v>1031</v>
      </c>
      <c r="D621" s="1" t="s">
        <v>1038</v>
      </c>
      <c r="E621" s="1">
        <v>3.92</v>
      </c>
    </row>
    <row r="622" spans="1:5" x14ac:dyDescent="0.2">
      <c r="A622" s="1" t="s">
        <v>631</v>
      </c>
      <c r="B622" s="1" t="str">
        <f>VLOOKUP(Table5[[#This Row],[Student_ID]],student_data[#All],2,0)</f>
        <v>Civil</v>
      </c>
      <c r="C622" s="1" t="s">
        <v>1033</v>
      </c>
      <c r="D622" s="1" t="s">
        <v>1034</v>
      </c>
      <c r="E622" s="1">
        <v>0</v>
      </c>
    </row>
    <row r="623" spans="1:5" x14ac:dyDescent="0.2">
      <c r="A623" s="1" t="s">
        <v>632</v>
      </c>
      <c r="B623" s="1" t="str">
        <f>VLOOKUP(Table5[[#This Row],[Student_ID]],student_data[#All],2,0)</f>
        <v>Civil</v>
      </c>
      <c r="C623" s="1" t="s">
        <v>1031</v>
      </c>
      <c r="D623" s="1" t="s">
        <v>1038</v>
      </c>
      <c r="E623" s="1">
        <v>6.88</v>
      </c>
    </row>
    <row r="624" spans="1:5" x14ac:dyDescent="0.2">
      <c r="A624" s="1" t="s">
        <v>633</v>
      </c>
      <c r="B624" s="1" t="str">
        <f>VLOOKUP(Table5[[#This Row],[Student_ID]],student_data[#All],2,0)</f>
        <v>Information Technology</v>
      </c>
      <c r="C624" s="1" t="s">
        <v>1031</v>
      </c>
      <c r="D624" s="1" t="s">
        <v>1038</v>
      </c>
      <c r="E624" s="1">
        <v>3.92</v>
      </c>
    </row>
    <row r="625" spans="1:5" x14ac:dyDescent="0.2">
      <c r="A625" s="1" t="s">
        <v>634</v>
      </c>
      <c r="B625" s="1" t="str">
        <f>VLOOKUP(Table5[[#This Row],[Student_ID]],student_data[#All],2,0)</f>
        <v>Electronics</v>
      </c>
      <c r="C625" s="1" t="s">
        <v>1031</v>
      </c>
      <c r="D625" s="1" t="s">
        <v>1039</v>
      </c>
      <c r="E625" s="1">
        <v>4.5</v>
      </c>
    </row>
    <row r="626" spans="1:5" x14ac:dyDescent="0.2">
      <c r="A626" s="1" t="s">
        <v>635</v>
      </c>
      <c r="B626" s="1" t="str">
        <f>VLOOKUP(Table5[[#This Row],[Student_ID]],student_data[#All],2,0)</f>
        <v>Civil</v>
      </c>
      <c r="C626" s="1" t="s">
        <v>1033</v>
      </c>
      <c r="D626" s="1" t="s">
        <v>1034</v>
      </c>
      <c r="E626" s="1">
        <v>0</v>
      </c>
    </row>
    <row r="627" spans="1:5" x14ac:dyDescent="0.2">
      <c r="A627" s="1" t="s">
        <v>636</v>
      </c>
      <c r="B627" s="1" t="str">
        <f>VLOOKUP(Table5[[#This Row],[Student_ID]],student_data[#All],2,0)</f>
        <v>Civil</v>
      </c>
      <c r="C627" s="1" t="s">
        <v>1033</v>
      </c>
      <c r="D627" s="1" t="s">
        <v>1034</v>
      </c>
      <c r="E627" s="1">
        <v>0</v>
      </c>
    </row>
    <row r="628" spans="1:5" x14ac:dyDescent="0.2">
      <c r="A628" s="1" t="s">
        <v>637</v>
      </c>
      <c r="B628" s="1" t="str">
        <f>VLOOKUP(Table5[[#This Row],[Student_ID]],student_data[#All],2,0)</f>
        <v>Electronics</v>
      </c>
      <c r="C628" s="1" t="s">
        <v>1031</v>
      </c>
      <c r="D628" s="1" t="s">
        <v>1032</v>
      </c>
      <c r="E628" s="1">
        <v>4.5</v>
      </c>
    </row>
    <row r="629" spans="1:5" x14ac:dyDescent="0.2">
      <c r="A629" s="1" t="s">
        <v>638</v>
      </c>
      <c r="B629" s="1" t="str">
        <f>VLOOKUP(Table5[[#This Row],[Student_ID]],student_data[#All],2,0)</f>
        <v>Electronics</v>
      </c>
      <c r="C629" s="1" t="s">
        <v>1033</v>
      </c>
      <c r="D629" s="1" t="s">
        <v>1034</v>
      </c>
      <c r="E629" s="1">
        <v>0</v>
      </c>
    </row>
    <row r="630" spans="1:5" x14ac:dyDescent="0.2">
      <c r="A630" s="1" t="s">
        <v>639</v>
      </c>
      <c r="B630" s="1" t="str">
        <f>VLOOKUP(Table5[[#This Row],[Student_ID]],student_data[#All],2,0)</f>
        <v>Civil</v>
      </c>
      <c r="C630" s="1" t="s">
        <v>1031</v>
      </c>
      <c r="D630" s="1" t="s">
        <v>1032</v>
      </c>
      <c r="E630" s="1">
        <v>5.33</v>
      </c>
    </row>
    <row r="631" spans="1:5" x14ac:dyDescent="0.2">
      <c r="A631" s="1" t="s">
        <v>640</v>
      </c>
      <c r="B631" s="1" t="str">
        <f>VLOOKUP(Table5[[#This Row],[Student_ID]],student_data[#All],2,0)</f>
        <v>Electronics</v>
      </c>
      <c r="C631" s="1" t="s">
        <v>1031</v>
      </c>
      <c r="D631" s="1" t="s">
        <v>1032</v>
      </c>
      <c r="E631" s="1">
        <v>5.65</v>
      </c>
    </row>
    <row r="632" spans="1:5" x14ac:dyDescent="0.2">
      <c r="A632" s="1" t="s">
        <v>641</v>
      </c>
      <c r="B632" s="1" t="str">
        <f>VLOOKUP(Table5[[#This Row],[Student_ID]],student_data[#All],2,0)</f>
        <v>Civil</v>
      </c>
      <c r="C632" s="1" t="s">
        <v>1031</v>
      </c>
      <c r="D632" s="1" t="s">
        <v>1038</v>
      </c>
      <c r="E632" s="1">
        <v>5.03</v>
      </c>
    </row>
    <row r="633" spans="1:5" x14ac:dyDescent="0.2">
      <c r="A633" s="1" t="s">
        <v>642</v>
      </c>
      <c r="B633" s="1" t="str">
        <f>VLOOKUP(Table5[[#This Row],[Student_ID]],student_data[#All],2,0)</f>
        <v>Civil</v>
      </c>
      <c r="C633" s="1" t="s">
        <v>1033</v>
      </c>
      <c r="D633" s="1" t="s">
        <v>1034</v>
      </c>
      <c r="E633" s="1">
        <v>0</v>
      </c>
    </row>
    <row r="634" spans="1:5" x14ac:dyDescent="0.2">
      <c r="A634" s="1" t="s">
        <v>643</v>
      </c>
      <c r="B634" s="1" t="str">
        <f>VLOOKUP(Table5[[#This Row],[Student_ID]],student_data[#All],2,0)</f>
        <v>Information Technology</v>
      </c>
      <c r="C634" s="1" t="s">
        <v>1031</v>
      </c>
      <c r="D634" s="1" t="s">
        <v>1038</v>
      </c>
      <c r="E634" s="1">
        <v>4.3499999999999996</v>
      </c>
    </row>
    <row r="635" spans="1:5" x14ac:dyDescent="0.2">
      <c r="A635" s="1" t="s">
        <v>644</v>
      </c>
      <c r="B635" s="1" t="str">
        <f>VLOOKUP(Table5[[#This Row],[Student_ID]],student_data[#All],2,0)</f>
        <v>Computer Science</v>
      </c>
      <c r="C635" s="1" t="s">
        <v>1031</v>
      </c>
      <c r="D635" s="1" t="s">
        <v>1035</v>
      </c>
      <c r="E635" s="1">
        <v>4.1900000000000004</v>
      </c>
    </row>
    <row r="636" spans="1:5" x14ac:dyDescent="0.2">
      <c r="A636" s="1" t="s">
        <v>645</v>
      </c>
      <c r="B636" s="1" t="str">
        <f>VLOOKUP(Table5[[#This Row],[Student_ID]],student_data[#All],2,0)</f>
        <v>Civil</v>
      </c>
      <c r="C636" s="1" t="s">
        <v>1031</v>
      </c>
      <c r="D636" s="1" t="s">
        <v>1038</v>
      </c>
      <c r="E636" s="1">
        <v>4.5599999999999996</v>
      </c>
    </row>
    <row r="637" spans="1:5" x14ac:dyDescent="0.2">
      <c r="A637" s="1" t="s">
        <v>646</v>
      </c>
      <c r="B637" s="1" t="str">
        <f>VLOOKUP(Table5[[#This Row],[Student_ID]],student_data[#All],2,0)</f>
        <v>Mechanical</v>
      </c>
      <c r="C637" s="1" t="s">
        <v>1031</v>
      </c>
      <c r="D637" s="1" t="s">
        <v>1032</v>
      </c>
      <c r="E637" s="1">
        <v>5.13</v>
      </c>
    </row>
    <row r="638" spans="1:5" x14ac:dyDescent="0.2">
      <c r="A638" s="1" t="s">
        <v>647</v>
      </c>
      <c r="B638" s="1" t="str">
        <f>VLOOKUP(Table5[[#This Row],[Student_ID]],student_data[#All],2,0)</f>
        <v>Computer Science</v>
      </c>
      <c r="C638" s="1" t="s">
        <v>1031</v>
      </c>
      <c r="D638" s="1" t="s">
        <v>1038</v>
      </c>
      <c r="E638" s="1">
        <v>3.61</v>
      </c>
    </row>
    <row r="639" spans="1:5" x14ac:dyDescent="0.2">
      <c r="A639" s="1" t="s">
        <v>648</v>
      </c>
      <c r="B639" s="1" t="str">
        <f>VLOOKUP(Table5[[#This Row],[Student_ID]],student_data[#All],2,0)</f>
        <v>Computer Science</v>
      </c>
      <c r="C639" s="1" t="s">
        <v>1031</v>
      </c>
      <c r="D639" s="1" t="s">
        <v>1040</v>
      </c>
      <c r="E639" s="1">
        <v>4.1900000000000004</v>
      </c>
    </row>
    <row r="640" spans="1:5" x14ac:dyDescent="0.2">
      <c r="A640" s="1" t="s">
        <v>649</v>
      </c>
      <c r="B640" s="1" t="str">
        <f>VLOOKUP(Table5[[#This Row],[Student_ID]],student_data[#All],2,0)</f>
        <v>Computer Science</v>
      </c>
      <c r="C640" s="1" t="s">
        <v>1031</v>
      </c>
      <c r="D640" s="1" t="s">
        <v>1035</v>
      </c>
      <c r="E640" s="1">
        <v>5.19</v>
      </c>
    </row>
    <row r="641" spans="1:5" x14ac:dyDescent="0.2">
      <c r="A641" s="1" t="s">
        <v>650</v>
      </c>
      <c r="B641" s="1" t="str">
        <f>VLOOKUP(Table5[[#This Row],[Student_ID]],student_data[#All],2,0)</f>
        <v>Information Technology</v>
      </c>
      <c r="C641" s="1" t="s">
        <v>1033</v>
      </c>
      <c r="D641" s="1" t="s">
        <v>1034</v>
      </c>
      <c r="E641" s="1">
        <v>0</v>
      </c>
    </row>
    <row r="642" spans="1:5" x14ac:dyDescent="0.2">
      <c r="A642" s="1" t="s">
        <v>651</v>
      </c>
      <c r="B642" s="1" t="str">
        <f>VLOOKUP(Table5[[#This Row],[Student_ID]],student_data[#All],2,0)</f>
        <v>Civil</v>
      </c>
      <c r="C642" s="1" t="s">
        <v>1031</v>
      </c>
      <c r="D642" s="1" t="s">
        <v>1035</v>
      </c>
      <c r="E642" s="1">
        <v>4.5</v>
      </c>
    </row>
    <row r="643" spans="1:5" x14ac:dyDescent="0.2">
      <c r="A643" s="1" t="s">
        <v>652</v>
      </c>
      <c r="B643" s="1" t="str">
        <f>VLOOKUP(Table5[[#This Row],[Student_ID]],student_data[#All],2,0)</f>
        <v>Information Technology</v>
      </c>
      <c r="C643" s="1" t="s">
        <v>1031</v>
      </c>
      <c r="D643" s="1" t="s">
        <v>1038</v>
      </c>
      <c r="E643" s="1">
        <v>5.03</v>
      </c>
    </row>
    <row r="644" spans="1:5" x14ac:dyDescent="0.2">
      <c r="A644" s="1" t="s">
        <v>653</v>
      </c>
      <c r="B644" s="1" t="str">
        <f>VLOOKUP(Table5[[#This Row],[Student_ID]],student_data[#All],2,0)</f>
        <v>Civil</v>
      </c>
      <c r="C644" s="1" t="s">
        <v>1031</v>
      </c>
      <c r="D644" s="1" t="s">
        <v>1032</v>
      </c>
      <c r="E644" s="1">
        <v>4.5599999999999996</v>
      </c>
    </row>
    <row r="645" spans="1:5" x14ac:dyDescent="0.2">
      <c r="A645" s="1" t="s">
        <v>654</v>
      </c>
      <c r="B645" s="1" t="str">
        <f>VLOOKUP(Table5[[#This Row],[Student_ID]],student_data[#All],2,0)</f>
        <v>Information Technology</v>
      </c>
      <c r="C645" s="1" t="s">
        <v>1031</v>
      </c>
      <c r="D645" s="1" t="s">
        <v>1039</v>
      </c>
      <c r="E645" s="1">
        <v>4.3</v>
      </c>
    </row>
    <row r="646" spans="1:5" x14ac:dyDescent="0.2">
      <c r="A646" s="1" t="s">
        <v>655</v>
      </c>
      <c r="B646" s="1" t="str">
        <f>VLOOKUP(Table5[[#This Row],[Student_ID]],student_data[#All],2,0)</f>
        <v>Information Technology</v>
      </c>
      <c r="C646" s="1" t="s">
        <v>1033</v>
      </c>
      <c r="D646" s="1" t="s">
        <v>1034</v>
      </c>
      <c r="E646" s="1">
        <v>0</v>
      </c>
    </row>
    <row r="647" spans="1:5" x14ac:dyDescent="0.2">
      <c r="A647" s="1" t="s">
        <v>656</v>
      </c>
      <c r="B647" s="1" t="str">
        <f>VLOOKUP(Table5[[#This Row],[Student_ID]],student_data[#All],2,0)</f>
        <v>Mechanical</v>
      </c>
      <c r="C647" s="1" t="s">
        <v>1031</v>
      </c>
      <c r="D647" s="1" t="s">
        <v>1038</v>
      </c>
      <c r="E647" s="1">
        <v>4.1100000000000003</v>
      </c>
    </row>
    <row r="648" spans="1:5" x14ac:dyDescent="0.2">
      <c r="A648" s="1" t="s">
        <v>657</v>
      </c>
      <c r="B648" s="1" t="str">
        <f>VLOOKUP(Table5[[#This Row],[Student_ID]],student_data[#All],2,0)</f>
        <v>Information Technology</v>
      </c>
      <c r="C648" s="1" t="s">
        <v>1033</v>
      </c>
      <c r="D648" s="1" t="s">
        <v>1034</v>
      </c>
      <c r="E648" s="1">
        <v>0</v>
      </c>
    </row>
    <row r="649" spans="1:5" x14ac:dyDescent="0.2">
      <c r="A649" s="1" t="s">
        <v>658</v>
      </c>
      <c r="B649" s="1" t="str">
        <f>VLOOKUP(Table5[[#This Row],[Student_ID]],student_data[#All],2,0)</f>
        <v>Electronics</v>
      </c>
      <c r="C649" s="1" t="s">
        <v>1031</v>
      </c>
      <c r="D649" s="1" t="s">
        <v>1032</v>
      </c>
      <c r="E649" s="1">
        <v>5.88</v>
      </c>
    </row>
    <row r="650" spans="1:5" x14ac:dyDescent="0.2">
      <c r="A650" s="1" t="s">
        <v>659</v>
      </c>
      <c r="B650" s="1" t="str">
        <f>VLOOKUP(Table5[[#This Row],[Student_ID]],student_data[#All],2,0)</f>
        <v>Mechanical</v>
      </c>
      <c r="C650" s="1" t="s">
        <v>1033</v>
      </c>
      <c r="D650" s="1" t="s">
        <v>1034</v>
      </c>
      <c r="E650" s="1">
        <v>0</v>
      </c>
    </row>
    <row r="651" spans="1:5" x14ac:dyDescent="0.2">
      <c r="A651" s="1" t="s">
        <v>660</v>
      </c>
      <c r="B651" s="1" t="str">
        <f>VLOOKUP(Table5[[#This Row],[Student_ID]],student_data[#All],2,0)</f>
        <v>Information Technology</v>
      </c>
      <c r="C651" s="1" t="s">
        <v>1031</v>
      </c>
      <c r="D651" s="1" t="s">
        <v>1038</v>
      </c>
      <c r="E651" s="1">
        <v>4.33</v>
      </c>
    </row>
    <row r="652" spans="1:5" x14ac:dyDescent="0.2">
      <c r="A652" s="1" t="s">
        <v>661</v>
      </c>
      <c r="B652" s="1" t="str">
        <f>VLOOKUP(Table5[[#This Row],[Student_ID]],student_data[#All],2,0)</f>
        <v>Computer Science</v>
      </c>
      <c r="C652" s="1" t="s">
        <v>1031</v>
      </c>
      <c r="D652" s="1" t="s">
        <v>1032</v>
      </c>
      <c r="E652" s="1">
        <v>5.03</v>
      </c>
    </row>
    <row r="653" spans="1:5" x14ac:dyDescent="0.2">
      <c r="A653" s="1" t="s">
        <v>662</v>
      </c>
      <c r="B653" s="1" t="str">
        <f>VLOOKUP(Table5[[#This Row],[Student_ID]],student_data[#All],2,0)</f>
        <v>Electronics</v>
      </c>
      <c r="C653" s="1" t="s">
        <v>1031</v>
      </c>
      <c r="D653" s="1" t="s">
        <v>1038</v>
      </c>
      <c r="E653" s="1">
        <v>4.1900000000000004</v>
      </c>
    </row>
    <row r="654" spans="1:5" x14ac:dyDescent="0.2">
      <c r="A654" s="1" t="s">
        <v>663</v>
      </c>
      <c r="B654" s="1" t="str">
        <f>VLOOKUP(Table5[[#This Row],[Student_ID]],student_data[#All],2,0)</f>
        <v>Electronics</v>
      </c>
      <c r="C654" s="1" t="s">
        <v>1033</v>
      </c>
      <c r="D654" s="1" t="s">
        <v>1034</v>
      </c>
      <c r="E654" s="1">
        <v>0</v>
      </c>
    </row>
    <row r="655" spans="1:5" x14ac:dyDescent="0.2">
      <c r="A655" s="1" t="s">
        <v>664</v>
      </c>
      <c r="B655" s="1" t="str">
        <f>VLOOKUP(Table5[[#This Row],[Student_ID]],student_data[#All],2,0)</f>
        <v>Electronics</v>
      </c>
      <c r="C655" s="1" t="s">
        <v>1031</v>
      </c>
      <c r="D655" s="1" t="s">
        <v>1038</v>
      </c>
      <c r="E655" s="1">
        <v>5.43</v>
      </c>
    </row>
    <row r="656" spans="1:5" x14ac:dyDescent="0.2">
      <c r="A656" s="1" t="s">
        <v>665</v>
      </c>
      <c r="B656" s="1" t="str">
        <f>VLOOKUP(Table5[[#This Row],[Student_ID]],student_data[#All],2,0)</f>
        <v>Mechanical</v>
      </c>
      <c r="C656" s="1" t="s">
        <v>1031</v>
      </c>
      <c r="D656" s="1" t="s">
        <v>1035</v>
      </c>
      <c r="E656" s="1">
        <v>4.32</v>
      </c>
    </row>
    <row r="657" spans="1:5" x14ac:dyDescent="0.2">
      <c r="A657" s="1" t="s">
        <v>666</v>
      </c>
      <c r="B657" s="1" t="str">
        <f>VLOOKUP(Table5[[#This Row],[Student_ID]],student_data[#All],2,0)</f>
        <v>Information Technology</v>
      </c>
      <c r="C657" s="1" t="s">
        <v>1031</v>
      </c>
      <c r="D657" s="1" t="s">
        <v>1038</v>
      </c>
      <c r="E657" s="1">
        <v>4.1900000000000004</v>
      </c>
    </row>
    <row r="658" spans="1:5" x14ac:dyDescent="0.2">
      <c r="A658" s="1" t="s">
        <v>667</v>
      </c>
      <c r="B658" s="1" t="str">
        <f>VLOOKUP(Table5[[#This Row],[Student_ID]],student_data[#All],2,0)</f>
        <v>Information Technology</v>
      </c>
      <c r="C658" s="1" t="s">
        <v>1031</v>
      </c>
      <c r="D658" s="1" t="s">
        <v>1039</v>
      </c>
      <c r="E658" s="1">
        <v>4.3</v>
      </c>
    </row>
    <row r="659" spans="1:5" x14ac:dyDescent="0.2">
      <c r="A659" s="1" t="s">
        <v>668</v>
      </c>
      <c r="B659" s="1" t="str">
        <f>VLOOKUP(Table5[[#This Row],[Student_ID]],student_data[#All],2,0)</f>
        <v>Computer Science</v>
      </c>
      <c r="C659" s="1" t="s">
        <v>1033</v>
      </c>
      <c r="D659" s="1" t="s">
        <v>1034</v>
      </c>
      <c r="E659" s="1">
        <v>0</v>
      </c>
    </row>
    <row r="660" spans="1:5" x14ac:dyDescent="0.2">
      <c r="A660" s="1" t="s">
        <v>669</v>
      </c>
      <c r="B660" s="1" t="str">
        <f>VLOOKUP(Table5[[#This Row],[Student_ID]],student_data[#All],2,0)</f>
        <v>Computer Science</v>
      </c>
      <c r="C660" s="1" t="s">
        <v>1031</v>
      </c>
      <c r="D660" s="1" t="s">
        <v>1035</v>
      </c>
      <c r="E660" s="1">
        <v>5.19</v>
      </c>
    </row>
    <row r="661" spans="1:5" x14ac:dyDescent="0.2">
      <c r="A661" s="1" t="s">
        <v>670</v>
      </c>
      <c r="B661" s="1" t="str">
        <f>VLOOKUP(Table5[[#This Row],[Student_ID]],student_data[#All],2,0)</f>
        <v>Electronics</v>
      </c>
      <c r="C661" s="1" t="s">
        <v>1033</v>
      </c>
      <c r="D661" s="1" t="s">
        <v>1034</v>
      </c>
      <c r="E661" s="1">
        <v>0</v>
      </c>
    </row>
    <row r="662" spans="1:5" x14ac:dyDescent="0.2">
      <c r="A662" s="1" t="s">
        <v>671</v>
      </c>
      <c r="B662" s="1" t="str">
        <f>VLOOKUP(Table5[[#This Row],[Student_ID]],student_data[#All],2,0)</f>
        <v>Computer Science</v>
      </c>
      <c r="C662" s="1" t="s">
        <v>1031</v>
      </c>
      <c r="D662" s="1" t="s">
        <v>1039</v>
      </c>
      <c r="E662" s="1">
        <v>5.13</v>
      </c>
    </row>
    <row r="663" spans="1:5" x14ac:dyDescent="0.2">
      <c r="A663" s="1" t="s">
        <v>672</v>
      </c>
      <c r="B663" s="1" t="str">
        <f>VLOOKUP(Table5[[#This Row],[Student_ID]],student_data[#All],2,0)</f>
        <v>Mechanical</v>
      </c>
      <c r="C663" s="1" t="s">
        <v>1033</v>
      </c>
      <c r="D663" s="1" t="s">
        <v>1034</v>
      </c>
      <c r="E663" s="1">
        <v>0</v>
      </c>
    </row>
    <row r="664" spans="1:5" x14ac:dyDescent="0.2">
      <c r="A664" s="1" t="s">
        <v>673</v>
      </c>
      <c r="B664" s="1" t="str">
        <f>VLOOKUP(Table5[[#This Row],[Student_ID]],student_data[#All],2,0)</f>
        <v>Information Technology</v>
      </c>
      <c r="C664" s="1" t="s">
        <v>1031</v>
      </c>
      <c r="D664" s="1" t="s">
        <v>1038</v>
      </c>
      <c r="E664" s="1">
        <v>4.5</v>
      </c>
    </row>
    <row r="665" spans="1:5" x14ac:dyDescent="0.2">
      <c r="A665" s="1" t="s">
        <v>674</v>
      </c>
      <c r="B665" s="1" t="str">
        <f>VLOOKUP(Table5[[#This Row],[Student_ID]],student_data[#All],2,0)</f>
        <v>Electronics</v>
      </c>
      <c r="C665" s="1" t="s">
        <v>1031</v>
      </c>
      <c r="D665" s="1" t="s">
        <v>1038</v>
      </c>
      <c r="E665" s="1">
        <v>4.32</v>
      </c>
    </row>
    <row r="666" spans="1:5" x14ac:dyDescent="0.2">
      <c r="A666" s="1" t="s">
        <v>675</v>
      </c>
      <c r="B666" s="1" t="str">
        <f>VLOOKUP(Table5[[#This Row],[Student_ID]],student_data[#All],2,0)</f>
        <v>Computer Science</v>
      </c>
      <c r="C666" s="1" t="s">
        <v>1033</v>
      </c>
      <c r="D666" s="1" t="s">
        <v>1034</v>
      </c>
      <c r="E666" s="1">
        <v>0</v>
      </c>
    </row>
    <row r="667" spans="1:5" x14ac:dyDescent="0.2">
      <c r="A667" s="1" t="s">
        <v>676</v>
      </c>
      <c r="B667" s="1" t="str">
        <f>VLOOKUP(Table5[[#This Row],[Student_ID]],student_data[#All],2,0)</f>
        <v>Mechanical</v>
      </c>
      <c r="C667" s="1" t="s">
        <v>1031</v>
      </c>
      <c r="D667" s="1" t="s">
        <v>1039</v>
      </c>
      <c r="E667" s="1">
        <v>4.5599999999999996</v>
      </c>
    </row>
    <row r="668" spans="1:5" x14ac:dyDescent="0.2">
      <c r="A668" s="1" t="s">
        <v>677</v>
      </c>
      <c r="B668" s="1" t="str">
        <f>VLOOKUP(Table5[[#This Row],[Student_ID]],student_data[#All],2,0)</f>
        <v>Mechanical</v>
      </c>
      <c r="C668" s="1" t="s">
        <v>1033</v>
      </c>
      <c r="D668" s="1" t="s">
        <v>1034</v>
      </c>
      <c r="E668" s="1">
        <v>0</v>
      </c>
    </row>
    <row r="669" spans="1:5" x14ac:dyDescent="0.2">
      <c r="A669" s="1" t="s">
        <v>678</v>
      </c>
      <c r="B669" s="1" t="str">
        <f>VLOOKUP(Table5[[#This Row],[Student_ID]],student_data[#All],2,0)</f>
        <v>Computer Science</v>
      </c>
      <c r="C669" s="1" t="s">
        <v>1031</v>
      </c>
      <c r="D669" s="1" t="s">
        <v>1032</v>
      </c>
      <c r="E669" s="1">
        <v>5.13</v>
      </c>
    </row>
    <row r="670" spans="1:5" x14ac:dyDescent="0.2">
      <c r="A670" s="1" t="s">
        <v>679</v>
      </c>
      <c r="B670" s="1" t="str">
        <f>VLOOKUP(Table5[[#This Row],[Student_ID]],student_data[#All],2,0)</f>
        <v>Information Technology</v>
      </c>
      <c r="C670" s="1" t="s">
        <v>1031</v>
      </c>
      <c r="D670" s="1" t="s">
        <v>1035</v>
      </c>
      <c r="E670" s="1">
        <v>4.5</v>
      </c>
    </row>
    <row r="671" spans="1:5" x14ac:dyDescent="0.2">
      <c r="A671" s="1" t="s">
        <v>680</v>
      </c>
      <c r="B671" s="1" t="str">
        <f>VLOOKUP(Table5[[#This Row],[Student_ID]],student_data[#All],2,0)</f>
        <v>Computer Science</v>
      </c>
      <c r="C671" s="1" t="s">
        <v>1033</v>
      </c>
      <c r="D671" s="1" t="s">
        <v>1034</v>
      </c>
      <c r="E671" s="1">
        <v>0</v>
      </c>
    </row>
    <row r="672" spans="1:5" x14ac:dyDescent="0.2">
      <c r="A672" s="1" t="s">
        <v>681</v>
      </c>
      <c r="B672" s="1" t="str">
        <f>VLOOKUP(Table5[[#This Row],[Student_ID]],student_data[#All],2,0)</f>
        <v>Electronics</v>
      </c>
      <c r="C672" s="1" t="s">
        <v>1033</v>
      </c>
      <c r="D672" s="1" t="s">
        <v>1034</v>
      </c>
      <c r="E672" s="1">
        <v>0</v>
      </c>
    </row>
    <row r="673" spans="1:5" x14ac:dyDescent="0.2">
      <c r="A673" s="1" t="s">
        <v>682</v>
      </c>
      <c r="B673" s="1" t="str">
        <f>VLOOKUP(Table5[[#This Row],[Student_ID]],student_data[#All],2,0)</f>
        <v>Computer Science</v>
      </c>
      <c r="C673" s="1" t="s">
        <v>1031</v>
      </c>
      <c r="D673" s="1" t="s">
        <v>1032</v>
      </c>
      <c r="E673" s="1">
        <v>5.43</v>
      </c>
    </row>
    <row r="674" spans="1:5" x14ac:dyDescent="0.2">
      <c r="A674" s="1" t="s">
        <v>683</v>
      </c>
      <c r="B674" s="1" t="str">
        <f>VLOOKUP(Table5[[#This Row],[Student_ID]],student_data[#All],2,0)</f>
        <v>Mechanical</v>
      </c>
      <c r="C674" s="1" t="s">
        <v>1031</v>
      </c>
      <c r="D674" s="1" t="s">
        <v>1036</v>
      </c>
      <c r="E674" s="1">
        <v>9.33</v>
      </c>
    </row>
    <row r="675" spans="1:5" x14ac:dyDescent="0.2">
      <c r="A675" s="1" t="s">
        <v>684</v>
      </c>
      <c r="B675" s="1" t="str">
        <f>VLOOKUP(Table5[[#This Row],[Student_ID]],student_data[#All],2,0)</f>
        <v>Computer Science</v>
      </c>
      <c r="C675" s="1" t="s">
        <v>1033</v>
      </c>
      <c r="D675" s="1" t="s">
        <v>1034</v>
      </c>
      <c r="E675" s="1">
        <v>0</v>
      </c>
    </row>
    <row r="676" spans="1:5" x14ac:dyDescent="0.2">
      <c r="A676" s="1" t="s">
        <v>685</v>
      </c>
      <c r="B676" s="1" t="str">
        <f>VLOOKUP(Table5[[#This Row],[Student_ID]],student_data[#All],2,0)</f>
        <v>Information Technology</v>
      </c>
      <c r="C676" s="1" t="s">
        <v>1031</v>
      </c>
      <c r="D676" s="1" t="s">
        <v>1032</v>
      </c>
      <c r="E676" s="1">
        <v>5.49</v>
      </c>
    </row>
    <row r="677" spans="1:5" x14ac:dyDescent="0.2">
      <c r="A677" s="1" t="s">
        <v>686</v>
      </c>
      <c r="B677" s="1" t="str">
        <f>VLOOKUP(Table5[[#This Row],[Student_ID]],student_data[#All],2,0)</f>
        <v>Civil</v>
      </c>
      <c r="C677" s="1" t="s">
        <v>1031</v>
      </c>
      <c r="D677" s="1" t="s">
        <v>1040</v>
      </c>
      <c r="E677" s="1">
        <v>4.5</v>
      </c>
    </row>
    <row r="678" spans="1:5" x14ac:dyDescent="0.2">
      <c r="A678" s="1" t="s">
        <v>687</v>
      </c>
      <c r="B678" s="1" t="str">
        <f>VLOOKUP(Table5[[#This Row],[Student_ID]],student_data[#All],2,0)</f>
        <v>Computer Science</v>
      </c>
      <c r="C678" s="1" t="s">
        <v>1031</v>
      </c>
      <c r="D678" s="1" t="s">
        <v>1032</v>
      </c>
      <c r="E678" s="1">
        <v>5.03</v>
      </c>
    </row>
    <row r="679" spans="1:5" x14ac:dyDescent="0.2">
      <c r="A679" s="1" t="s">
        <v>688</v>
      </c>
      <c r="B679" s="1" t="str">
        <f>VLOOKUP(Table5[[#This Row],[Student_ID]],student_data[#All],2,0)</f>
        <v>Information Technology</v>
      </c>
      <c r="C679" s="1" t="s">
        <v>1031</v>
      </c>
      <c r="D679" s="1" t="s">
        <v>1032</v>
      </c>
      <c r="E679" s="1">
        <v>5.43</v>
      </c>
    </row>
    <row r="680" spans="1:5" x14ac:dyDescent="0.2">
      <c r="A680" s="1" t="s">
        <v>689</v>
      </c>
      <c r="B680" s="1" t="str">
        <f>VLOOKUP(Table5[[#This Row],[Student_ID]],student_data[#All],2,0)</f>
        <v>Information Technology</v>
      </c>
      <c r="C680" s="1" t="s">
        <v>1033</v>
      </c>
      <c r="D680" s="1" t="s">
        <v>1034</v>
      </c>
      <c r="E680" s="1">
        <v>0</v>
      </c>
    </row>
    <row r="681" spans="1:5" x14ac:dyDescent="0.2">
      <c r="A681" s="1" t="s">
        <v>690</v>
      </c>
      <c r="B681" s="1" t="str">
        <f>VLOOKUP(Table5[[#This Row],[Student_ID]],student_data[#All],2,0)</f>
        <v>Mechanical</v>
      </c>
      <c r="C681" s="1" t="s">
        <v>1033</v>
      </c>
      <c r="D681" s="1" t="s">
        <v>1034</v>
      </c>
      <c r="E681" s="1">
        <v>0</v>
      </c>
    </row>
    <row r="682" spans="1:5" x14ac:dyDescent="0.2">
      <c r="A682" s="1" t="s">
        <v>691</v>
      </c>
      <c r="B682" s="1" t="str">
        <f>VLOOKUP(Table5[[#This Row],[Student_ID]],student_data[#All],2,0)</f>
        <v>Information Technology</v>
      </c>
      <c r="C682" s="1" t="s">
        <v>1033</v>
      </c>
      <c r="D682" s="1" t="s">
        <v>1034</v>
      </c>
      <c r="E682" s="1">
        <v>0</v>
      </c>
    </row>
    <row r="683" spans="1:5" x14ac:dyDescent="0.2">
      <c r="A683" s="1" t="s">
        <v>692</v>
      </c>
      <c r="B683" s="1" t="str">
        <f>VLOOKUP(Table5[[#This Row],[Student_ID]],student_data[#All],2,0)</f>
        <v>Information Technology</v>
      </c>
      <c r="C683" s="1" t="s">
        <v>1031</v>
      </c>
      <c r="D683" s="1" t="s">
        <v>1038</v>
      </c>
      <c r="E683" s="1">
        <v>4.32</v>
      </c>
    </row>
    <row r="684" spans="1:5" x14ac:dyDescent="0.2">
      <c r="A684" s="1" t="s">
        <v>693</v>
      </c>
      <c r="B684" s="1" t="str">
        <f>VLOOKUP(Table5[[#This Row],[Student_ID]],student_data[#All],2,0)</f>
        <v>Information Technology</v>
      </c>
      <c r="C684" s="1" t="s">
        <v>1031</v>
      </c>
      <c r="D684" s="1" t="s">
        <v>1035</v>
      </c>
      <c r="E684" s="1">
        <v>5.15</v>
      </c>
    </row>
    <row r="685" spans="1:5" x14ac:dyDescent="0.2">
      <c r="A685" s="1" t="s">
        <v>694</v>
      </c>
      <c r="B685" s="1" t="str">
        <f>VLOOKUP(Table5[[#This Row],[Student_ID]],student_data[#All],2,0)</f>
        <v>Information Technology</v>
      </c>
      <c r="C685" s="1" t="s">
        <v>1031</v>
      </c>
      <c r="D685" s="1" t="s">
        <v>1039</v>
      </c>
      <c r="E685" s="1">
        <v>4.5</v>
      </c>
    </row>
    <row r="686" spans="1:5" x14ac:dyDescent="0.2">
      <c r="A686" s="1" t="s">
        <v>695</v>
      </c>
      <c r="B686" s="1" t="str">
        <f>VLOOKUP(Table5[[#This Row],[Student_ID]],student_data[#All],2,0)</f>
        <v>Electronics</v>
      </c>
      <c r="C686" s="1" t="s">
        <v>1031</v>
      </c>
      <c r="D686" s="1" t="s">
        <v>1032</v>
      </c>
      <c r="E686" s="1">
        <v>5.4</v>
      </c>
    </row>
    <row r="687" spans="1:5" x14ac:dyDescent="0.2">
      <c r="A687" s="1" t="s">
        <v>696</v>
      </c>
      <c r="B687" s="1" t="str">
        <f>VLOOKUP(Table5[[#This Row],[Student_ID]],student_data[#All],2,0)</f>
        <v>Electronics</v>
      </c>
      <c r="C687" s="1" t="s">
        <v>1031</v>
      </c>
      <c r="D687" s="1" t="s">
        <v>1035</v>
      </c>
      <c r="E687" s="1">
        <v>4.5599999999999996</v>
      </c>
    </row>
    <row r="688" spans="1:5" x14ac:dyDescent="0.2">
      <c r="A688" s="1" t="s">
        <v>697</v>
      </c>
      <c r="B688" s="1" t="str">
        <f>VLOOKUP(Table5[[#This Row],[Student_ID]],student_data[#All],2,0)</f>
        <v>Mechanical</v>
      </c>
      <c r="C688" s="1" t="s">
        <v>1031</v>
      </c>
      <c r="D688" s="1" t="s">
        <v>1032</v>
      </c>
      <c r="E688" s="1">
        <v>5.03</v>
      </c>
    </row>
    <row r="689" spans="1:5" x14ac:dyDescent="0.2">
      <c r="A689" s="1" t="s">
        <v>698</v>
      </c>
      <c r="B689" s="1" t="str">
        <f>VLOOKUP(Table5[[#This Row],[Student_ID]],student_data[#All],2,0)</f>
        <v>Computer Science</v>
      </c>
      <c r="C689" s="1" t="s">
        <v>1031</v>
      </c>
      <c r="D689" s="1" t="s">
        <v>1038</v>
      </c>
      <c r="E689" s="1">
        <v>3.61</v>
      </c>
    </row>
    <row r="690" spans="1:5" x14ac:dyDescent="0.2">
      <c r="A690" s="1" t="s">
        <v>699</v>
      </c>
      <c r="B690" s="1" t="str">
        <f>VLOOKUP(Table5[[#This Row],[Student_ID]],student_data[#All],2,0)</f>
        <v>Information Technology</v>
      </c>
      <c r="C690" s="1" t="s">
        <v>1031</v>
      </c>
      <c r="D690" s="1" t="s">
        <v>1038</v>
      </c>
      <c r="E690" s="1">
        <v>4.33</v>
      </c>
    </row>
    <row r="691" spans="1:5" x14ac:dyDescent="0.2">
      <c r="A691" s="1" t="s">
        <v>700</v>
      </c>
      <c r="B691" s="1" t="str">
        <f>VLOOKUP(Table5[[#This Row],[Student_ID]],student_data[#All],2,0)</f>
        <v>Computer Science</v>
      </c>
      <c r="C691" s="1" t="s">
        <v>1031</v>
      </c>
      <c r="D691" s="1" t="s">
        <v>1038</v>
      </c>
      <c r="E691" s="1">
        <v>3.95</v>
      </c>
    </row>
    <row r="692" spans="1:5" x14ac:dyDescent="0.2">
      <c r="A692" s="1" t="s">
        <v>701</v>
      </c>
      <c r="B692" s="1" t="str">
        <f>VLOOKUP(Table5[[#This Row],[Student_ID]],student_data[#All],2,0)</f>
        <v>Computer Science</v>
      </c>
      <c r="C692" s="1" t="s">
        <v>1031</v>
      </c>
      <c r="D692" s="1" t="s">
        <v>1032</v>
      </c>
      <c r="E692" s="1">
        <v>4.32</v>
      </c>
    </row>
    <row r="693" spans="1:5" x14ac:dyDescent="0.2">
      <c r="A693" s="1" t="s">
        <v>702</v>
      </c>
      <c r="B693" s="1" t="str">
        <f>VLOOKUP(Table5[[#This Row],[Student_ID]],student_data[#All],2,0)</f>
        <v>Mechanical</v>
      </c>
      <c r="C693" s="1" t="s">
        <v>1031</v>
      </c>
      <c r="D693" s="1" t="s">
        <v>1039</v>
      </c>
      <c r="E693" s="1">
        <v>4.1900000000000004</v>
      </c>
    </row>
    <row r="694" spans="1:5" x14ac:dyDescent="0.2">
      <c r="A694" s="1" t="s">
        <v>703</v>
      </c>
      <c r="B694" s="1" t="str">
        <f>VLOOKUP(Table5[[#This Row],[Student_ID]],student_data[#All],2,0)</f>
        <v>Information Technology</v>
      </c>
      <c r="C694" s="1" t="s">
        <v>1033</v>
      </c>
      <c r="D694" s="1" t="s">
        <v>1034</v>
      </c>
      <c r="E694" s="1">
        <v>0</v>
      </c>
    </row>
    <row r="695" spans="1:5" x14ac:dyDescent="0.2">
      <c r="A695" s="1" t="s">
        <v>704</v>
      </c>
      <c r="B695" s="1" t="str">
        <f>VLOOKUP(Table5[[#This Row],[Student_ID]],student_data[#All],2,0)</f>
        <v>Information Technology</v>
      </c>
      <c r="C695" s="1" t="s">
        <v>1031</v>
      </c>
      <c r="D695" s="1" t="s">
        <v>1036</v>
      </c>
      <c r="E695" s="1">
        <v>13.62</v>
      </c>
    </row>
    <row r="696" spans="1:5" x14ac:dyDescent="0.2">
      <c r="A696" s="1" t="s">
        <v>705</v>
      </c>
      <c r="B696" s="1" t="str">
        <f>VLOOKUP(Table5[[#This Row],[Student_ID]],student_data[#All],2,0)</f>
        <v>Civil</v>
      </c>
      <c r="C696" s="1" t="s">
        <v>1033</v>
      </c>
      <c r="D696" s="1" t="s">
        <v>1034</v>
      </c>
      <c r="E696" s="1">
        <v>0</v>
      </c>
    </row>
    <row r="697" spans="1:5" x14ac:dyDescent="0.2">
      <c r="A697" s="1" t="s">
        <v>706</v>
      </c>
      <c r="B697" s="1" t="str">
        <f>VLOOKUP(Table5[[#This Row],[Student_ID]],student_data[#All],2,0)</f>
        <v>Computer Science</v>
      </c>
      <c r="C697" s="1" t="s">
        <v>1033</v>
      </c>
      <c r="D697" s="1" t="s">
        <v>1034</v>
      </c>
      <c r="E697" s="1">
        <v>0</v>
      </c>
    </row>
    <row r="698" spans="1:5" x14ac:dyDescent="0.2">
      <c r="A698" s="1" t="s">
        <v>707</v>
      </c>
      <c r="B698" s="1" t="str">
        <f>VLOOKUP(Table5[[#This Row],[Student_ID]],student_data[#All],2,0)</f>
        <v>Computer Science</v>
      </c>
      <c r="C698" s="1" t="s">
        <v>1031</v>
      </c>
      <c r="D698" s="1" t="s">
        <v>1035</v>
      </c>
      <c r="E698" s="1">
        <v>4.1100000000000003</v>
      </c>
    </row>
    <row r="699" spans="1:5" x14ac:dyDescent="0.2">
      <c r="A699" s="1" t="s">
        <v>708</v>
      </c>
      <c r="B699" s="1" t="str">
        <f>VLOOKUP(Table5[[#This Row],[Student_ID]],student_data[#All],2,0)</f>
        <v>Electronics</v>
      </c>
      <c r="C699" s="1" t="s">
        <v>1033</v>
      </c>
      <c r="D699" s="1" t="s">
        <v>1034</v>
      </c>
      <c r="E699" s="1">
        <v>0</v>
      </c>
    </row>
    <row r="700" spans="1:5" x14ac:dyDescent="0.2">
      <c r="A700" s="1" t="s">
        <v>709</v>
      </c>
      <c r="B700" s="1" t="str">
        <f>VLOOKUP(Table5[[#This Row],[Student_ID]],student_data[#All],2,0)</f>
        <v>Civil</v>
      </c>
      <c r="C700" s="1" t="s">
        <v>1031</v>
      </c>
      <c r="D700" s="1" t="s">
        <v>1035</v>
      </c>
      <c r="E700" s="1">
        <v>4.53</v>
      </c>
    </row>
    <row r="701" spans="1:5" x14ac:dyDescent="0.2">
      <c r="A701" s="1" t="s">
        <v>710</v>
      </c>
      <c r="B701" s="1" t="str">
        <f>VLOOKUP(Table5[[#This Row],[Student_ID]],student_data[#All],2,0)</f>
        <v>Electronics</v>
      </c>
      <c r="C701" s="1" t="s">
        <v>1031</v>
      </c>
      <c r="D701" s="1" t="s">
        <v>1032</v>
      </c>
      <c r="E701" s="1">
        <v>4.5</v>
      </c>
    </row>
    <row r="702" spans="1:5" x14ac:dyDescent="0.2">
      <c r="A702" s="1" t="s">
        <v>711</v>
      </c>
      <c r="B702" s="1" t="str">
        <f>VLOOKUP(Table5[[#This Row],[Student_ID]],student_data[#All],2,0)</f>
        <v>Electronics</v>
      </c>
      <c r="C702" s="1" t="s">
        <v>1031</v>
      </c>
      <c r="D702" s="1" t="s">
        <v>1038</v>
      </c>
      <c r="E702" s="1">
        <v>5.43</v>
      </c>
    </row>
    <row r="703" spans="1:5" x14ac:dyDescent="0.2">
      <c r="A703" s="1" t="s">
        <v>712</v>
      </c>
      <c r="B703" s="1" t="str">
        <f>VLOOKUP(Table5[[#This Row],[Student_ID]],student_data[#All],2,0)</f>
        <v>Electronics</v>
      </c>
      <c r="C703" s="1" t="s">
        <v>1031</v>
      </c>
      <c r="D703" s="1" t="s">
        <v>1038</v>
      </c>
      <c r="E703" s="1">
        <v>4.1900000000000004</v>
      </c>
    </row>
    <row r="704" spans="1:5" x14ac:dyDescent="0.2">
      <c r="A704" s="1" t="s">
        <v>713</v>
      </c>
      <c r="B704" s="1" t="str">
        <f>VLOOKUP(Table5[[#This Row],[Student_ID]],student_data[#All],2,0)</f>
        <v>Mechanical</v>
      </c>
      <c r="C704" s="1" t="s">
        <v>1031</v>
      </c>
      <c r="D704" s="1" t="s">
        <v>1038</v>
      </c>
      <c r="E704" s="1">
        <v>5.65</v>
      </c>
    </row>
    <row r="705" spans="1:5" x14ac:dyDescent="0.2">
      <c r="A705" s="1" t="s">
        <v>714</v>
      </c>
      <c r="B705" s="1" t="str">
        <f>VLOOKUP(Table5[[#This Row],[Student_ID]],student_data[#All],2,0)</f>
        <v>Mechanical</v>
      </c>
      <c r="C705" s="1" t="s">
        <v>1031</v>
      </c>
      <c r="D705" s="1" t="s">
        <v>1038</v>
      </c>
      <c r="E705" s="1">
        <v>4.3</v>
      </c>
    </row>
    <row r="706" spans="1:5" x14ac:dyDescent="0.2">
      <c r="A706" s="1" t="s">
        <v>715</v>
      </c>
      <c r="B706" s="1" t="str">
        <f>VLOOKUP(Table5[[#This Row],[Student_ID]],student_data[#All],2,0)</f>
        <v>Electronics</v>
      </c>
      <c r="C706" s="1" t="s">
        <v>1031</v>
      </c>
      <c r="D706" s="1" t="s">
        <v>1038</v>
      </c>
      <c r="E706" s="1">
        <v>3.92</v>
      </c>
    </row>
    <row r="707" spans="1:5" x14ac:dyDescent="0.2">
      <c r="A707" s="1" t="s">
        <v>716</v>
      </c>
      <c r="B707" s="1" t="str">
        <f>VLOOKUP(Table5[[#This Row],[Student_ID]],student_data[#All],2,0)</f>
        <v>Civil</v>
      </c>
      <c r="C707" s="1" t="s">
        <v>1031</v>
      </c>
      <c r="D707" s="1" t="s">
        <v>1032</v>
      </c>
      <c r="E707" s="1">
        <v>4.12</v>
      </c>
    </row>
    <row r="708" spans="1:5" x14ac:dyDescent="0.2">
      <c r="A708" s="1" t="s">
        <v>717</v>
      </c>
      <c r="B708" s="1" t="str">
        <f>VLOOKUP(Table5[[#This Row],[Student_ID]],student_data[#All],2,0)</f>
        <v>Computer Science</v>
      </c>
      <c r="C708" s="1" t="s">
        <v>1031</v>
      </c>
      <c r="D708" s="1" t="s">
        <v>1035</v>
      </c>
      <c r="E708" s="1">
        <v>5.41</v>
      </c>
    </row>
    <row r="709" spans="1:5" x14ac:dyDescent="0.2">
      <c r="A709" s="1" t="s">
        <v>718</v>
      </c>
      <c r="B709" s="1" t="str">
        <f>VLOOKUP(Table5[[#This Row],[Student_ID]],student_data[#All],2,0)</f>
        <v>Civil</v>
      </c>
      <c r="C709" s="1" t="s">
        <v>1031</v>
      </c>
      <c r="D709" s="1" t="s">
        <v>1038</v>
      </c>
      <c r="E709" s="1">
        <v>4.5599999999999996</v>
      </c>
    </row>
    <row r="710" spans="1:5" x14ac:dyDescent="0.2">
      <c r="A710" s="1" t="s">
        <v>719</v>
      </c>
      <c r="B710" s="1" t="str">
        <f>VLOOKUP(Table5[[#This Row],[Student_ID]],student_data[#All],2,0)</f>
        <v>Information Technology</v>
      </c>
      <c r="C710" s="1" t="s">
        <v>1031</v>
      </c>
      <c r="D710" s="1" t="s">
        <v>1032</v>
      </c>
      <c r="E710" s="1">
        <v>5.19</v>
      </c>
    </row>
    <row r="711" spans="1:5" x14ac:dyDescent="0.2">
      <c r="A711" s="1" t="s">
        <v>720</v>
      </c>
      <c r="B711" s="1" t="str">
        <f>VLOOKUP(Table5[[#This Row],[Student_ID]],student_data[#All],2,0)</f>
        <v>Mechanical</v>
      </c>
      <c r="C711" s="1" t="s">
        <v>1031</v>
      </c>
      <c r="D711" s="1" t="s">
        <v>1032</v>
      </c>
      <c r="E711" s="1">
        <v>4.1100000000000003</v>
      </c>
    </row>
    <row r="712" spans="1:5" x14ac:dyDescent="0.2">
      <c r="A712" s="1" t="s">
        <v>721</v>
      </c>
      <c r="B712" s="1" t="str">
        <f>VLOOKUP(Table5[[#This Row],[Student_ID]],student_data[#All],2,0)</f>
        <v>Computer Science</v>
      </c>
      <c r="C712" s="1" t="s">
        <v>1031</v>
      </c>
      <c r="D712" s="1" t="s">
        <v>1032</v>
      </c>
      <c r="E712" s="1">
        <v>5.03</v>
      </c>
    </row>
    <row r="713" spans="1:5" x14ac:dyDescent="0.2">
      <c r="A713" s="1" t="s">
        <v>722</v>
      </c>
      <c r="B713" s="1" t="str">
        <f>VLOOKUP(Table5[[#This Row],[Student_ID]],student_data[#All],2,0)</f>
        <v>Computer Science</v>
      </c>
      <c r="C713" s="1" t="s">
        <v>1033</v>
      </c>
      <c r="D713" s="1" t="s">
        <v>1034</v>
      </c>
      <c r="E713" s="1">
        <v>0</v>
      </c>
    </row>
    <row r="714" spans="1:5" x14ac:dyDescent="0.2">
      <c r="A714" s="1" t="s">
        <v>723</v>
      </c>
      <c r="B714" s="1" t="str">
        <f>VLOOKUP(Table5[[#This Row],[Student_ID]],student_data[#All],2,0)</f>
        <v>Information Technology</v>
      </c>
      <c r="C714" s="1" t="s">
        <v>1031</v>
      </c>
      <c r="D714" s="1" t="s">
        <v>1036</v>
      </c>
      <c r="E714" s="1">
        <v>9.39</v>
      </c>
    </row>
    <row r="715" spans="1:5" x14ac:dyDescent="0.2">
      <c r="A715" s="1" t="s">
        <v>724</v>
      </c>
      <c r="B715" s="1" t="str">
        <f>VLOOKUP(Table5[[#This Row],[Student_ID]],student_data[#All],2,0)</f>
        <v>Information Technology</v>
      </c>
      <c r="C715" s="1" t="s">
        <v>1031</v>
      </c>
      <c r="D715" s="1" t="s">
        <v>1039</v>
      </c>
      <c r="E715" s="1">
        <v>4.5</v>
      </c>
    </row>
    <row r="716" spans="1:5" x14ac:dyDescent="0.2">
      <c r="A716" s="1" t="s">
        <v>725</v>
      </c>
      <c r="B716" s="1" t="str">
        <f>VLOOKUP(Table5[[#This Row],[Student_ID]],student_data[#All],2,0)</f>
        <v>Electronics</v>
      </c>
      <c r="C716" s="1" t="s">
        <v>1031</v>
      </c>
      <c r="D716" s="1" t="s">
        <v>1038</v>
      </c>
      <c r="E716" s="1">
        <v>4.1900000000000004</v>
      </c>
    </row>
    <row r="717" spans="1:5" x14ac:dyDescent="0.2">
      <c r="A717" s="1" t="s">
        <v>726</v>
      </c>
      <c r="B717" s="1" t="str">
        <f>VLOOKUP(Table5[[#This Row],[Student_ID]],student_data[#All],2,0)</f>
        <v>Mechanical</v>
      </c>
      <c r="C717" s="1" t="s">
        <v>1031</v>
      </c>
      <c r="D717" s="1" t="s">
        <v>1038</v>
      </c>
      <c r="E717" s="1">
        <v>4.3499999999999996</v>
      </c>
    </row>
    <row r="718" spans="1:5" x14ac:dyDescent="0.2">
      <c r="A718" s="1" t="s">
        <v>727</v>
      </c>
      <c r="B718" s="1" t="str">
        <f>VLOOKUP(Table5[[#This Row],[Student_ID]],student_data[#All],2,0)</f>
        <v>Mechanical</v>
      </c>
      <c r="C718" s="1" t="s">
        <v>1031</v>
      </c>
      <c r="D718" s="1" t="s">
        <v>1035</v>
      </c>
      <c r="E718" s="1">
        <v>4.12</v>
      </c>
    </row>
    <row r="719" spans="1:5" x14ac:dyDescent="0.2">
      <c r="A719" s="1" t="s">
        <v>728</v>
      </c>
      <c r="B719" s="1" t="str">
        <f>VLOOKUP(Table5[[#This Row],[Student_ID]],student_data[#All],2,0)</f>
        <v>Civil</v>
      </c>
      <c r="C719" s="1" t="s">
        <v>1031</v>
      </c>
      <c r="D719" s="1" t="s">
        <v>1038</v>
      </c>
      <c r="E719" s="1">
        <v>5.13</v>
      </c>
    </row>
    <row r="720" spans="1:5" x14ac:dyDescent="0.2">
      <c r="A720" s="1" t="s">
        <v>729</v>
      </c>
      <c r="B720" s="1" t="str">
        <f>VLOOKUP(Table5[[#This Row],[Student_ID]],student_data[#All],2,0)</f>
        <v>Electronics</v>
      </c>
      <c r="C720" s="1" t="s">
        <v>1033</v>
      </c>
      <c r="D720" s="1" t="s">
        <v>1034</v>
      </c>
      <c r="E720" s="1">
        <v>0</v>
      </c>
    </row>
    <row r="721" spans="1:5" x14ac:dyDescent="0.2">
      <c r="A721" s="1" t="s">
        <v>730</v>
      </c>
      <c r="B721" s="1" t="str">
        <f>VLOOKUP(Table5[[#This Row],[Student_ID]],student_data[#All],2,0)</f>
        <v>Electronics</v>
      </c>
      <c r="C721" s="1" t="s">
        <v>1031</v>
      </c>
      <c r="D721" s="1" t="s">
        <v>1032</v>
      </c>
      <c r="E721" s="1">
        <v>5.65</v>
      </c>
    </row>
    <row r="722" spans="1:5" x14ac:dyDescent="0.2">
      <c r="A722" s="1" t="s">
        <v>731</v>
      </c>
      <c r="B722" s="1" t="str">
        <f>VLOOKUP(Table5[[#This Row],[Student_ID]],student_data[#All],2,0)</f>
        <v>Electronics</v>
      </c>
      <c r="C722" s="1" t="s">
        <v>1031</v>
      </c>
      <c r="D722" s="1" t="s">
        <v>1032</v>
      </c>
      <c r="E722" s="1">
        <v>5.19</v>
      </c>
    </row>
    <row r="723" spans="1:5" x14ac:dyDescent="0.2">
      <c r="A723" s="1" t="s">
        <v>732</v>
      </c>
      <c r="B723" s="1" t="str">
        <f>VLOOKUP(Table5[[#This Row],[Student_ID]],student_data[#All],2,0)</f>
        <v>Electronics</v>
      </c>
      <c r="C723" s="1" t="s">
        <v>1031</v>
      </c>
      <c r="D723" s="1" t="s">
        <v>1032</v>
      </c>
      <c r="E723" s="1">
        <v>5.13</v>
      </c>
    </row>
    <row r="724" spans="1:5" x14ac:dyDescent="0.2">
      <c r="A724" s="1" t="s">
        <v>733</v>
      </c>
      <c r="B724" s="1" t="str">
        <f>VLOOKUP(Table5[[#This Row],[Student_ID]],student_data[#All],2,0)</f>
        <v>Mechanical</v>
      </c>
      <c r="C724" s="1" t="s">
        <v>1033</v>
      </c>
      <c r="D724" s="1" t="s">
        <v>1034</v>
      </c>
      <c r="E724" s="1">
        <v>0</v>
      </c>
    </row>
    <row r="725" spans="1:5" x14ac:dyDescent="0.2">
      <c r="A725" s="1" t="s">
        <v>734</v>
      </c>
      <c r="B725" s="1" t="str">
        <f>VLOOKUP(Table5[[#This Row],[Student_ID]],student_data[#All],2,0)</f>
        <v>Mechanical</v>
      </c>
      <c r="C725" s="1" t="s">
        <v>1031</v>
      </c>
      <c r="D725" s="1" t="s">
        <v>1032</v>
      </c>
      <c r="E725" s="1">
        <v>5.03</v>
      </c>
    </row>
    <row r="726" spans="1:5" x14ac:dyDescent="0.2">
      <c r="A726" s="1" t="s">
        <v>735</v>
      </c>
      <c r="B726" s="1" t="str">
        <f>VLOOKUP(Table5[[#This Row],[Student_ID]],student_data[#All],2,0)</f>
        <v>Electronics</v>
      </c>
      <c r="C726" s="1" t="s">
        <v>1031</v>
      </c>
      <c r="D726" s="1" t="s">
        <v>1038</v>
      </c>
      <c r="E726" s="1">
        <v>3.95</v>
      </c>
    </row>
    <row r="727" spans="1:5" x14ac:dyDescent="0.2">
      <c r="A727" s="1" t="s">
        <v>736</v>
      </c>
      <c r="B727" s="1" t="str">
        <f>VLOOKUP(Table5[[#This Row],[Student_ID]],student_data[#All],2,0)</f>
        <v>Civil</v>
      </c>
      <c r="C727" s="1" t="s">
        <v>1031</v>
      </c>
      <c r="D727" s="1" t="s">
        <v>1035</v>
      </c>
      <c r="E727" s="1">
        <v>4.5</v>
      </c>
    </row>
    <row r="728" spans="1:5" x14ac:dyDescent="0.2">
      <c r="A728" s="1" t="s">
        <v>737</v>
      </c>
      <c r="B728" s="1" t="str">
        <f>VLOOKUP(Table5[[#This Row],[Student_ID]],student_data[#All],2,0)</f>
        <v>Computer Science</v>
      </c>
      <c r="C728" s="1" t="s">
        <v>1033</v>
      </c>
      <c r="D728" s="1" t="s">
        <v>1034</v>
      </c>
      <c r="E728" s="1">
        <v>0</v>
      </c>
    </row>
    <row r="729" spans="1:5" x14ac:dyDescent="0.2">
      <c r="A729" s="1" t="s">
        <v>738</v>
      </c>
      <c r="B729" s="1" t="str">
        <f>VLOOKUP(Table5[[#This Row],[Student_ID]],student_data[#All],2,0)</f>
        <v>Computer Science</v>
      </c>
      <c r="C729" s="1" t="s">
        <v>1033</v>
      </c>
      <c r="D729" s="1" t="s">
        <v>1034</v>
      </c>
      <c r="E729" s="1">
        <v>0</v>
      </c>
    </row>
    <row r="730" spans="1:5" x14ac:dyDescent="0.2">
      <c r="A730" s="1" t="s">
        <v>739</v>
      </c>
      <c r="B730" s="1" t="str">
        <f>VLOOKUP(Table5[[#This Row],[Student_ID]],student_data[#All],2,0)</f>
        <v>Civil</v>
      </c>
      <c r="C730" s="1" t="s">
        <v>1031</v>
      </c>
      <c r="D730" s="1" t="s">
        <v>1032</v>
      </c>
      <c r="E730" s="1">
        <v>4.5</v>
      </c>
    </row>
    <row r="731" spans="1:5" x14ac:dyDescent="0.2">
      <c r="A731" s="1" t="s">
        <v>740</v>
      </c>
      <c r="B731" s="1" t="str">
        <f>VLOOKUP(Table5[[#This Row],[Student_ID]],student_data[#All],2,0)</f>
        <v>Electronics</v>
      </c>
      <c r="C731" s="1" t="s">
        <v>1031</v>
      </c>
      <c r="D731" s="1" t="s">
        <v>1032</v>
      </c>
      <c r="E731" s="1">
        <v>5.19</v>
      </c>
    </row>
    <row r="732" spans="1:5" x14ac:dyDescent="0.2">
      <c r="A732" s="1" t="s">
        <v>741</v>
      </c>
      <c r="B732" s="1" t="str">
        <f>VLOOKUP(Table5[[#This Row],[Student_ID]],student_data[#All],2,0)</f>
        <v>Mechanical</v>
      </c>
      <c r="C732" s="1" t="s">
        <v>1031</v>
      </c>
      <c r="D732" s="1" t="s">
        <v>1039</v>
      </c>
      <c r="E732" s="1">
        <v>5.15</v>
      </c>
    </row>
    <row r="733" spans="1:5" x14ac:dyDescent="0.2">
      <c r="A733" s="1" t="s">
        <v>742</v>
      </c>
      <c r="B733" s="1" t="str">
        <f>VLOOKUP(Table5[[#This Row],[Student_ID]],student_data[#All],2,0)</f>
        <v>Computer Science</v>
      </c>
      <c r="C733" s="1" t="s">
        <v>1031</v>
      </c>
      <c r="D733" s="1" t="s">
        <v>1038</v>
      </c>
      <c r="E733" s="1">
        <v>4.1100000000000003</v>
      </c>
    </row>
    <row r="734" spans="1:5" x14ac:dyDescent="0.2">
      <c r="A734" s="1" t="s">
        <v>743</v>
      </c>
      <c r="B734" s="1" t="str">
        <f>VLOOKUP(Table5[[#This Row],[Student_ID]],student_data[#All],2,0)</f>
        <v>Information Technology</v>
      </c>
      <c r="C734" s="1" t="s">
        <v>1033</v>
      </c>
      <c r="D734" s="1" t="s">
        <v>1034</v>
      </c>
      <c r="E734" s="1">
        <v>0</v>
      </c>
    </row>
    <row r="735" spans="1:5" x14ac:dyDescent="0.2">
      <c r="A735" s="1" t="s">
        <v>744</v>
      </c>
      <c r="B735" s="1" t="str">
        <f>VLOOKUP(Table5[[#This Row],[Student_ID]],student_data[#All],2,0)</f>
        <v>Information Technology</v>
      </c>
      <c r="C735" s="1" t="s">
        <v>1031</v>
      </c>
      <c r="D735" s="1" t="s">
        <v>1038</v>
      </c>
      <c r="E735" s="1">
        <v>3.87</v>
      </c>
    </row>
    <row r="736" spans="1:5" x14ac:dyDescent="0.2">
      <c r="A736" s="1" t="s">
        <v>745</v>
      </c>
      <c r="B736" s="1" t="str">
        <f>VLOOKUP(Table5[[#This Row],[Student_ID]],student_data[#All],2,0)</f>
        <v>Civil</v>
      </c>
      <c r="C736" s="1" t="s">
        <v>1031</v>
      </c>
      <c r="D736" s="1" t="s">
        <v>1035</v>
      </c>
      <c r="E736" s="1">
        <v>5.13</v>
      </c>
    </row>
    <row r="737" spans="1:5" x14ac:dyDescent="0.2">
      <c r="A737" s="1" t="s">
        <v>746</v>
      </c>
      <c r="B737" s="1" t="str">
        <f>VLOOKUP(Table5[[#This Row],[Student_ID]],student_data[#All],2,0)</f>
        <v>Electronics</v>
      </c>
      <c r="C737" s="1" t="s">
        <v>1031</v>
      </c>
      <c r="D737" s="1" t="s">
        <v>1032</v>
      </c>
      <c r="E737" s="1">
        <v>4.1900000000000004</v>
      </c>
    </row>
    <row r="738" spans="1:5" x14ac:dyDescent="0.2">
      <c r="A738" s="1" t="s">
        <v>747</v>
      </c>
      <c r="B738" s="1" t="str">
        <f>VLOOKUP(Table5[[#This Row],[Student_ID]],student_data[#All],2,0)</f>
        <v>Computer Science</v>
      </c>
      <c r="C738" s="1" t="s">
        <v>1031</v>
      </c>
      <c r="D738" s="1" t="s">
        <v>1032</v>
      </c>
      <c r="E738" s="1">
        <v>5.43</v>
      </c>
    </row>
    <row r="739" spans="1:5" x14ac:dyDescent="0.2">
      <c r="A739" s="1" t="s">
        <v>748</v>
      </c>
      <c r="B739" s="1" t="str">
        <f>VLOOKUP(Table5[[#This Row],[Student_ID]],student_data[#All],2,0)</f>
        <v>Electronics</v>
      </c>
      <c r="C739" s="1" t="s">
        <v>1031</v>
      </c>
      <c r="D739" s="1" t="s">
        <v>1038</v>
      </c>
      <c r="E739" s="1">
        <v>4.12</v>
      </c>
    </row>
    <row r="740" spans="1:5" x14ac:dyDescent="0.2">
      <c r="A740" s="1" t="s">
        <v>749</v>
      </c>
      <c r="B740" s="1" t="str">
        <f>VLOOKUP(Table5[[#This Row],[Student_ID]],student_data[#All],2,0)</f>
        <v>Computer Science</v>
      </c>
      <c r="C740" s="1" t="s">
        <v>1031</v>
      </c>
      <c r="D740" s="1" t="s">
        <v>1038</v>
      </c>
      <c r="E740" s="1">
        <v>4.3499999999999996</v>
      </c>
    </row>
    <row r="741" spans="1:5" x14ac:dyDescent="0.2">
      <c r="A741" s="1" t="s">
        <v>750</v>
      </c>
      <c r="B741" s="1" t="str">
        <f>VLOOKUP(Table5[[#This Row],[Student_ID]],student_data[#All],2,0)</f>
        <v>Civil</v>
      </c>
      <c r="C741" s="1" t="s">
        <v>1031</v>
      </c>
      <c r="D741" s="1" t="s">
        <v>1038</v>
      </c>
      <c r="E741" s="1">
        <v>4.5</v>
      </c>
    </row>
    <row r="742" spans="1:5" x14ac:dyDescent="0.2">
      <c r="A742" s="1" t="s">
        <v>751</v>
      </c>
      <c r="B742" s="1" t="str">
        <f>VLOOKUP(Table5[[#This Row],[Student_ID]],student_data[#All],2,0)</f>
        <v>Civil</v>
      </c>
      <c r="C742" s="1" t="s">
        <v>1031</v>
      </c>
      <c r="D742" s="1" t="s">
        <v>1038</v>
      </c>
      <c r="E742" s="1">
        <v>3.92</v>
      </c>
    </row>
    <row r="743" spans="1:5" x14ac:dyDescent="0.2">
      <c r="A743" s="1" t="s">
        <v>752</v>
      </c>
      <c r="B743" s="1" t="str">
        <f>VLOOKUP(Table5[[#This Row],[Student_ID]],student_data[#All],2,0)</f>
        <v>Information Technology</v>
      </c>
      <c r="C743" s="1" t="s">
        <v>1033</v>
      </c>
      <c r="D743" s="1" t="s">
        <v>1034</v>
      </c>
      <c r="E743" s="1">
        <v>0</v>
      </c>
    </row>
    <row r="744" spans="1:5" x14ac:dyDescent="0.2">
      <c r="A744" s="1" t="s">
        <v>753</v>
      </c>
      <c r="B744" s="1" t="str">
        <f>VLOOKUP(Table5[[#This Row],[Student_ID]],student_data[#All],2,0)</f>
        <v>Electronics</v>
      </c>
      <c r="C744" s="1" t="s">
        <v>1031</v>
      </c>
      <c r="D744" s="1" t="s">
        <v>1038</v>
      </c>
      <c r="E744" s="1">
        <v>4.1100000000000003</v>
      </c>
    </row>
    <row r="745" spans="1:5" x14ac:dyDescent="0.2">
      <c r="A745" s="1" t="s">
        <v>754</v>
      </c>
      <c r="B745" s="1" t="str">
        <f>VLOOKUP(Table5[[#This Row],[Student_ID]],student_data[#All],2,0)</f>
        <v>Information Technology</v>
      </c>
      <c r="C745" s="1" t="s">
        <v>1033</v>
      </c>
      <c r="D745" s="1" t="s">
        <v>1034</v>
      </c>
      <c r="E745" s="1">
        <v>0</v>
      </c>
    </row>
    <row r="746" spans="1:5" x14ac:dyDescent="0.2">
      <c r="A746" s="1" t="s">
        <v>755</v>
      </c>
      <c r="B746" s="1" t="str">
        <f>VLOOKUP(Table5[[#This Row],[Student_ID]],student_data[#All],2,0)</f>
        <v>Electronics</v>
      </c>
      <c r="C746" s="1" t="s">
        <v>1031</v>
      </c>
      <c r="D746" s="1" t="s">
        <v>1038</v>
      </c>
      <c r="E746" s="1">
        <v>4.1900000000000004</v>
      </c>
    </row>
    <row r="747" spans="1:5" x14ac:dyDescent="0.2">
      <c r="A747" s="1" t="s">
        <v>756</v>
      </c>
      <c r="B747" s="1" t="str">
        <f>VLOOKUP(Table5[[#This Row],[Student_ID]],student_data[#All],2,0)</f>
        <v>Information Technology</v>
      </c>
      <c r="C747" s="1" t="s">
        <v>1031</v>
      </c>
      <c r="D747" s="1" t="s">
        <v>1035</v>
      </c>
      <c r="E747" s="1">
        <v>4.53</v>
      </c>
    </row>
    <row r="748" spans="1:5" x14ac:dyDescent="0.2">
      <c r="A748" s="1" t="s">
        <v>757</v>
      </c>
      <c r="B748" s="1" t="str">
        <f>VLOOKUP(Table5[[#This Row],[Student_ID]],student_data[#All],2,0)</f>
        <v>Mechanical</v>
      </c>
      <c r="C748" s="1" t="s">
        <v>1031</v>
      </c>
      <c r="D748" s="1" t="s">
        <v>1038</v>
      </c>
      <c r="E748" s="1">
        <v>5.13</v>
      </c>
    </row>
    <row r="749" spans="1:5" x14ac:dyDescent="0.2">
      <c r="A749" s="1" t="s">
        <v>758</v>
      </c>
      <c r="B749" s="1" t="str">
        <f>VLOOKUP(Table5[[#This Row],[Student_ID]],student_data[#All],2,0)</f>
        <v>Mechanical</v>
      </c>
      <c r="C749" s="1" t="s">
        <v>1031</v>
      </c>
      <c r="D749" s="1" t="s">
        <v>1039</v>
      </c>
      <c r="E749" s="1">
        <v>4.1100000000000003</v>
      </c>
    </row>
    <row r="750" spans="1:5" x14ac:dyDescent="0.2">
      <c r="A750" s="1" t="s">
        <v>759</v>
      </c>
      <c r="B750" s="1" t="str">
        <f>VLOOKUP(Table5[[#This Row],[Student_ID]],student_data[#All],2,0)</f>
        <v>Mechanical</v>
      </c>
      <c r="C750" s="1" t="s">
        <v>1031</v>
      </c>
      <c r="D750" s="1" t="s">
        <v>1032</v>
      </c>
      <c r="E750" s="1">
        <v>4.5599999999999996</v>
      </c>
    </row>
    <row r="751" spans="1:5" x14ac:dyDescent="0.2">
      <c r="A751" s="1" t="s">
        <v>760</v>
      </c>
      <c r="B751" s="1" t="str">
        <f>VLOOKUP(Table5[[#This Row],[Student_ID]],student_data[#All],2,0)</f>
        <v>Mechanical</v>
      </c>
      <c r="C751" s="1" t="s">
        <v>1031</v>
      </c>
      <c r="D751" s="1" t="s">
        <v>1038</v>
      </c>
      <c r="E751" s="1">
        <v>4.5</v>
      </c>
    </row>
    <row r="752" spans="1:5" x14ac:dyDescent="0.2">
      <c r="A752" s="1" t="s">
        <v>761</v>
      </c>
      <c r="B752" s="1" t="str">
        <f>VLOOKUP(Table5[[#This Row],[Student_ID]],student_data[#All],2,0)</f>
        <v>Computer Science</v>
      </c>
      <c r="C752" s="1" t="s">
        <v>1031</v>
      </c>
      <c r="D752" s="1" t="s">
        <v>1032</v>
      </c>
      <c r="E752" s="1">
        <v>5.19</v>
      </c>
    </row>
    <row r="753" spans="1:5" x14ac:dyDescent="0.2">
      <c r="A753" s="1" t="s">
        <v>762</v>
      </c>
      <c r="B753" s="1" t="str">
        <f>VLOOKUP(Table5[[#This Row],[Student_ID]],student_data[#All],2,0)</f>
        <v>Mechanical</v>
      </c>
      <c r="C753" s="1" t="s">
        <v>1033</v>
      </c>
      <c r="D753" s="1" t="s">
        <v>1034</v>
      </c>
      <c r="E753" s="1">
        <v>0</v>
      </c>
    </row>
    <row r="754" spans="1:5" x14ac:dyDescent="0.2">
      <c r="A754" s="1" t="s">
        <v>763</v>
      </c>
      <c r="B754" s="1" t="str">
        <f>VLOOKUP(Table5[[#This Row],[Student_ID]],student_data[#All],2,0)</f>
        <v>Civil</v>
      </c>
      <c r="C754" s="1" t="s">
        <v>1033</v>
      </c>
      <c r="D754" s="1" t="s">
        <v>1034</v>
      </c>
      <c r="E754" s="1">
        <v>0</v>
      </c>
    </row>
    <row r="755" spans="1:5" x14ac:dyDescent="0.2">
      <c r="A755" s="1" t="s">
        <v>764</v>
      </c>
      <c r="B755" s="1" t="str">
        <f>VLOOKUP(Table5[[#This Row],[Student_ID]],student_data[#All],2,0)</f>
        <v>Civil</v>
      </c>
      <c r="C755" s="1" t="s">
        <v>1031</v>
      </c>
      <c r="D755" s="1" t="s">
        <v>1035</v>
      </c>
      <c r="E755" s="1">
        <v>4.5599999999999996</v>
      </c>
    </row>
    <row r="756" spans="1:5" x14ac:dyDescent="0.2">
      <c r="A756" s="1" t="s">
        <v>765</v>
      </c>
      <c r="B756" s="1" t="str">
        <f>VLOOKUP(Table5[[#This Row],[Student_ID]],student_data[#All],2,0)</f>
        <v>Computer Science</v>
      </c>
      <c r="C756" s="1" t="s">
        <v>1031</v>
      </c>
      <c r="D756" s="1" t="s">
        <v>1039</v>
      </c>
      <c r="E756" s="1">
        <v>4.1900000000000004</v>
      </c>
    </row>
    <row r="757" spans="1:5" x14ac:dyDescent="0.2">
      <c r="A757" s="1" t="s">
        <v>766</v>
      </c>
      <c r="B757" s="1" t="str">
        <f>VLOOKUP(Table5[[#This Row],[Student_ID]],student_data[#All],2,0)</f>
        <v>Mechanical</v>
      </c>
      <c r="C757" s="1" t="s">
        <v>1031</v>
      </c>
      <c r="D757" s="1" t="s">
        <v>1032</v>
      </c>
      <c r="E757" s="1">
        <v>5.43</v>
      </c>
    </row>
    <row r="758" spans="1:5" x14ac:dyDescent="0.2">
      <c r="A758" s="1" t="s">
        <v>767</v>
      </c>
      <c r="B758" s="1" t="str">
        <f>VLOOKUP(Table5[[#This Row],[Student_ID]],student_data[#All],2,0)</f>
        <v>Mechanical</v>
      </c>
      <c r="C758" s="1" t="s">
        <v>1031</v>
      </c>
      <c r="D758" s="1" t="s">
        <v>1038</v>
      </c>
      <c r="E758" s="1">
        <v>4.3</v>
      </c>
    </row>
    <row r="759" spans="1:5" x14ac:dyDescent="0.2">
      <c r="A759" s="1" t="s">
        <v>768</v>
      </c>
      <c r="B759" s="1" t="str">
        <f>VLOOKUP(Table5[[#This Row],[Student_ID]],student_data[#All],2,0)</f>
        <v>Mechanical</v>
      </c>
      <c r="C759" s="1" t="s">
        <v>1031</v>
      </c>
      <c r="D759" s="1" t="s">
        <v>1035</v>
      </c>
      <c r="E759" s="1">
        <v>5.15</v>
      </c>
    </row>
    <row r="760" spans="1:5" x14ac:dyDescent="0.2">
      <c r="A760" s="1" t="s">
        <v>769</v>
      </c>
      <c r="B760" s="1" t="str">
        <f>VLOOKUP(Table5[[#This Row],[Student_ID]],student_data[#All],2,0)</f>
        <v>Information Technology</v>
      </c>
      <c r="C760" s="1" t="s">
        <v>1031</v>
      </c>
      <c r="D760" s="1" t="s">
        <v>1038</v>
      </c>
      <c r="E760" s="1">
        <v>4.5</v>
      </c>
    </row>
    <row r="761" spans="1:5" x14ac:dyDescent="0.2">
      <c r="A761" s="1" t="s">
        <v>770</v>
      </c>
      <c r="B761" s="1" t="str">
        <f>VLOOKUP(Table5[[#This Row],[Student_ID]],student_data[#All],2,0)</f>
        <v>Electronics</v>
      </c>
      <c r="C761" s="1" t="s">
        <v>1033</v>
      </c>
      <c r="D761" s="1" t="s">
        <v>1034</v>
      </c>
      <c r="E761" s="1">
        <v>0</v>
      </c>
    </row>
    <row r="762" spans="1:5" x14ac:dyDescent="0.2">
      <c r="A762" s="1" t="s">
        <v>771</v>
      </c>
      <c r="B762" s="1" t="str">
        <f>VLOOKUP(Table5[[#This Row],[Student_ID]],student_data[#All],2,0)</f>
        <v>Information Technology</v>
      </c>
      <c r="C762" s="1" t="s">
        <v>1031</v>
      </c>
      <c r="D762" s="1" t="s">
        <v>1038</v>
      </c>
      <c r="E762" s="1">
        <v>5.13</v>
      </c>
    </row>
    <row r="763" spans="1:5" x14ac:dyDescent="0.2">
      <c r="A763" s="1" t="s">
        <v>772</v>
      </c>
      <c r="B763" s="1" t="str">
        <f>VLOOKUP(Table5[[#This Row],[Student_ID]],student_data[#All],2,0)</f>
        <v>Electronics</v>
      </c>
      <c r="C763" s="1" t="s">
        <v>1031</v>
      </c>
      <c r="D763" s="1" t="s">
        <v>1038</v>
      </c>
      <c r="E763" s="1">
        <v>4.1900000000000004</v>
      </c>
    </row>
    <row r="764" spans="1:5" x14ac:dyDescent="0.2">
      <c r="A764" s="1" t="s">
        <v>773</v>
      </c>
      <c r="B764" s="1" t="str">
        <f>VLOOKUP(Table5[[#This Row],[Student_ID]],student_data[#All],2,0)</f>
        <v>Mechanical</v>
      </c>
      <c r="C764" s="1" t="s">
        <v>1033</v>
      </c>
      <c r="D764" s="1" t="s">
        <v>1034</v>
      </c>
      <c r="E764" s="1">
        <v>0</v>
      </c>
    </row>
    <row r="765" spans="1:5" x14ac:dyDescent="0.2">
      <c r="A765" s="1" t="s">
        <v>774</v>
      </c>
      <c r="B765" s="1" t="str">
        <f>VLOOKUP(Table5[[#This Row],[Student_ID]],student_data[#All],2,0)</f>
        <v>Mechanical</v>
      </c>
      <c r="C765" s="1" t="s">
        <v>1031</v>
      </c>
      <c r="D765" s="1" t="s">
        <v>1038</v>
      </c>
      <c r="E765" s="1">
        <v>4.1100000000000003</v>
      </c>
    </row>
    <row r="766" spans="1:5" x14ac:dyDescent="0.2">
      <c r="A766" s="1" t="s">
        <v>775</v>
      </c>
      <c r="B766" s="1" t="str">
        <f>VLOOKUP(Table5[[#This Row],[Student_ID]],student_data[#All],2,0)</f>
        <v>Information Technology</v>
      </c>
      <c r="C766" s="1" t="s">
        <v>1033</v>
      </c>
      <c r="D766" s="1" t="s">
        <v>1034</v>
      </c>
      <c r="E766" s="1">
        <v>0</v>
      </c>
    </row>
    <row r="767" spans="1:5" x14ac:dyDescent="0.2">
      <c r="A767" s="1" t="s">
        <v>776</v>
      </c>
      <c r="B767" s="1" t="str">
        <f>VLOOKUP(Table5[[#This Row],[Student_ID]],student_data[#All],2,0)</f>
        <v>Information Technology</v>
      </c>
      <c r="C767" s="1" t="s">
        <v>1031</v>
      </c>
      <c r="D767" s="1" t="s">
        <v>1038</v>
      </c>
      <c r="E767" s="1">
        <v>4.5599999999999996</v>
      </c>
    </row>
    <row r="768" spans="1:5" x14ac:dyDescent="0.2">
      <c r="A768" s="1" t="s">
        <v>777</v>
      </c>
      <c r="B768" s="1" t="str">
        <f>VLOOKUP(Table5[[#This Row],[Student_ID]],student_data[#All],2,0)</f>
        <v>Electronics</v>
      </c>
      <c r="C768" s="1" t="s">
        <v>1031</v>
      </c>
      <c r="D768" s="1" t="s">
        <v>1032</v>
      </c>
      <c r="E768" s="1">
        <v>5.13</v>
      </c>
    </row>
    <row r="769" spans="1:5" x14ac:dyDescent="0.2">
      <c r="A769" s="1" t="s">
        <v>778</v>
      </c>
      <c r="B769" s="1" t="str">
        <f>VLOOKUP(Table5[[#This Row],[Student_ID]],student_data[#All],2,0)</f>
        <v>Civil</v>
      </c>
      <c r="C769" s="1" t="s">
        <v>1031</v>
      </c>
      <c r="D769" s="1" t="s">
        <v>1035</v>
      </c>
      <c r="E769" s="1">
        <v>5.19</v>
      </c>
    </row>
    <row r="770" spans="1:5" x14ac:dyDescent="0.2">
      <c r="A770" s="1" t="s">
        <v>779</v>
      </c>
      <c r="B770" s="1" t="str">
        <f>VLOOKUP(Table5[[#This Row],[Student_ID]],student_data[#All],2,0)</f>
        <v>Electronics</v>
      </c>
      <c r="C770" s="1" t="s">
        <v>1031</v>
      </c>
      <c r="D770" s="1" t="s">
        <v>1038</v>
      </c>
      <c r="E770" s="1">
        <v>4.12</v>
      </c>
    </row>
    <row r="771" spans="1:5" x14ac:dyDescent="0.2">
      <c r="A771" s="1" t="s">
        <v>780</v>
      </c>
      <c r="B771" s="1" t="str">
        <f>VLOOKUP(Table5[[#This Row],[Student_ID]],student_data[#All],2,0)</f>
        <v>Information Technology</v>
      </c>
      <c r="C771" s="1" t="s">
        <v>1031</v>
      </c>
      <c r="D771" s="1" t="s">
        <v>1032</v>
      </c>
      <c r="E771" s="1">
        <v>5.13</v>
      </c>
    </row>
    <row r="772" spans="1:5" x14ac:dyDescent="0.2">
      <c r="A772" s="1" t="s">
        <v>781</v>
      </c>
      <c r="B772" s="1" t="str">
        <f>VLOOKUP(Table5[[#This Row],[Student_ID]],student_data[#All],2,0)</f>
        <v>Information Technology</v>
      </c>
      <c r="C772" s="1" t="s">
        <v>1031</v>
      </c>
      <c r="D772" s="1" t="s">
        <v>1038</v>
      </c>
      <c r="E772" s="1">
        <v>4.1900000000000004</v>
      </c>
    </row>
    <row r="773" spans="1:5" x14ac:dyDescent="0.2">
      <c r="A773" s="1" t="s">
        <v>782</v>
      </c>
      <c r="B773" s="1" t="str">
        <f>VLOOKUP(Table5[[#This Row],[Student_ID]],student_data[#All],2,0)</f>
        <v>Computer Science</v>
      </c>
      <c r="C773" s="1" t="s">
        <v>1031</v>
      </c>
      <c r="D773" s="1" t="s">
        <v>1032</v>
      </c>
      <c r="E773" s="1">
        <v>4.5</v>
      </c>
    </row>
    <row r="774" spans="1:5" x14ac:dyDescent="0.2">
      <c r="A774" s="1" t="s">
        <v>783</v>
      </c>
      <c r="B774" s="1" t="str">
        <f>VLOOKUP(Table5[[#This Row],[Student_ID]],student_data[#All],2,0)</f>
        <v>Information Technology</v>
      </c>
      <c r="C774" s="1" t="s">
        <v>1033</v>
      </c>
      <c r="D774" s="1" t="s">
        <v>1034</v>
      </c>
      <c r="E774" s="1">
        <v>0</v>
      </c>
    </row>
    <row r="775" spans="1:5" x14ac:dyDescent="0.2">
      <c r="A775" s="1" t="s">
        <v>784</v>
      </c>
      <c r="B775" s="1" t="str">
        <f>VLOOKUP(Table5[[#This Row],[Student_ID]],student_data[#All],2,0)</f>
        <v>Computer Science</v>
      </c>
      <c r="C775" s="1" t="s">
        <v>1031</v>
      </c>
      <c r="D775" s="1" t="s">
        <v>1035</v>
      </c>
      <c r="E775" s="1">
        <v>4.1100000000000003</v>
      </c>
    </row>
    <row r="776" spans="1:5" x14ac:dyDescent="0.2">
      <c r="A776" s="1" t="s">
        <v>785</v>
      </c>
      <c r="B776" s="1" t="str">
        <f>VLOOKUP(Table5[[#This Row],[Student_ID]],student_data[#All],2,0)</f>
        <v>Civil</v>
      </c>
      <c r="C776" s="1" t="s">
        <v>1033</v>
      </c>
      <c r="D776" s="1" t="s">
        <v>1034</v>
      </c>
      <c r="E776" s="1">
        <v>0</v>
      </c>
    </row>
    <row r="777" spans="1:5" x14ac:dyDescent="0.2">
      <c r="A777" s="1" t="s">
        <v>786</v>
      </c>
      <c r="B777" s="1" t="str">
        <f>VLOOKUP(Table5[[#This Row],[Student_ID]],student_data[#All],2,0)</f>
        <v>Electronics</v>
      </c>
      <c r="C777" s="1" t="s">
        <v>1031</v>
      </c>
      <c r="D777" s="1" t="s">
        <v>1032</v>
      </c>
      <c r="E777" s="1">
        <v>5.13</v>
      </c>
    </row>
    <row r="778" spans="1:5" x14ac:dyDescent="0.2">
      <c r="A778" s="1" t="s">
        <v>787</v>
      </c>
      <c r="B778" s="1" t="str">
        <f>VLOOKUP(Table5[[#This Row],[Student_ID]],student_data[#All],2,0)</f>
        <v>Electronics</v>
      </c>
      <c r="C778" s="1" t="s">
        <v>1031</v>
      </c>
      <c r="D778" s="1" t="s">
        <v>1032</v>
      </c>
      <c r="E778" s="1">
        <v>5.19</v>
      </c>
    </row>
    <row r="779" spans="1:5" x14ac:dyDescent="0.2">
      <c r="A779" s="1" t="s">
        <v>788</v>
      </c>
      <c r="B779" s="1" t="str">
        <f>VLOOKUP(Table5[[#This Row],[Student_ID]],student_data[#All],2,0)</f>
        <v>Computer Science</v>
      </c>
      <c r="C779" s="1" t="s">
        <v>1031</v>
      </c>
      <c r="D779" s="1" t="s">
        <v>1038</v>
      </c>
      <c r="E779" s="1">
        <v>3.95</v>
      </c>
    </row>
    <row r="780" spans="1:5" x14ac:dyDescent="0.2">
      <c r="A780" s="1" t="s">
        <v>789</v>
      </c>
      <c r="B780" s="1" t="str">
        <f>VLOOKUP(Table5[[#This Row],[Student_ID]],student_data[#All],2,0)</f>
        <v>Electronics</v>
      </c>
      <c r="C780" s="1" t="s">
        <v>1031</v>
      </c>
      <c r="D780" s="1" t="s">
        <v>1038</v>
      </c>
      <c r="E780" s="1">
        <v>4.5</v>
      </c>
    </row>
    <row r="781" spans="1:5" x14ac:dyDescent="0.2">
      <c r="A781" s="1" t="s">
        <v>790</v>
      </c>
      <c r="B781" s="1" t="str">
        <f>VLOOKUP(Table5[[#This Row],[Student_ID]],student_data[#All],2,0)</f>
        <v>Information Technology</v>
      </c>
      <c r="C781" s="1" t="s">
        <v>1033</v>
      </c>
      <c r="D781" s="1" t="s">
        <v>1034</v>
      </c>
      <c r="E781" s="1">
        <v>0</v>
      </c>
    </row>
    <row r="782" spans="1:5" x14ac:dyDescent="0.2">
      <c r="A782" s="1" t="s">
        <v>791</v>
      </c>
      <c r="B782" s="1" t="str">
        <f>VLOOKUP(Table5[[#This Row],[Student_ID]],student_data[#All],2,0)</f>
        <v>Mechanical</v>
      </c>
      <c r="C782" s="1" t="s">
        <v>1031</v>
      </c>
      <c r="D782" s="1" t="s">
        <v>1038</v>
      </c>
      <c r="E782" s="1">
        <v>4.3499999999999996</v>
      </c>
    </row>
    <row r="783" spans="1:5" x14ac:dyDescent="0.2">
      <c r="A783" s="1" t="s">
        <v>792</v>
      </c>
      <c r="B783" s="1" t="str">
        <f>VLOOKUP(Table5[[#This Row],[Student_ID]],student_data[#All],2,0)</f>
        <v>Computer Science</v>
      </c>
      <c r="C783" s="1" t="s">
        <v>1031</v>
      </c>
      <c r="D783" s="1" t="s">
        <v>1032</v>
      </c>
      <c r="E783" s="1">
        <v>4.12</v>
      </c>
    </row>
    <row r="784" spans="1:5" x14ac:dyDescent="0.2">
      <c r="A784" s="1" t="s">
        <v>793</v>
      </c>
      <c r="B784" s="1" t="str">
        <f>VLOOKUP(Table5[[#This Row],[Student_ID]],student_data[#All],2,0)</f>
        <v>Electronics</v>
      </c>
      <c r="C784" s="1" t="s">
        <v>1031</v>
      </c>
      <c r="D784" s="1" t="s">
        <v>1032</v>
      </c>
      <c r="E784" s="1">
        <v>5.43</v>
      </c>
    </row>
    <row r="785" spans="1:5" x14ac:dyDescent="0.2">
      <c r="A785" s="1" t="s">
        <v>794</v>
      </c>
      <c r="B785" s="1" t="str">
        <f>VLOOKUP(Table5[[#This Row],[Student_ID]],student_data[#All],2,0)</f>
        <v>Computer Science</v>
      </c>
      <c r="C785" s="1" t="s">
        <v>1033</v>
      </c>
      <c r="D785" s="1" t="s">
        <v>1034</v>
      </c>
      <c r="E785" s="1">
        <v>0</v>
      </c>
    </row>
    <row r="786" spans="1:5" x14ac:dyDescent="0.2">
      <c r="A786" s="1" t="s">
        <v>795</v>
      </c>
      <c r="B786" s="1" t="str">
        <f>VLOOKUP(Table5[[#This Row],[Student_ID]],student_data[#All],2,0)</f>
        <v>Computer Science</v>
      </c>
      <c r="C786" s="1" t="s">
        <v>1031</v>
      </c>
      <c r="D786" s="1" t="s">
        <v>1038</v>
      </c>
      <c r="E786" s="1">
        <v>4.1900000000000004</v>
      </c>
    </row>
    <row r="787" spans="1:5" x14ac:dyDescent="0.2">
      <c r="A787" s="1" t="s">
        <v>796</v>
      </c>
      <c r="B787" s="1" t="str">
        <f>VLOOKUP(Table5[[#This Row],[Student_ID]],student_data[#All],2,0)</f>
        <v>Mechanical</v>
      </c>
      <c r="C787" s="1" t="s">
        <v>1031</v>
      </c>
      <c r="D787" s="1" t="s">
        <v>1038</v>
      </c>
      <c r="E787" s="1">
        <v>4.1100000000000003</v>
      </c>
    </row>
    <row r="788" spans="1:5" x14ac:dyDescent="0.2">
      <c r="A788" s="1" t="s">
        <v>797</v>
      </c>
      <c r="B788" s="1" t="str">
        <f>VLOOKUP(Table5[[#This Row],[Student_ID]],student_data[#All],2,0)</f>
        <v>Information Technology</v>
      </c>
      <c r="C788" s="1" t="s">
        <v>1033</v>
      </c>
      <c r="D788" s="1" t="s">
        <v>1034</v>
      </c>
      <c r="E788" s="1">
        <v>0</v>
      </c>
    </row>
    <row r="789" spans="1:5" x14ac:dyDescent="0.2">
      <c r="A789" s="1" t="s">
        <v>798</v>
      </c>
      <c r="B789" s="1" t="str">
        <f>VLOOKUP(Table5[[#This Row],[Student_ID]],student_data[#All],2,0)</f>
        <v>Computer Science</v>
      </c>
      <c r="C789" s="1" t="s">
        <v>1031</v>
      </c>
      <c r="D789" s="1" t="s">
        <v>1035</v>
      </c>
      <c r="E789" s="1">
        <v>4.5599999999999996</v>
      </c>
    </row>
    <row r="790" spans="1:5" x14ac:dyDescent="0.2">
      <c r="A790" s="1" t="s">
        <v>799</v>
      </c>
      <c r="B790" s="1" t="str">
        <f>VLOOKUP(Table5[[#This Row],[Student_ID]],student_data[#All],2,0)</f>
        <v>Electronics</v>
      </c>
      <c r="C790" s="1" t="s">
        <v>1031</v>
      </c>
      <c r="D790" s="1" t="s">
        <v>1038</v>
      </c>
      <c r="E790" s="1">
        <v>5.13</v>
      </c>
    </row>
    <row r="791" spans="1:5" x14ac:dyDescent="0.2">
      <c r="A791" s="1" t="s">
        <v>800</v>
      </c>
      <c r="B791" s="1" t="str">
        <f>VLOOKUP(Table5[[#This Row],[Student_ID]],student_data[#All],2,0)</f>
        <v>Civil</v>
      </c>
      <c r="C791" s="1" t="s">
        <v>1033</v>
      </c>
      <c r="D791" s="1" t="s">
        <v>1034</v>
      </c>
      <c r="E791" s="1">
        <v>0</v>
      </c>
    </row>
    <row r="792" spans="1:5" x14ac:dyDescent="0.2">
      <c r="A792" s="1" t="s">
        <v>801</v>
      </c>
      <c r="B792" s="1" t="str">
        <f>VLOOKUP(Table5[[#This Row],[Student_ID]],student_data[#All],2,0)</f>
        <v>Computer Science</v>
      </c>
      <c r="C792" s="1" t="s">
        <v>1031</v>
      </c>
      <c r="D792" s="1" t="s">
        <v>1038</v>
      </c>
      <c r="E792" s="1">
        <v>4.12</v>
      </c>
    </row>
    <row r="793" spans="1:5" x14ac:dyDescent="0.2">
      <c r="A793" s="1" t="s">
        <v>802</v>
      </c>
      <c r="B793" s="1" t="str">
        <f>VLOOKUP(Table5[[#This Row],[Student_ID]],student_data[#All],2,0)</f>
        <v>Computer Science</v>
      </c>
      <c r="C793" s="1" t="s">
        <v>1031</v>
      </c>
      <c r="D793" s="1" t="s">
        <v>1038</v>
      </c>
      <c r="E793" s="1">
        <v>4.3499999999999996</v>
      </c>
    </row>
    <row r="794" spans="1:5" x14ac:dyDescent="0.2">
      <c r="A794" s="1" t="s">
        <v>803</v>
      </c>
      <c r="B794" s="1" t="str">
        <f>VLOOKUP(Table5[[#This Row],[Student_ID]],student_data[#All],2,0)</f>
        <v>Mechanical</v>
      </c>
      <c r="C794" s="1" t="s">
        <v>1031</v>
      </c>
      <c r="D794" s="1" t="s">
        <v>1032</v>
      </c>
      <c r="E794" s="1">
        <v>4.5</v>
      </c>
    </row>
    <row r="795" spans="1:5" x14ac:dyDescent="0.2">
      <c r="A795" s="1" t="s">
        <v>804</v>
      </c>
      <c r="B795" s="1" t="str">
        <f>VLOOKUP(Table5[[#This Row],[Student_ID]],student_data[#All],2,0)</f>
        <v>Information Technology</v>
      </c>
      <c r="C795" s="1" t="s">
        <v>1031</v>
      </c>
      <c r="D795" s="1" t="s">
        <v>1038</v>
      </c>
      <c r="E795" s="1">
        <v>4.1900000000000004</v>
      </c>
    </row>
    <row r="796" spans="1:5" x14ac:dyDescent="0.2">
      <c r="A796" s="1" t="s">
        <v>805</v>
      </c>
      <c r="B796" s="1" t="str">
        <f>VLOOKUP(Table5[[#This Row],[Student_ID]],student_data[#All],2,0)</f>
        <v>Civil</v>
      </c>
      <c r="C796" s="1" t="s">
        <v>1031</v>
      </c>
      <c r="D796" s="1" t="s">
        <v>1038</v>
      </c>
      <c r="E796" s="1">
        <v>4.1100000000000003</v>
      </c>
    </row>
    <row r="797" spans="1:5" x14ac:dyDescent="0.2">
      <c r="A797" s="1" t="s">
        <v>806</v>
      </c>
      <c r="B797" s="1" t="str">
        <f>VLOOKUP(Table5[[#This Row],[Student_ID]],student_data[#All],2,0)</f>
        <v>Electronics</v>
      </c>
      <c r="C797" s="1" t="s">
        <v>1031</v>
      </c>
      <c r="D797" s="1" t="s">
        <v>1035</v>
      </c>
      <c r="E797" s="1">
        <v>4.53</v>
      </c>
    </row>
    <row r="798" spans="1:5" x14ac:dyDescent="0.2">
      <c r="A798" s="1" t="s">
        <v>807</v>
      </c>
      <c r="B798" s="1" t="str">
        <f>VLOOKUP(Table5[[#This Row],[Student_ID]],student_data[#All],2,0)</f>
        <v>Civil</v>
      </c>
      <c r="C798" s="1" t="s">
        <v>1031</v>
      </c>
      <c r="D798" s="1" t="s">
        <v>1035</v>
      </c>
      <c r="E798" s="1">
        <v>5.13</v>
      </c>
    </row>
    <row r="799" spans="1:5" x14ac:dyDescent="0.2">
      <c r="A799" s="1" t="s">
        <v>808</v>
      </c>
      <c r="B799" s="1" t="str">
        <f>VLOOKUP(Table5[[#This Row],[Student_ID]],student_data[#All],2,0)</f>
        <v>Electronics</v>
      </c>
      <c r="C799" s="1" t="s">
        <v>1033</v>
      </c>
      <c r="D799" s="1" t="s">
        <v>1034</v>
      </c>
      <c r="E799" s="1">
        <v>0</v>
      </c>
    </row>
    <row r="800" spans="1:5" x14ac:dyDescent="0.2">
      <c r="A800" s="1" t="s">
        <v>809</v>
      </c>
      <c r="B800" s="1" t="str">
        <f>VLOOKUP(Table5[[#This Row],[Student_ID]],student_data[#All],2,0)</f>
        <v>Information Technology</v>
      </c>
      <c r="C800" s="1" t="s">
        <v>1031</v>
      </c>
      <c r="D800" s="1" t="s">
        <v>1038</v>
      </c>
      <c r="E800" s="1">
        <v>4.5</v>
      </c>
    </row>
    <row r="801" spans="1:5" x14ac:dyDescent="0.2">
      <c r="A801" s="1" t="s">
        <v>810</v>
      </c>
      <c r="B801" s="1" t="str">
        <f>VLOOKUP(Table5[[#This Row],[Student_ID]],student_data[#All],2,0)</f>
        <v>Electronics</v>
      </c>
      <c r="C801" s="1" t="s">
        <v>1031</v>
      </c>
      <c r="D801" s="1" t="s">
        <v>1038</v>
      </c>
      <c r="E801" s="1">
        <v>4.3499999999999996</v>
      </c>
    </row>
    <row r="802" spans="1:5" x14ac:dyDescent="0.2">
      <c r="A802" s="1" t="s">
        <v>811</v>
      </c>
      <c r="B802" s="1" t="str">
        <f>VLOOKUP(Table5[[#This Row],[Student_ID]],student_data[#All],2,0)</f>
        <v>Mechanical</v>
      </c>
      <c r="C802" s="1" t="s">
        <v>1031</v>
      </c>
      <c r="D802" s="1" t="s">
        <v>1038</v>
      </c>
      <c r="E802" s="1">
        <v>4.1900000000000004</v>
      </c>
    </row>
    <row r="803" spans="1:5" x14ac:dyDescent="0.2">
      <c r="A803" s="1" t="s">
        <v>812</v>
      </c>
      <c r="B803" s="1" t="str">
        <f>VLOOKUP(Table5[[#This Row],[Student_ID]],student_data[#All],2,0)</f>
        <v>Mechanical</v>
      </c>
      <c r="C803" s="1" t="s">
        <v>1031</v>
      </c>
      <c r="D803" s="1" t="s">
        <v>1032</v>
      </c>
      <c r="E803" s="1">
        <v>5.13</v>
      </c>
    </row>
    <row r="804" spans="1:5" x14ac:dyDescent="0.2">
      <c r="A804" s="1" t="s">
        <v>813</v>
      </c>
      <c r="B804" s="1" t="str">
        <f>VLOOKUP(Table5[[#This Row],[Student_ID]],student_data[#All],2,0)</f>
        <v>Mechanical</v>
      </c>
      <c r="C804" s="1" t="s">
        <v>1031</v>
      </c>
      <c r="D804" s="1" t="s">
        <v>1035</v>
      </c>
      <c r="E804" s="1">
        <v>4.12</v>
      </c>
    </row>
    <row r="805" spans="1:5" x14ac:dyDescent="0.2">
      <c r="A805" s="1" t="s">
        <v>814</v>
      </c>
      <c r="B805" s="1" t="str">
        <f>VLOOKUP(Table5[[#This Row],[Student_ID]],student_data[#All],2,0)</f>
        <v>Mechanical</v>
      </c>
      <c r="C805" s="1" t="s">
        <v>1031</v>
      </c>
      <c r="D805" s="1" t="s">
        <v>1038</v>
      </c>
      <c r="E805" s="1">
        <v>4.5599999999999996</v>
      </c>
    </row>
    <row r="806" spans="1:5" x14ac:dyDescent="0.2">
      <c r="A806" s="1" t="s">
        <v>815</v>
      </c>
      <c r="B806" s="1" t="str">
        <f>VLOOKUP(Table5[[#This Row],[Student_ID]],student_data[#All],2,0)</f>
        <v>Civil</v>
      </c>
      <c r="C806" s="1" t="s">
        <v>1033</v>
      </c>
      <c r="D806" s="1" t="s">
        <v>1034</v>
      </c>
      <c r="E806" s="1">
        <v>0</v>
      </c>
    </row>
    <row r="807" spans="1:5" x14ac:dyDescent="0.2">
      <c r="A807" s="1" t="s">
        <v>816</v>
      </c>
      <c r="B807" s="1" t="str">
        <f>VLOOKUP(Table5[[#This Row],[Student_ID]],student_data[#All],2,0)</f>
        <v>Information Technology</v>
      </c>
      <c r="C807" s="1" t="s">
        <v>1031</v>
      </c>
      <c r="D807" s="1" t="s">
        <v>1038</v>
      </c>
      <c r="E807" s="1">
        <v>5.13</v>
      </c>
    </row>
    <row r="808" spans="1:5" x14ac:dyDescent="0.2">
      <c r="A808" s="1" t="s">
        <v>817</v>
      </c>
      <c r="B808" s="1" t="str">
        <f>VLOOKUP(Table5[[#This Row],[Student_ID]],student_data[#All],2,0)</f>
        <v>Electronics</v>
      </c>
      <c r="C808" s="1" t="s">
        <v>1031</v>
      </c>
      <c r="D808" s="1" t="s">
        <v>1032</v>
      </c>
      <c r="E808" s="1">
        <v>5.19</v>
      </c>
    </row>
    <row r="809" spans="1:5" x14ac:dyDescent="0.2">
      <c r="A809" s="1" t="s">
        <v>818</v>
      </c>
      <c r="B809" s="1" t="str">
        <f>VLOOKUP(Table5[[#This Row],[Student_ID]],student_data[#All],2,0)</f>
        <v>Electronics</v>
      </c>
      <c r="C809" s="1" t="s">
        <v>1031</v>
      </c>
      <c r="D809" s="1" t="s">
        <v>1032</v>
      </c>
      <c r="E809" s="1">
        <v>4.5</v>
      </c>
    </row>
    <row r="810" spans="1:5" x14ac:dyDescent="0.2">
      <c r="A810" s="1" t="s">
        <v>819</v>
      </c>
      <c r="B810" s="1" t="str">
        <f>VLOOKUP(Table5[[#This Row],[Student_ID]],student_data[#All],2,0)</f>
        <v>Mechanical</v>
      </c>
      <c r="C810" s="1" t="s">
        <v>1031</v>
      </c>
      <c r="D810" s="1" t="s">
        <v>1038</v>
      </c>
      <c r="E810" s="1">
        <v>4.1900000000000004</v>
      </c>
    </row>
    <row r="811" spans="1:5" x14ac:dyDescent="0.2">
      <c r="A811" s="1" t="s">
        <v>820</v>
      </c>
      <c r="B811" s="1" t="str">
        <f>VLOOKUP(Table5[[#This Row],[Student_ID]],student_data[#All],2,0)</f>
        <v>Mechanical</v>
      </c>
      <c r="C811" s="1" t="s">
        <v>1031</v>
      </c>
      <c r="D811" s="1" t="s">
        <v>1038</v>
      </c>
      <c r="E811" s="1">
        <v>4.1100000000000003</v>
      </c>
    </row>
    <row r="812" spans="1:5" x14ac:dyDescent="0.2">
      <c r="A812" s="1" t="s">
        <v>821</v>
      </c>
      <c r="B812" s="1" t="str">
        <f>VLOOKUP(Table5[[#This Row],[Student_ID]],student_data[#All],2,0)</f>
        <v>Computer Science</v>
      </c>
      <c r="C812" s="1" t="s">
        <v>1033</v>
      </c>
      <c r="D812" s="1" t="s">
        <v>1034</v>
      </c>
      <c r="E812" s="1">
        <v>0</v>
      </c>
    </row>
    <row r="813" spans="1:5" x14ac:dyDescent="0.2">
      <c r="A813" s="1" t="s">
        <v>822</v>
      </c>
      <c r="B813" s="1" t="str">
        <f>VLOOKUP(Table5[[#This Row],[Student_ID]],student_data[#All],2,0)</f>
        <v>Information Technology</v>
      </c>
      <c r="C813" s="1" t="s">
        <v>1031</v>
      </c>
      <c r="D813" s="1" t="s">
        <v>1035</v>
      </c>
      <c r="E813" s="1">
        <v>4.5599999999999996</v>
      </c>
    </row>
    <row r="814" spans="1:5" x14ac:dyDescent="0.2">
      <c r="A814" s="1" t="s">
        <v>823</v>
      </c>
      <c r="B814" s="1" t="str">
        <f>VLOOKUP(Table5[[#This Row],[Student_ID]],student_data[#All],2,0)</f>
        <v>Civil</v>
      </c>
      <c r="C814" s="1" t="s">
        <v>1031</v>
      </c>
      <c r="D814" s="1" t="s">
        <v>1038</v>
      </c>
      <c r="E814" s="1">
        <v>5.13</v>
      </c>
    </row>
    <row r="815" spans="1:5" x14ac:dyDescent="0.2">
      <c r="A815" s="1" t="s">
        <v>824</v>
      </c>
      <c r="B815" s="1" t="str">
        <f>VLOOKUP(Table5[[#This Row],[Student_ID]],student_data[#All],2,0)</f>
        <v>Electronics</v>
      </c>
      <c r="C815" s="1" t="s">
        <v>1033</v>
      </c>
      <c r="D815" s="1" t="s">
        <v>1034</v>
      </c>
      <c r="E815" s="1">
        <v>0</v>
      </c>
    </row>
    <row r="816" spans="1:5" x14ac:dyDescent="0.2">
      <c r="A816" s="1" t="s">
        <v>825</v>
      </c>
      <c r="B816" s="1" t="str">
        <f>VLOOKUP(Table5[[#This Row],[Student_ID]],student_data[#All],2,0)</f>
        <v>Computer Science</v>
      </c>
      <c r="C816" s="1" t="s">
        <v>1031</v>
      </c>
      <c r="D816" s="1" t="s">
        <v>1038</v>
      </c>
      <c r="E816" s="1">
        <v>4.12</v>
      </c>
    </row>
    <row r="817" spans="1:5" x14ac:dyDescent="0.2">
      <c r="A817" s="1" t="s">
        <v>826</v>
      </c>
      <c r="B817" s="1" t="str">
        <f>VLOOKUP(Table5[[#This Row],[Student_ID]],student_data[#All],2,0)</f>
        <v>Computer Science</v>
      </c>
      <c r="C817" s="1" t="s">
        <v>1031</v>
      </c>
      <c r="D817" s="1" t="s">
        <v>1038</v>
      </c>
      <c r="E817" s="1">
        <v>4.3499999999999996</v>
      </c>
    </row>
    <row r="818" spans="1:5" x14ac:dyDescent="0.2">
      <c r="A818" s="1" t="s">
        <v>827</v>
      </c>
      <c r="B818" s="1" t="str">
        <f>VLOOKUP(Table5[[#This Row],[Student_ID]],student_data[#All],2,0)</f>
        <v>Electronics</v>
      </c>
      <c r="C818" s="1" t="s">
        <v>1031</v>
      </c>
      <c r="D818" s="1" t="s">
        <v>1032</v>
      </c>
      <c r="E818" s="1">
        <v>4.5</v>
      </c>
    </row>
    <row r="819" spans="1:5" x14ac:dyDescent="0.2">
      <c r="A819" s="1" t="s">
        <v>828</v>
      </c>
      <c r="B819" s="1" t="str">
        <f>VLOOKUP(Table5[[#This Row],[Student_ID]],student_data[#All],2,0)</f>
        <v>Civil</v>
      </c>
      <c r="C819" s="1" t="s">
        <v>1031</v>
      </c>
      <c r="D819" s="1" t="s">
        <v>1038</v>
      </c>
      <c r="E819" s="1">
        <v>4.1900000000000004</v>
      </c>
    </row>
    <row r="820" spans="1:5" x14ac:dyDescent="0.2">
      <c r="A820" s="1" t="s">
        <v>829</v>
      </c>
      <c r="B820" s="1" t="str">
        <f>VLOOKUP(Table5[[#This Row],[Student_ID]],student_data[#All],2,0)</f>
        <v>Computer Science</v>
      </c>
      <c r="C820" s="1" t="s">
        <v>1031</v>
      </c>
      <c r="D820" s="1" t="s">
        <v>1038</v>
      </c>
      <c r="E820" s="1">
        <v>4.1100000000000003</v>
      </c>
    </row>
    <row r="821" spans="1:5" x14ac:dyDescent="0.2">
      <c r="A821" s="1" t="s">
        <v>830</v>
      </c>
      <c r="B821" s="1" t="str">
        <f>VLOOKUP(Table5[[#This Row],[Student_ID]],student_data[#All],2,0)</f>
        <v>Computer Science</v>
      </c>
      <c r="C821" s="1" t="s">
        <v>1031</v>
      </c>
      <c r="D821" s="1" t="s">
        <v>1035</v>
      </c>
      <c r="E821" s="1">
        <v>4.53</v>
      </c>
    </row>
    <row r="822" spans="1:5" x14ac:dyDescent="0.2">
      <c r="A822" s="1" t="s">
        <v>831</v>
      </c>
      <c r="B822" s="1" t="str">
        <f>VLOOKUP(Table5[[#This Row],[Student_ID]],student_data[#All],2,0)</f>
        <v>Information Technology</v>
      </c>
      <c r="C822" s="1" t="s">
        <v>1031</v>
      </c>
      <c r="D822" s="1" t="s">
        <v>1035</v>
      </c>
      <c r="E822" s="1">
        <v>5.13</v>
      </c>
    </row>
    <row r="823" spans="1:5" x14ac:dyDescent="0.2">
      <c r="A823" s="1" t="s">
        <v>832</v>
      </c>
      <c r="B823" s="1" t="str">
        <f>VLOOKUP(Table5[[#This Row],[Student_ID]],student_data[#All],2,0)</f>
        <v>Civil</v>
      </c>
      <c r="C823" s="1" t="s">
        <v>1033</v>
      </c>
      <c r="D823" s="1" t="s">
        <v>1034</v>
      </c>
      <c r="E823" s="1">
        <v>0</v>
      </c>
    </row>
    <row r="824" spans="1:5" x14ac:dyDescent="0.2">
      <c r="A824" s="1" t="s">
        <v>833</v>
      </c>
      <c r="B824" s="1" t="str">
        <f>VLOOKUP(Table5[[#This Row],[Student_ID]],student_data[#All],2,0)</f>
        <v>Computer Science</v>
      </c>
      <c r="C824" s="1" t="s">
        <v>1031</v>
      </c>
      <c r="D824" s="1" t="s">
        <v>1038</v>
      </c>
      <c r="E824" s="1">
        <v>4.5</v>
      </c>
    </row>
    <row r="825" spans="1:5" x14ac:dyDescent="0.2">
      <c r="A825" s="1" t="s">
        <v>834</v>
      </c>
      <c r="B825" s="1" t="str">
        <f>VLOOKUP(Table5[[#This Row],[Student_ID]],student_data[#All],2,0)</f>
        <v>Civil</v>
      </c>
      <c r="C825" s="1" t="s">
        <v>1031</v>
      </c>
      <c r="D825" s="1" t="s">
        <v>1038</v>
      </c>
      <c r="E825" s="1">
        <v>4.3499999999999996</v>
      </c>
    </row>
    <row r="826" spans="1:5" x14ac:dyDescent="0.2">
      <c r="A826" s="1" t="s">
        <v>835</v>
      </c>
      <c r="B826" s="1" t="str">
        <f>VLOOKUP(Table5[[#This Row],[Student_ID]],student_data[#All],2,0)</f>
        <v>Electronics</v>
      </c>
      <c r="C826" s="1" t="s">
        <v>1031</v>
      </c>
      <c r="D826" s="1" t="s">
        <v>1038</v>
      </c>
      <c r="E826" s="1">
        <v>4.1900000000000004</v>
      </c>
    </row>
    <row r="827" spans="1:5" x14ac:dyDescent="0.2">
      <c r="A827" s="1" t="s">
        <v>836</v>
      </c>
      <c r="B827" s="1" t="str">
        <f>VLOOKUP(Table5[[#This Row],[Student_ID]],student_data[#All],2,0)</f>
        <v>Mechanical</v>
      </c>
      <c r="C827" s="1" t="s">
        <v>1031</v>
      </c>
      <c r="D827" s="1" t="s">
        <v>1032</v>
      </c>
      <c r="E827" s="1">
        <v>5.13</v>
      </c>
    </row>
    <row r="828" spans="1:5" x14ac:dyDescent="0.2">
      <c r="A828" s="1" t="s">
        <v>837</v>
      </c>
      <c r="B828" s="1" t="str">
        <f>VLOOKUP(Table5[[#This Row],[Student_ID]],student_data[#All],2,0)</f>
        <v>Computer Science</v>
      </c>
      <c r="C828" s="1" t="s">
        <v>1031</v>
      </c>
      <c r="D828" s="1" t="s">
        <v>1035</v>
      </c>
      <c r="E828" s="1">
        <v>4.12</v>
      </c>
    </row>
    <row r="829" spans="1:5" x14ac:dyDescent="0.2">
      <c r="A829" s="1" t="s">
        <v>838</v>
      </c>
      <c r="B829" s="1" t="str">
        <f>VLOOKUP(Table5[[#This Row],[Student_ID]],student_data[#All],2,0)</f>
        <v>Information Technology</v>
      </c>
      <c r="C829" s="1" t="s">
        <v>1031</v>
      </c>
      <c r="D829" s="1" t="s">
        <v>1038</v>
      </c>
      <c r="E829" s="1">
        <v>4.5599999999999996</v>
      </c>
    </row>
    <row r="830" spans="1:5" x14ac:dyDescent="0.2">
      <c r="A830" s="1" t="s">
        <v>839</v>
      </c>
      <c r="B830" s="1" t="str">
        <f>VLOOKUP(Table5[[#This Row],[Student_ID]],student_data[#All],2,0)</f>
        <v>Electronics</v>
      </c>
      <c r="C830" s="1" t="s">
        <v>1033</v>
      </c>
      <c r="D830" s="1" t="s">
        <v>1034</v>
      </c>
      <c r="E830" s="1">
        <v>0</v>
      </c>
    </row>
    <row r="831" spans="1:5" x14ac:dyDescent="0.2">
      <c r="A831" s="1" t="s">
        <v>840</v>
      </c>
      <c r="B831" s="1" t="str">
        <f>VLOOKUP(Table5[[#This Row],[Student_ID]],student_data[#All],2,0)</f>
        <v>Civil</v>
      </c>
      <c r="C831" s="1" t="s">
        <v>1031</v>
      </c>
      <c r="D831" s="1" t="s">
        <v>1038</v>
      </c>
      <c r="E831" s="1">
        <v>5.13</v>
      </c>
    </row>
    <row r="832" spans="1:5" x14ac:dyDescent="0.2">
      <c r="A832" s="1" t="s">
        <v>841</v>
      </c>
      <c r="B832" s="1" t="str">
        <f>VLOOKUP(Table5[[#This Row],[Student_ID]],student_data[#All],2,0)</f>
        <v>Electronics</v>
      </c>
      <c r="C832" s="1" t="s">
        <v>1031</v>
      </c>
      <c r="D832" s="1" t="s">
        <v>1032</v>
      </c>
      <c r="E832" s="1">
        <v>5.19</v>
      </c>
    </row>
    <row r="833" spans="1:5" x14ac:dyDescent="0.2">
      <c r="A833" s="1" t="s">
        <v>842</v>
      </c>
      <c r="B833" s="1" t="str">
        <f>VLOOKUP(Table5[[#This Row],[Student_ID]],student_data[#All],2,0)</f>
        <v>Computer Science</v>
      </c>
      <c r="C833" s="1" t="s">
        <v>1031</v>
      </c>
      <c r="D833" s="1" t="s">
        <v>1032</v>
      </c>
      <c r="E833" s="1">
        <v>4.5</v>
      </c>
    </row>
    <row r="834" spans="1:5" x14ac:dyDescent="0.2">
      <c r="A834" s="1" t="s">
        <v>843</v>
      </c>
      <c r="B834" s="1" t="str">
        <f>VLOOKUP(Table5[[#This Row],[Student_ID]],student_data[#All],2,0)</f>
        <v>Civil</v>
      </c>
      <c r="C834" s="1" t="s">
        <v>1031</v>
      </c>
      <c r="D834" s="1" t="s">
        <v>1038</v>
      </c>
      <c r="E834" s="1">
        <v>4.1900000000000004</v>
      </c>
    </row>
    <row r="835" spans="1:5" x14ac:dyDescent="0.2">
      <c r="A835" s="1" t="s">
        <v>844</v>
      </c>
      <c r="B835" s="1" t="str">
        <f>VLOOKUP(Table5[[#This Row],[Student_ID]],student_data[#All],2,0)</f>
        <v>Mechanical</v>
      </c>
      <c r="C835" s="1" t="s">
        <v>1031</v>
      </c>
      <c r="D835" s="1" t="s">
        <v>1038</v>
      </c>
      <c r="E835" s="1">
        <v>4.1100000000000003</v>
      </c>
    </row>
    <row r="836" spans="1:5" x14ac:dyDescent="0.2">
      <c r="A836" s="1" t="s">
        <v>845</v>
      </c>
      <c r="B836" s="1" t="str">
        <f>VLOOKUP(Table5[[#This Row],[Student_ID]],student_data[#All],2,0)</f>
        <v>Electronics</v>
      </c>
      <c r="C836" s="1" t="s">
        <v>1033</v>
      </c>
      <c r="D836" s="1" t="s">
        <v>1034</v>
      </c>
      <c r="E836" s="1">
        <v>0</v>
      </c>
    </row>
    <row r="837" spans="1:5" x14ac:dyDescent="0.2">
      <c r="A837" s="1" t="s">
        <v>846</v>
      </c>
      <c r="B837" s="1" t="str">
        <f>VLOOKUP(Table5[[#This Row],[Student_ID]],student_data[#All],2,0)</f>
        <v>Computer Science</v>
      </c>
      <c r="C837" s="1" t="s">
        <v>1031</v>
      </c>
      <c r="D837" s="1" t="s">
        <v>1035</v>
      </c>
      <c r="E837" s="1">
        <v>4.5599999999999996</v>
      </c>
    </row>
    <row r="838" spans="1:5" x14ac:dyDescent="0.2">
      <c r="A838" s="1" t="s">
        <v>847</v>
      </c>
      <c r="B838" s="1" t="str">
        <f>VLOOKUP(Table5[[#This Row],[Student_ID]],student_data[#All],2,0)</f>
        <v>Information Technology</v>
      </c>
      <c r="C838" s="1" t="s">
        <v>1031</v>
      </c>
      <c r="D838" s="1" t="s">
        <v>1038</v>
      </c>
      <c r="E838" s="1">
        <v>5.13</v>
      </c>
    </row>
    <row r="839" spans="1:5" x14ac:dyDescent="0.2">
      <c r="A839" s="1" t="s">
        <v>848</v>
      </c>
      <c r="B839" s="1" t="str">
        <f>VLOOKUP(Table5[[#This Row],[Student_ID]],student_data[#All],2,0)</f>
        <v>Civil</v>
      </c>
      <c r="C839" s="1" t="s">
        <v>1033</v>
      </c>
      <c r="D839" s="1" t="s">
        <v>1034</v>
      </c>
      <c r="E839" s="1">
        <v>0</v>
      </c>
    </row>
    <row r="840" spans="1:5" x14ac:dyDescent="0.2">
      <c r="A840" s="1" t="s">
        <v>849</v>
      </c>
      <c r="B840" s="1" t="str">
        <f>VLOOKUP(Table5[[#This Row],[Student_ID]],student_data[#All],2,0)</f>
        <v>Electronics</v>
      </c>
      <c r="C840" s="1" t="s">
        <v>1031</v>
      </c>
      <c r="D840" s="1" t="s">
        <v>1038</v>
      </c>
      <c r="E840" s="1">
        <v>4.12</v>
      </c>
    </row>
    <row r="841" spans="1:5" x14ac:dyDescent="0.2">
      <c r="A841" s="1" t="s">
        <v>850</v>
      </c>
      <c r="B841" s="1" t="str">
        <f>VLOOKUP(Table5[[#This Row],[Student_ID]],student_data[#All],2,0)</f>
        <v>Electronics</v>
      </c>
      <c r="C841" s="1" t="s">
        <v>1031</v>
      </c>
      <c r="D841" s="1" t="s">
        <v>1038</v>
      </c>
      <c r="E841" s="1">
        <v>4.3499999999999996</v>
      </c>
    </row>
    <row r="842" spans="1:5" x14ac:dyDescent="0.2">
      <c r="A842" s="1" t="s">
        <v>851</v>
      </c>
      <c r="B842" s="1" t="str">
        <f>VLOOKUP(Table5[[#This Row],[Student_ID]],student_data[#All],2,0)</f>
        <v>Mechanical</v>
      </c>
      <c r="C842" s="1" t="s">
        <v>1031</v>
      </c>
      <c r="D842" s="1" t="s">
        <v>1032</v>
      </c>
      <c r="E842" s="1">
        <v>4.5</v>
      </c>
    </row>
    <row r="843" spans="1:5" x14ac:dyDescent="0.2">
      <c r="A843" s="1" t="s">
        <v>852</v>
      </c>
      <c r="B843" s="1" t="str">
        <f>VLOOKUP(Table5[[#This Row],[Student_ID]],student_data[#All],2,0)</f>
        <v>Mechanical</v>
      </c>
      <c r="C843" s="1" t="s">
        <v>1031</v>
      </c>
      <c r="D843" s="1" t="s">
        <v>1038</v>
      </c>
      <c r="E843" s="1">
        <v>4.1900000000000004</v>
      </c>
    </row>
    <row r="844" spans="1:5" x14ac:dyDescent="0.2">
      <c r="A844" s="1" t="s">
        <v>853</v>
      </c>
      <c r="B844" s="1" t="str">
        <f>VLOOKUP(Table5[[#This Row],[Student_ID]],student_data[#All],2,0)</f>
        <v>Information Technology</v>
      </c>
      <c r="C844" s="1" t="s">
        <v>1031</v>
      </c>
      <c r="D844" s="1" t="s">
        <v>1038</v>
      </c>
      <c r="E844" s="1">
        <v>4.1100000000000003</v>
      </c>
    </row>
    <row r="845" spans="1:5" x14ac:dyDescent="0.2">
      <c r="A845" s="1" t="s">
        <v>854</v>
      </c>
      <c r="B845" s="1" t="str">
        <f>VLOOKUP(Table5[[#This Row],[Student_ID]],student_data[#All],2,0)</f>
        <v>Information Technology</v>
      </c>
      <c r="C845" s="1" t="s">
        <v>1031</v>
      </c>
      <c r="D845" s="1" t="s">
        <v>1035</v>
      </c>
      <c r="E845" s="1">
        <v>4.53</v>
      </c>
    </row>
    <row r="846" spans="1:5" x14ac:dyDescent="0.2">
      <c r="A846" s="1" t="s">
        <v>855</v>
      </c>
      <c r="B846" s="1" t="str">
        <f>VLOOKUP(Table5[[#This Row],[Student_ID]],student_data[#All],2,0)</f>
        <v>Computer Science</v>
      </c>
      <c r="C846" s="1" t="s">
        <v>1031</v>
      </c>
      <c r="D846" s="1" t="s">
        <v>1035</v>
      </c>
      <c r="E846" s="1">
        <v>5.13</v>
      </c>
    </row>
    <row r="847" spans="1:5" x14ac:dyDescent="0.2">
      <c r="A847" s="1" t="s">
        <v>856</v>
      </c>
      <c r="B847" s="1" t="str">
        <f>VLOOKUP(Table5[[#This Row],[Student_ID]],student_data[#All],2,0)</f>
        <v>Computer Science</v>
      </c>
      <c r="C847" s="1" t="s">
        <v>1033</v>
      </c>
      <c r="D847" s="1" t="s">
        <v>1034</v>
      </c>
      <c r="E847" s="1">
        <v>0</v>
      </c>
    </row>
    <row r="848" spans="1:5" x14ac:dyDescent="0.2">
      <c r="A848" s="1" t="s">
        <v>857</v>
      </c>
      <c r="B848" s="1" t="str">
        <f>VLOOKUP(Table5[[#This Row],[Student_ID]],student_data[#All],2,0)</f>
        <v>Information Technology</v>
      </c>
      <c r="C848" s="1" t="s">
        <v>1031</v>
      </c>
      <c r="D848" s="1" t="s">
        <v>1038</v>
      </c>
      <c r="E848" s="1">
        <v>4.5</v>
      </c>
    </row>
    <row r="849" spans="1:5" x14ac:dyDescent="0.2">
      <c r="A849" s="1" t="s">
        <v>858</v>
      </c>
      <c r="B849" s="1" t="str">
        <f>VLOOKUP(Table5[[#This Row],[Student_ID]],student_data[#All],2,0)</f>
        <v>Information Technology</v>
      </c>
      <c r="C849" s="1" t="s">
        <v>1031</v>
      </c>
      <c r="D849" s="1" t="s">
        <v>1038</v>
      </c>
      <c r="E849" s="1">
        <v>4.3499999999999996</v>
      </c>
    </row>
    <row r="850" spans="1:5" x14ac:dyDescent="0.2">
      <c r="A850" s="1" t="s">
        <v>859</v>
      </c>
      <c r="B850" s="1" t="str">
        <f>VLOOKUP(Table5[[#This Row],[Student_ID]],student_data[#All],2,0)</f>
        <v>Civil</v>
      </c>
      <c r="C850" s="1" t="s">
        <v>1031</v>
      </c>
      <c r="D850" s="1" t="s">
        <v>1038</v>
      </c>
      <c r="E850" s="1">
        <v>4.1900000000000004</v>
      </c>
    </row>
    <row r="851" spans="1:5" x14ac:dyDescent="0.2">
      <c r="A851" s="1" t="s">
        <v>860</v>
      </c>
      <c r="B851" s="1" t="str">
        <f>VLOOKUP(Table5[[#This Row],[Student_ID]],student_data[#All],2,0)</f>
        <v>Mechanical</v>
      </c>
      <c r="C851" s="1" t="s">
        <v>1031</v>
      </c>
      <c r="D851" s="1" t="s">
        <v>1032</v>
      </c>
      <c r="E851" s="1">
        <v>5.13</v>
      </c>
    </row>
    <row r="852" spans="1:5" x14ac:dyDescent="0.2">
      <c r="A852" s="1" t="s">
        <v>861</v>
      </c>
      <c r="B852" s="1" t="str">
        <f>VLOOKUP(Table5[[#This Row],[Student_ID]],student_data[#All],2,0)</f>
        <v>Computer Science</v>
      </c>
      <c r="C852" s="1" t="s">
        <v>1031</v>
      </c>
      <c r="D852" s="1" t="s">
        <v>1035</v>
      </c>
      <c r="E852" s="1">
        <v>4.12</v>
      </c>
    </row>
    <row r="853" spans="1:5" x14ac:dyDescent="0.2">
      <c r="A853" s="1" t="s">
        <v>862</v>
      </c>
      <c r="B853" s="1" t="str">
        <f>VLOOKUP(Table5[[#This Row],[Student_ID]],student_data[#All],2,0)</f>
        <v>Mechanical</v>
      </c>
      <c r="C853" s="1" t="s">
        <v>1031</v>
      </c>
      <c r="D853" s="1" t="s">
        <v>1038</v>
      </c>
      <c r="E853" s="1">
        <v>4.5599999999999996</v>
      </c>
    </row>
    <row r="854" spans="1:5" x14ac:dyDescent="0.2">
      <c r="A854" s="1" t="s">
        <v>863</v>
      </c>
      <c r="B854" s="1" t="str">
        <f>VLOOKUP(Table5[[#This Row],[Student_ID]],student_data[#All],2,0)</f>
        <v>Mechanical</v>
      </c>
      <c r="C854" s="1" t="s">
        <v>1033</v>
      </c>
      <c r="D854" s="1" t="s">
        <v>1034</v>
      </c>
      <c r="E854" s="1">
        <v>0</v>
      </c>
    </row>
    <row r="855" spans="1:5" x14ac:dyDescent="0.2">
      <c r="A855" s="1" t="s">
        <v>864</v>
      </c>
      <c r="B855" s="1" t="str">
        <f>VLOOKUP(Table5[[#This Row],[Student_ID]],student_data[#All],2,0)</f>
        <v>Information Technology</v>
      </c>
      <c r="C855" s="1" t="s">
        <v>1031</v>
      </c>
      <c r="D855" s="1" t="s">
        <v>1038</v>
      </c>
      <c r="E855" s="1">
        <v>5.13</v>
      </c>
    </row>
    <row r="856" spans="1:5" x14ac:dyDescent="0.2">
      <c r="A856" s="1" t="s">
        <v>865</v>
      </c>
      <c r="B856" s="1" t="str">
        <f>VLOOKUP(Table5[[#This Row],[Student_ID]],student_data[#All],2,0)</f>
        <v>Civil</v>
      </c>
      <c r="C856" s="1" t="s">
        <v>1031</v>
      </c>
      <c r="D856" s="1" t="s">
        <v>1032</v>
      </c>
      <c r="E856" s="1">
        <v>5.19</v>
      </c>
    </row>
    <row r="857" spans="1:5" x14ac:dyDescent="0.2">
      <c r="A857" s="1" t="s">
        <v>866</v>
      </c>
      <c r="B857" s="1" t="str">
        <f>VLOOKUP(Table5[[#This Row],[Student_ID]],student_data[#All],2,0)</f>
        <v>Electronics</v>
      </c>
      <c r="C857" s="1" t="s">
        <v>1031</v>
      </c>
      <c r="D857" s="1" t="s">
        <v>1032</v>
      </c>
      <c r="E857" s="1">
        <v>4.5</v>
      </c>
    </row>
    <row r="858" spans="1:5" x14ac:dyDescent="0.2">
      <c r="A858" s="1" t="s">
        <v>867</v>
      </c>
      <c r="B858" s="1" t="str">
        <f>VLOOKUP(Table5[[#This Row],[Student_ID]],student_data[#All],2,0)</f>
        <v>Civil</v>
      </c>
      <c r="C858" s="1" t="s">
        <v>1031</v>
      </c>
      <c r="D858" s="1" t="s">
        <v>1038</v>
      </c>
      <c r="E858" s="1">
        <v>4.1900000000000004</v>
      </c>
    </row>
    <row r="859" spans="1:5" x14ac:dyDescent="0.2">
      <c r="A859" s="1" t="s">
        <v>868</v>
      </c>
      <c r="B859" s="1" t="str">
        <f>VLOOKUP(Table5[[#This Row],[Student_ID]],student_data[#All],2,0)</f>
        <v>Civil</v>
      </c>
      <c r="C859" s="1" t="s">
        <v>1031</v>
      </c>
      <c r="D859" s="1" t="s">
        <v>1038</v>
      </c>
      <c r="E859" s="1">
        <v>4.1100000000000003</v>
      </c>
    </row>
    <row r="860" spans="1:5" x14ac:dyDescent="0.2">
      <c r="A860" s="1" t="s">
        <v>869</v>
      </c>
      <c r="B860" s="1" t="str">
        <f>VLOOKUP(Table5[[#This Row],[Student_ID]],student_data[#All],2,0)</f>
        <v>Mechanical</v>
      </c>
      <c r="C860" s="1" t="s">
        <v>1033</v>
      </c>
      <c r="D860" s="1" t="s">
        <v>1034</v>
      </c>
      <c r="E860" s="1">
        <v>0</v>
      </c>
    </row>
    <row r="861" spans="1:5" x14ac:dyDescent="0.2">
      <c r="A861" s="1" t="s">
        <v>870</v>
      </c>
      <c r="B861" s="1" t="str">
        <f>VLOOKUP(Table5[[#This Row],[Student_ID]],student_data[#All],2,0)</f>
        <v>Civil</v>
      </c>
      <c r="C861" s="1" t="s">
        <v>1031</v>
      </c>
      <c r="D861" s="1" t="s">
        <v>1035</v>
      </c>
      <c r="E861" s="1">
        <v>4.5599999999999996</v>
      </c>
    </row>
    <row r="862" spans="1:5" x14ac:dyDescent="0.2">
      <c r="A862" s="1" t="s">
        <v>871</v>
      </c>
      <c r="B862" s="1" t="str">
        <f>VLOOKUP(Table5[[#This Row],[Student_ID]],student_data[#All],2,0)</f>
        <v>Computer Science</v>
      </c>
      <c r="C862" s="1" t="s">
        <v>1031</v>
      </c>
      <c r="D862" s="1" t="s">
        <v>1038</v>
      </c>
      <c r="E862" s="1">
        <v>5.13</v>
      </c>
    </row>
    <row r="863" spans="1:5" x14ac:dyDescent="0.2">
      <c r="A863" s="1" t="s">
        <v>872</v>
      </c>
      <c r="B863" s="1" t="str">
        <f>VLOOKUP(Table5[[#This Row],[Student_ID]],student_data[#All],2,0)</f>
        <v>Mechanical</v>
      </c>
      <c r="C863" s="1" t="s">
        <v>1033</v>
      </c>
      <c r="D863" s="1" t="s">
        <v>1034</v>
      </c>
      <c r="E863" s="1">
        <v>0</v>
      </c>
    </row>
    <row r="864" spans="1:5" x14ac:dyDescent="0.2">
      <c r="A864" s="1" t="s">
        <v>873</v>
      </c>
      <c r="B864" s="1" t="str">
        <f>VLOOKUP(Table5[[#This Row],[Student_ID]],student_data[#All],2,0)</f>
        <v>Computer Science</v>
      </c>
      <c r="C864" s="1" t="s">
        <v>1031</v>
      </c>
      <c r="D864" s="1" t="s">
        <v>1038</v>
      </c>
      <c r="E864" s="1">
        <v>4.12</v>
      </c>
    </row>
    <row r="865" spans="1:5" x14ac:dyDescent="0.2">
      <c r="A865" s="1" t="s">
        <v>874</v>
      </c>
      <c r="B865" s="1" t="str">
        <f>VLOOKUP(Table5[[#This Row],[Student_ID]],student_data[#All],2,0)</f>
        <v>Electronics</v>
      </c>
      <c r="C865" s="1" t="s">
        <v>1031</v>
      </c>
      <c r="D865" s="1" t="s">
        <v>1038</v>
      </c>
      <c r="E865" s="1">
        <v>4.3499999999999996</v>
      </c>
    </row>
    <row r="866" spans="1:5" x14ac:dyDescent="0.2">
      <c r="A866" s="1" t="s">
        <v>875</v>
      </c>
      <c r="B866" s="1" t="str">
        <f>VLOOKUP(Table5[[#This Row],[Student_ID]],student_data[#All],2,0)</f>
        <v>Mechanical</v>
      </c>
      <c r="C866" s="1" t="s">
        <v>1031</v>
      </c>
      <c r="D866" s="1" t="s">
        <v>1032</v>
      </c>
      <c r="E866" s="1">
        <v>4.5</v>
      </c>
    </row>
    <row r="867" spans="1:5" x14ac:dyDescent="0.2">
      <c r="A867" s="1" t="s">
        <v>876</v>
      </c>
      <c r="B867" s="1" t="str">
        <f>VLOOKUP(Table5[[#This Row],[Student_ID]],student_data[#All],2,0)</f>
        <v>Electronics</v>
      </c>
      <c r="C867" s="1" t="s">
        <v>1031</v>
      </c>
      <c r="D867" s="1" t="s">
        <v>1038</v>
      </c>
      <c r="E867" s="1">
        <v>4.1900000000000004</v>
      </c>
    </row>
    <row r="868" spans="1:5" x14ac:dyDescent="0.2">
      <c r="A868" s="1" t="s">
        <v>877</v>
      </c>
      <c r="B868" s="1" t="str">
        <f>VLOOKUP(Table5[[#This Row],[Student_ID]],student_data[#All],2,0)</f>
        <v>Mechanical</v>
      </c>
      <c r="C868" s="1" t="s">
        <v>1031</v>
      </c>
      <c r="D868" s="1" t="s">
        <v>1038</v>
      </c>
      <c r="E868" s="1">
        <v>4.1100000000000003</v>
      </c>
    </row>
    <row r="869" spans="1:5" x14ac:dyDescent="0.2">
      <c r="A869" s="1" t="s">
        <v>878</v>
      </c>
      <c r="B869" s="1" t="str">
        <f>VLOOKUP(Table5[[#This Row],[Student_ID]],student_data[#All],2,0)</f>
        <v>Information Technology</v>
      </c>
      <c r="C869" s="1" t="s">
        <v>1031</v>
      </c>
      <c r="D869" s="1" t="s">
        <v>1035</v>
      </c>
      <c r="E869" s="1">
        <v>4.53</v>
      </c>
    </row>
    <row r="870" spans="1:5" x14ac:dyDescent="0.2">
      <c r="A870" s="1" t="s">
        <v>879</v>
      </c>
      <c r="B870" s="1" t="str">
        <f>VLOOKUP(Table5[[#This Row],[Student_ID]],student_data[#All],2,0)</f>
        <v>Civil</v>
      </c>
      <c r="C870" s="1" t="s">
        <v>1031</v>
      </c>
      <c r="D870" s="1" t="s">
        <v>1035</v>
      </c>
      <c r="E870" s="1">
        <v>5.13</v>
      </c>
    </row>
    <row r="871" spans="1:5" x14ac:dyDescent="0.2">
      <c r="A871" s="1" t="s">
        <v>880</v>
      </c>
      <c r="B871" s="1" t="str">
        <f>VLOOKUP(Table5[[#This Row],[Student_ID]],student_data[#All],2,0)</f>
        <v>Information Technology</v>
      </c>
      <c r="C871" s="1" t="s">
        <v>1033</v>
      </c>
      <c r="D871" s="1" t="s">
        <v>1034</v>
      </c>
      <c r="E871" s="1">
        <v>0</v>
      </c>
    </row>
    <row r="872" spans="1:5" x14ac:dyDescent="0.2">
      <c r="A872" s="1" t="s">
        <v>881</v>
      </c>
      <c r="B872" s="1" t="str">
        <f>VLOOKUP(Table5[[#This Row],[Student_ID]],student_data[#All],2,0)</f>
        <v>Electronics</v>
      </c>
      <c r="C872" s="1" t="s">
        <v>1031</v>
      </c>
      <c r="D872" s="1" t="s">
        <v>1038</v>
      </c>
      <c r="E872" s="1">
        <v>4.5</v>
      </c>
    </row>
    <row r="873" spans="1:5" x14ac:dyDescent="0.2">
      <c r="A873" s="1" t="s">
        <v>882</v>
      </c>
      <c r="B873" s="1" t="str">
        <f>VLOOKUP(Table5[[#This Row],[Student_ID]],student_data[#All],2,0)</f>
        <v>Civil</v>
      </c>
      <c r="C873" s="1" t="s">
        <v>1031</v>
      </c>
      <c r="D873" s="1" t="s">
        <v>1038</v>
      </c>
      <c r="E873" s="1">
        <v>4.3499999999999996</v>
      </c>
    </row>
    <row r="874" spans="1:5" x14ac:dyDescent="0.2">
      <c r="A874" s="1" t="s">
        <v>883</v>
      </c>
      <c r="B874" s="1" t="str">
        <f>VLOOKUP(Table5[[#This Row],[Student_ID]],student_data[#All],2,0)</f>
        <v>Mechanical</v>
      </c>
      <c r="C874" s="1" t="s">
        <v>1031</v>
      </c>
      <c r="D874" s="1" t="s">
        <v>1038</v>
      </c>
      <c r="E874" s="1">
        <v>4.1900000000000004</v>
      </c>
    </row>
    <row r="875" spans="1:5" x14ac:dyDescent="0.2">
      <c r="A875" s="1" t="s">
        <v>884</v>
      </c>
      <c r="B875" s="1" t="str">
        <f>VLOOKUP(Table5[[#This Row],[Student_ID]],student_data[#All],2,0)</f>
        <v>Civil</v>
      </c>
      <c r="C875" s="1" t="s">
        <v>1031</v>
      </c>
      <c r="D875" s="1" t="s">
        <v>1032</v>
      </c>
      <c r="E875" s="1">
        <v>5.13</v>
      </c>
    </row>
    <row r="876" spans="1:5" x14ac:dyDescent="0.2">
      <c r="A876" s="1" t="s">
        <v>885</v>
      </c>
      <c r="B876" s="1" t="str">
        <f>VLOOKUP(Table5[[#This Row],[Student_ID]],student_data[#All],2,0)</f>
        <v>Computer Science</v>
      </c>
      <c r="C876" s="1" t="s">
        <v>1031</v>
      </c>
      <c r="D876" s="1" t="s">
        <v>1035</v>
      </c>
      <c r="E876" s="1">
        <v>4.12</v>
      </c>
    </row>
    <row r="877" spans="1:5" x14ac:dyDescent="0.2">
      <c r="A877" s="1" t="s">
        <v>886</v>
      </c>
      <c r="B877" s="1" t="str">
        <f>VLOOKUP(Table5[[#This Row],[Student_ID]],student_data[#All],2,0)</f>
        <v>Civil</v>
      </c>
      <c r="C877" s="1" t="s">
        <v>1031</v>
      </c>
      <c r="D877" s="1" t="s">
        <v>1038</v>
      </c>
      <c r="E877" s="1">
        <v>4.5599999999999996</v>
      </c>
    </row>
    <row r="878" spans="1:5" x14ac:dyDescent="0.2">
      <c r="A878" s="1" t="s">
        <v>887</v>
      </c>
      <c r="B878" s="1" t="str">
        <f>VLOOKUP(Table5[[#This Row],[Student_ID]],student_data[#All],2,0)</f>
        <v>Computer Science</v>
      </c>
      <c r="C878" s="1" t="s">
        <v>1033</v>
      </c>
      <c r="D878" s="1" t="s">
        <v>1034</v>
      </c>
      <c r="E878" s="1">
        <v>0</v>
      </c>
    </row>
    <row r="879" spans="1:5" x14ac:dyDescent="0.2">
      <c r="A879" s="1" t="s">
        <v>888</v>
      </c>
      <c r="B879" s="1" t="str">
        <f>VLOOKUP(Table5[[#This Row],[Student_ID]],student_data[#All],2,0)</f>
        <v>Civil</v>
      </c>
      <c r="C879" s="1" t="s">
        <v>1031</v>
      </c>
      <c r="D879" s="1" t="s">
        <v>1038</v>
      </c>
      <c r="E879" s="1">
        <v>5.13</v>
      </c>
    </row>
    <row r="880" spans="1:5" x14ac:dyDescent="0.2">
      <c r="A880" s="1" t="s">
        <v>889</v>
      </c>
      <c r="B880" s="1" t="str">
        <f>VLOOKUP(Table5[[#This Row],[Student_ID]],student_data[#All],2,0)</f>
        <v>Computer Science</v>
      </c>
      <c r="C880" s="1" t="s">
        <v>1031</v>
      </c>
      <c r="D880" s="1" t="s">
        <v>1032</v>
      </c>
      <c r="E880" s="1">
        <v>5.19</v>
      </c>
    </row>
    <row r="881" spans="1:5" x14ac:dyDescent="0.2">
      <c r="A881" s="1" t="s">
        <v>890</v>
      </c>
      <c r="B881" s="1" t="str">
        <f>VLOOKUP(Table5[[#This Row],[Student_ID]],student_data[#All],2,0)</f>
        <v>Electronics</v>
      </c>
      <c r="C881" s="1" t="s">
        <v>1031</v>
      </c>
      <c r="D881" s="1" t="s">
        <v>1032</v>
      </c>
      <c r="E881" s="1">
        <v>4.5</v>
      </c>
    </row>
    <row r="882" spans="1:5" x14ac:dyDescent="0.2">
      <c r="A882" s="1" t="s">
        <v>891</v>
      </c>
      <c r="B882" s="1" t="str">
        <f>VLOOKUP(Table5[[#This Row],[Student_ID]],student_data[#All],2,0)</f>
        <v>Information Technology</v>
      </c>
      <c r="C882" s="1" t="s">
        <v>1031</v>
      </c>
      <c r="D882" s="1" t="s">
        <v>1038</v>
      </c>
      <c r="E882" s="1">
        <v>4.1900000000000004</v>
      </c>
    </row>
    <row r="883" spans="1:5" x14ac:dyDescent="0.2">
      <c r="A883" s="1" t="s">
        <v>892</v>
      </c>
      <c r="B883" s="1" t="str">
        <f>VLOOKUP(Table5[[#This Row],[Student_ID]],student_data[#All],2,0)</f>
        <v>Mechanical</v>
      </c>
      <c r="C883" s="1" t="s">
        <v>1031</v>
      </c>
      <c r="D883" s="1" t="s">
        <v>1038</v>
      </c>
      <c r="E883" s="1">
        <v>4.1100000000000003</v>
      </c>
    </row>
    <row r="884" spans="1:5" x14ac:dyDescent="0.2">
      <c r="A884" s="1" t="s">
        <v>893</v>
      </c>
      <c r="B884" s="1" t="str">
        <f>VLOOKUP(Table5[[#This Row],[Student_ID]],student_data[#All],2,0)</f>
        <v>Civil</v>
      </c>
      <c r="C884" s="1" t="s">
        <v>1033</v>
      </c>
      <c r="D884" s="1" t="s">
        <v>1034</v>
      </c>
      <c r="E884" s="1">
        <v>0</v>
      </c>
    </row>
    <row r="885" spans="1:5" x14ac:dyDescent="0.2">
      <c r="A885" s="1" t="s">
        <v>894</v>
      </c>
      <c r="B885" s="1" t="str">
        <f>VLOOKUP(Table5[[#This Row],[Student_ID]],student_data[#All],2,0)</f>
        <v>Information Technology</v>
      </c>
      <c r="C885" s="1" t="s">
        <v>1031</v>
      </c>
      <c r="D885" s="1" t="s">
        <v>1035</v>
      </c>
      <c r="E885" s="1">
        <v>4.5599999999999996</v>
      </c>
    </row>
    <row r="886" spans="1:5" x14ac:dyDescent="0.2">
      <c r="A886" s="1" t="s">
        <v>895</v>
      </c>
      <c r="B886" s="1" t="str">
        <f>VLOOKUP(Table5[[#This Row],[Student_ID]],student_data[#All],2,0)</f>
        <v>Mechanical</v>
      </c>
      <c r="C886" s="1" t="s">
        <v>1031</v>
      </c>
      <c r="D886" s="1" t="s">
        <v>1038</v>
      </c>
      <c r="E886" s="1">
        <v>5.13</v>
      </c>
    </row>
    <row r="887" spans="1:5" x14ac:dyDescent="0.2">
      <c r="A887" s="1" t="s">
        <v>896</v>
      </c>
      <c r="B887" s="1" t="str">
        <f>VLOOKUP(Table5[[#This Row],[Student_ID]],student_data[#All],2,0)</f>
        <v>Mechanical</v>
      </c>
      <c r="C887" s="1" t="s">
        <v>1033</v>
      </c>
      <c r="D887" s="1" t="s">
        <v>1034</v>
      </c>
      <c r="E887" s="1">
        <v>0</v>
      </c>
    </row>
    <row r="888" spans="1:5" x14ac:dyDescent="0.2">
      <c r="A888" s="1" t="s">
        <v>897</v>
      </c>
      <c r="B888" s="1" t="str">
        <f>VLOOKUP(Table5[[#This Row],[Student_ID]],student_data[#All],2,0)</f>
        <v>Computer Science</v>
      </c>
      <c r="C888" s="1" t="s">
        <v>1031</v>
      </c>
      <c r="D888" s="1" t="s">
        <v>1038</v>
      </c>
      <c r="E888" s="1">
        <v>4.12</v>
      </c>
    </row>
    <row r="889" spans="1:5" x14ac:dyDescent="0.2">
      <c r="A889" s="1" t="s">
        <v>898</v>
      </c>
      <c r="B889" s="1" t="str">
        <f>VLOOKUP(Table5[[#This Row],[Student_ID]],student_data[#All],2,0)</f>
        <v>Electronics</v>
      </c>
      <c r="C889" s="1" t="s">
        <v>1031</v>
      </c>
      <c r="D889" s="1" t="s">
        <v>1038</v>
      </c>
      <c r="E889" s="1">
        <v>4.3499999999999996</v>
      </c>
    </row>
    <row r="890" spans="1:5" x14ac:dyDescent="0.2">
      <c r="A890" s="1" t="s">
        <v>899</v>
      </c>
      <c r="B890" s="1" t="str">
        <f>VLOOKUP(Table5[[#This Row],[Student_ID]],student_data[#All],2,0)</f>
        <v>Electronics</v>
      </c>
      <c r="C890" s="1" t="s">
        <v>1031</v>
      </c>
      <c r="D890" s="1" t="s">
        <v>1032</v>
      </c>
      <c r="E890" s="1">
        <v>4.5</v>
      </c>
    </row>
    <row r="891" spans="1:5" x14ac:dyDescent="0.2">
      <c r="A891" s="1" t="s">
        <v>900</v>
      </c>
      <c r="B891" s="1" t="str">
        <f>VLOOKUP(Table5[[#This Row],[Student_ID]],student_data[#All],2,0)</f>
        <v>Information Technology</v>
      </c>
      <c r="C891" s="1" t="s">
        <v>1031</v>
      </c>
      <c r="D891" s="1" t="s">
        <v>1038</v>
      </c>
      <c r="E891" s="1">
        <v>4.1900000000000004</v>
      </c>
    </row>
    <row r="892" spans="1:5" x14ac:dyDescent="0.2">
      <c r="A892" s="1" t="s">
        <v>901</v>
      </c>
      <c r="B892" s="1" t="str">
        <f>VLOOKUP(Table5[[#This Row],[Student_ID]],student_data[#All],2,0)</f>
        <v>Electronics</v>
      </c>
      <c r="C892" s="1" t="s">
        <v>1031</v>
      </c>
      <c r="D892" s="1" t="s">
        <v>1038</v>
      </c>
      <c r="E892" s="1">
        <v>4.1100000000000003</v>
      </c>
    </row>
    <row r="893" spans="1:5" x14ac:dyDescent="0.2">
      <c r="A893" s="1" t="s">
        <v>902</v>
      </c>
      <c r="B893" s="1" t="str">
        <f>VLOOKUP(Table5[[#This Row],[Student_ID]],student_data[#All],2,0)</f>
        <v>Civil</v>
      </c>
      <c r="C893" s="1" t="s">
        <v>1031</v>
      </c>
      <c r="D893" s="1" t="s">
        <v>1035</v>
      </c>
      <c r="E893" s="1">
        <v>4.53</v>
      </c>
    </row>
    <row r="894" spans="1:5" x14ac:dyDescent="0.2">
      <c r="A894" s="1" t="s">
        <v>903</v>
      </c>
      <c r="B894" s="1" t="str">
        <f>VLOOKUP(Table5[[#This Row],[Student_ID]],student_data[#All],2,0)</f>
        <v>Electronics</v>
      </c>
      <c r="C894" s="1" t="s">
        <v>1031</v>
      </c>
      <c r="D894" s="1" t="s">
        <v>1035</v>
      </c>
      <c r="E894" s="1">
        <v>5.13</v>
      </c>
    </row>
    <row r="895" spans="1:5" x14ac:dyDescent="0.2">
      <c r="A895" s="1" t="s">
        <v>904</v>
      </c>
      <c r="B895" s="1" t="str">
        <f>VLOOKUP(Table5[[#This Row],[Student_ID]],student_data[#All],2,0)</f>
        <v>Information Technology</v>
      </c>
      <c r="C895" s="1" t="s">
        <v>1033</v>
      </c>
      <c r="D895" s="1" t="s">
        <v>1034</v>
      </c>
      <c r="E895" s="1">
        <v>0</v>
      </c>
    </row>
    <row r="896" spans="1:5" x14ac:dyDescent="0.2">
      <c r="A896" s="1" t="s">
        <v>905</v>
      </c>
      <c r="B896" s="1" t="str">
        <f>VLOOKUP(Table5[[#This Row],[Student_ID]],student_data[#All],2,0)</f>
        <v>Electronics</v>
      </c>
      <c r="C896" s="1" t="s">
        <v>1031</v>
      </c>
      <c r="D896" s="1" t="s">
        <v>1038</v>
      </c>
      <c r="E896" s="1">
        <v>4.5</v>
      </c>
    </row>
    <row r="897" spans="1:5" x14ac:dyDescent="0.2">
      <c r="A897" s="1" t="s">
        <v>906</v>
      </c>
      <c r="B897" s="1" t="str">
        <f>VLOOKUP(Table5[[#This Row],[Student_ID]],student_data[#All],2,0)</f>
        <v>Civil</v>
      </c>
      <c r="C897" s="1" t="s">
        <v>1031</v>
      </c>
      <c r="D897" s="1" t="s">
        <v>1038</v>
      </c>
      <c r="E897" s="1">
        <v>4.3499999999999996</v>
      </c>
    </row>
    <row r="898" spans="1:5" x14ac:dyDescent="0.2">
      <c r="A898" s="1" t="s">
        <v>907</v>
      </c>
      <c r="B898" s="1" t="str">
        <f>VLOOKUP(Table5[[#This Row],[Student_ID]],student_data[#All],2,0)</f>
        <v>Computer Science</v>
      </c>
      <c r="C898" s="1" t="s">
        <v>1031</v>
      </c>
      <c r="D898" s="1" t="s">
        <v>1038</v>
      </c>
      <c r="E898" s="1">
        <v>4.1900000000000004</v>
      </c>
    </row>
    <row r="899" spans="1:5" x14ac:dyDescent="0.2">
      <c r="A899" s="1" t="s">
        <v>908</v>
      </c>
      <c r="B899" s="1" t="str">
        <f>VLOOKUP(Table5[[#This Row],[Student_ID]],student_data[#All],2,0)</f>
        <v>Information Technology</v>
      </c>
      <c r="C899" s="1" t="s">
        <v>1031</v>
      </c>
      <c r="D899" s="1" t="s">
        <v>1032</v>
      </c>
      <c r="E899" s="1">
        <v>5.13</v>
      </c>
    </row>
    <row r="900" spans="1:5" x14ac:dyDescent="0.2">
      <c r="A900" s="1" t="s">
        <v>909</v>
      </c>
      <c r="B900" s="1" t="str">
        <f>VLOOKUP(Table5[[#This Row],[Student_ID]],student_data[#All],2,0)</f>
        <v>Computer Science</v>
      </c>
      <c r="C900" s="1" t="s">
        <v>1031</v>
      </c>
      <c r="D900" s="1" t="s">
        <v>1035</v>
      </c>
      <c r="E900" s="1">
        <v>4.12</v>
      </c>
    </row>
    <row r="901" spans="1:5" x14ac:dyDescent="0.2">
      <c r="A901" s="1" t="s">
        <v>910</v>
      </c>
      <c r="B901" s="1" t="str">
        <f>VLOOKUP(Table5[[#This Row],[Student_ID]],student_data[#All],2,0)</f>
        <v>Computer Science</v>
      </c>
      <c r="C901" s="1" t="s">
        <v>1031</v>
      </c>
      <c r="D901" s="1" t="s">
        <v>1038</v>
      </c>
      <c r="E901" s="1">
        <v>4.5599999999999996</v>
      </c>
    </row>
    <row r="902" spans="1:5" x14ac:dyDescent="0.2">
      <c r="A902" s="1" t="s">
        <v>911</v>
      </c>
      <c r="B902" s="1" t="str">
        <f>VLOOKUP(Table5[[#This Row],[Student_ID]],student_data[#All],2,0)</f>
        <v>Computer Science</v>
      </c>
      <c r="C902" s="1" t="s">
        <v>1033</v>
      </c>
      <c r="D902" s="1" t="s">
        <v>1034</v>
      </c>
      <c r="E902" s="1">
        <v>0</v>
      </c>
    </row>
    <row r="903" spans="1:5" x14ac:dyDescent="0.2">
      <c r="A903" s="1" t="s">
        <v>912</v>
      </c>
      <c r="B903" s="1" t="str">
        <f>VLOOKUP(Table5[[#This Row],[Student_ID]],student_data[#All],2,0)</f>
        <v>Mechanical</v>
      </c>
      <c r="C903" s="1" t="s">
        <v>1031</v>
      </c>
      <c r="D903" s="1" t="s">
        <v>1038</v>
      </c>
      <c r="E903" s="1">
        <v>5.13</v>
      </c>
    </row>
    <row r="904" spans="1:5" x14ac:dyDescent="0.2">
      <c r="A904" s="1" t="s">
        <v>913</v>
      </c>
      <c r="B904" s="1" t="str">
        <f>VLOOKUP(Table5[[#This Row],[Student_ID]],student_data[#All],2,0)</f>
        <v>Mechanical</v>
      </c>
      <c r="C904" s="1" t="s">
        <v>1031</v>
      </c>
      <c r="D904" s="1" t="s">
        <v>1032</v>
      </c>
      <c r="E904" s="1">
        <v>5.19</v>
      </c>
    </row>
    <row r="905" spans="1:5" x14ac:dyDescent="0.2">
      <c r="A905" s="1" t="s">
        <v>914</v>
      </c>
      <c r="B905" s="1" t="str">
        <f>VLOOKUP(Table5[[#This Row],[Student_ID]],student_data[#All],2,0)</f>
        <v>Computer Science</v>
      </c>
      <c r="C905" s="1" t="s">
        <v>1031</v>
      </c>
      <c r="D905" s="1" t="s">
        <v>1032</v>
      </c>
      <c r="E905" s="1">
        <v>4.5</v>
      </c>
    </row>
    <row r="906" spans="1:5" x14ac:dyDescent="0.2">
      <c r="A906" s="1" t="s">
        <v>915</v>
      </c>
      <c r="B906" s="1" t="str">
        <f>VLOOKUP(Table5[[#This Row],[Student_ID]],student_data[#All],2,0)</f>
        <v>Information Technology</v>
      </c>
      <c r="C906" s="1" t="s">
        <v>1031</v>
      </c>
      <c r="D906" s="1" t="s">
        <v>1038</v>
      </c>
      <c r="E906" s="1">
        <v>4.1900000000000004</v>
      </c>
    </row>
    <row r="907" spans="1:5" x14ac:dyDescent="0.2">
      <c r="A907" s="1" t="s">
        <v>916</v>
      </c>
      <c r="B907" s="1" t="str">
        <f>VLOOKUP(Table5[[#This Row],[Student_ID]],student_data[#All],2,0)</f>
        <v>Civil</v>
      </c>
      <c r="C907" s="1" t="s">
        <v>1031</v>
      </c>
      <c r="D907" s="1" t="s">
        <v>1038</v>
      </c>
      <c r="E907" s="1">
        <v>4.1100000000000003</v>
      </c>
    </row>
    <row r="908" spans="1:5" x14ac:dyDescent="0.2">
      <c r="A908" s="1" t="s">
        <v>917</v>
      </c>
      <c r="B908" s="1" t="str">
        <f>VLOOKUP(Table5[[#This Row],[Student_ID]],student_data[#All],2,0)</f>
        <v>Civil</v>
      </c>
      <c r="C908" s="1" t="s">
        <v>1033</v>
      </c>
      <c r="D908" s="1" t="s">
        <v>1034</v>
      </c>
      <c r="E908" s="1">
        <v>0</v>
      </c>
    </row>
    <row r="909" spans="1:5" x14ac:dyDescent="0.2">
      <c r="A909" s="1" t="s">
        <v>918</v>
      </c>
      <c r="B909" s="1" t="str">
        <f>VLOOKUP(Table5[[#This Row],[Student_ID]],student_data[#All],2,0)</f>
        <v>Electronics</v>
      </c>
      <c r="C909" s="1" t="s">
        <v>1031</v>
      </c>
      <c r="D909" s="1" t="s">
        <v>1035</v>
      </c>
      <c r="E909" s="1">
        <v>4.5599999999999996</v>
      </c>
    </row>
    <row r="910" spans="1:5" x14ac:dyDescent="0.2">
      <c r="A910" s="1" t="s">
        <v>919</v>
      </c>
      <c r="B910" s="1" t="str">
        <f>VLOOKUP(Table5[[#This Row],[Student_ID]],student_data[#All],2,0)</f>
        <v>Information Technology</v>
      </c>
      <c r="C910" s="1" t="s">
        <v>1031</v>
      </c>
      <c r="D910" s="1" t="s">
        <v>1038</v>
      </c>
      <c r="E910" s="1">
        <v>5.13</v>
      </c>
    </row>
    <row r="911" spans="1:5" x14ac:dyDescent="0.2">
      <c r="A911" s="1" t="s">
        <v>920</v>
      </c>
      <c r="B911" s="1" t="str">
        <f>VLOOKUP(Table5[[#This Row],[Student_ID]],student_data[#All],2,0)</f>
        <v>Mechanical</v>
      </c>
      <c r="C911" s="1" t="s">
        <v>1033</v>
      </c>
      <c r="D911" s="1" t="s">
        <v>1034</v>
      </c>
      <c r="E911" s="1">
        <v>0</v>
      </c>
    </row>
    <row r="912" spans="1:5" x14ac:dyDescent="0.2">
      <c r="A912" s="1" t="s">
        <v>921</v>
      </c>
      <c r="B912" s="1" t="str">
        <f>VLOOKUP(Table5[[#This Row],[Student_ID]],student_data[#All],2,0)</f>
        <v>Computer Science</v>
      </c>
      <c r="C912" s="1" t="s">
        <v>1031</v>
      </c>
      <c r="D912" s="1" t="s">
        <v>1038</v>
      </c>
      <c r="E912" s="1">
        <v>4.12</v>
      </c>
    </row>
    <row r="913" spans="1:5" x14ac:dyDescent="0.2">
      <c r="A913" s="1" t="s">
        <v>922</v>
      </c>
      <c r="B913" s="1" t="str">
        <f>VLOOKUP(Table5[[#This Row],[Student_ID]],student_data[#All],2,0)</f>
        <v>Electronics</v>
      </c>
      <c r="C913" s="1" t="s">
        <v>1031</v>
      </c>
      <c r="D913" s="1" t="s">
        <v>1038</v>
      </c>
      <c r="E913" s="1">
        <v>4.3499999999999996</v>
      </c>
    </row>
    <row r="914" spans="1:5" x14ac:dyDescent="0.2">
      <c r="A914" s="1" t="s">
        <v>923</v>
      </c>
      <c r="B914" s="1" t="str">
        <f>VLOOKUP(Table5[[#This Row],[Student_ID]],student_data[#All],2,0)</f>
        <v>Civil</v>
      </c>
      <c r="C914" s="1" t="s">
        <v>1031</v>
      </c>
      <c r="D914" s="1" t="s">
        <v>1032</v>
      </c>
      <c r="E914" s="1">
        <v>4.5</v>
      </c>
    </row>
    <row r="915" spans="1:5" x14ac:dyDescent="0.2">
      <c r="A915" s="1" t="s">
        <v>924</v>
      </c>
      <c r="B915" s="1" t="str">
        <f>VLOOKUP(Table5[[#This Row],[Student_ID]],student_data[#All],2,0)</f>
        <v>Mechanical</v>
      </c>
      <c r="C915" s="1" t="s">
        <v>1031</v>
      </c>
      <c r="D915" s="1" t="s">
        <v>1038</v>
      </c>
      <c r="E915" s="1">
        <v>4.1900000000000004</v>
      </c>
    </row>
    <row r="916" spans="1:5" x14ac:dyDescent="0.2">
      <c r="A916" s="1" t="s">
        <v>925</v>
      </c>
      <c r="B916" s="1" t="str">
        <f>VLOOKUP(Table5[[#This Row],[Student_ID]],student_data[#All],2,0)</f>
        <v>Mechanical</v>
      </c>
      <c r="C916" s="1" t="s">
        <v>1031</v>
      </c>
      <c r="D916" s="1" t="s">
        <v>1038</v>
      </c>
      <c r="E916" s="1">
        <v>4.1100000000000003</v>
      </c>
    </row>
    <row r="917" spans="1:5" x14ac:dyDescent="0.2">
      <c r="A917" s="1" t="s">
        <v>926</v>
      </c>
      <c r="B917" s="1" t="str">
        <f>VLOOKUP(Table5[[#This Row],[Student_ID]],student_data[#All],2,0)</f>
        <v>Computer Science</v>
      </c>
      <c r="C917" s="1" t="s">
        <v>1031</v>
      </c>
      <c r="D917" s="1" t="s">
        <v>1035</v>
      </c>
      <c r="E917" s="1">
        <v>4.53</v>
      </c>
    </row>
    <row r="918" spans="1:5" x14ac:dyDescent="0.2">
      <c r="A918" s="1" t="s">
        <v>927</v>
      </c>
      <c r="B918" s="1" t="str">
        <f>VLOOKUP(Table5[[#This Row],[Student_ID]],student_data[#All],2,0)</f>
        <v>Civil</v>
      </c>
      <c r="C918" s="1" t="s">
        <v>1031</v>
      </c>
      <c r="D918" s="1" t="s">
        <v>1035</v>
      </c>
      <c r="E918" s="1">
        <v>5.13</v>
      </c>
    </row>
    <row r="919" spans="1:5" x14ac:dyDescent="0.2">
      <c r="A919" s="1" t="s">
        <v>928</v>
      </c>
      <c r="B919" s="1" t="str">
        <f>VLOOKUP(Table5[[#This Row],[Student_ID]],student_data[#All],2,0)</f>
        <v>Information Technology</v>
      </c>
      <c r="C919" s="1" t="s">
        <v>1033</v>
      </c>
      <c r="D919" s="1" t="s">
        <v>1034</v>
      </c>
      <c r="E919" s="1">
        <v>0</v>
      </c>
    </row>
    <row r="920" spans="1:5" x14ac:dyDescent="0.2">
      <c r="A920" s="1" t="s">
        <v>929</v>
      </c>
      <c r="B920" s="1" t="str">
        <f>VLOOKUP(Table5[[#This Row],[Student_ID]],student_data[#All],2,0)</f>
        <v>Mechanical</v>
      </c>
      <c r="C920" s="1" t="s">
        <v>1031</v>
      </c>
      <c r="D920" s="1" t="s">
        <v>1038</v>
      </c>
      <c r="E920" s="1">
        <v>4.5</v>
      </c>
    </row>
    <row r="921" spans="1:5" x14ac:dyDescent="0.2">
      <c r="A921" s="1" t="s">
        <v>930</v>
      </c>
      <c r="B921" s="1" t="str">
        <f>VLOOKUP(Table5[[#This Row],[Student_ID]],student_data[#All],2,0)</f>
        <v>Computer Science</v>
      </c>
      <c r="C921" s="1" t="s">
        <v>1031</v>
      </c>
      <c r="D921" s="1" t="s">
        <v>1038</v>
      </c>
      <c r="E921" s="1">
        <v>4.3499999999999996</v>
      </c>
    </row>
    <row r="922" spans="1:5" x14ac:dyDescent="0.2">
      <c r="A922" s="1" t="s">
        <v>931</v>
      </c>
      <c r="B922" s="1" t="str">
        <f>VLOOKUP(Table5[[#This Row],[Student_ID]],student_data[#All],2,0)</f>
        <v>Information Technology</v>
      </c>
      <c r="C922" s="1" t="s">
        <v>1031</v>
      </c>
      <c r="D922" s="1" t="s">
        <v>1038</v>
      </c>
      <c r="E922" s="1">
        <v>4.1900000000000004</v>
      </c>
    </row>
    <row r="923" spans="1:5" x14ac:dyDescent="0.2">
      <c r="A923" s="1" t="s">
        <v>932</v>
      </c>
      <c r="B923" s="1" t="str">
        <f>VLOOKUP(Table5[[#This Row],[Student_ID]],student_data[#All],2,0)</f>
        <v>Civil</v>
      </c>
      <c r="C923" s="1" t="s">
        <v>1031</v>
      </c>
      <c r="D923" s="1" t="s">
        <v>1032</v>
      </c>
      <c r="E923" s="1">
        <v>5.13</v>
      </c>
    </row>
    <row r="924" spans="1:5" x14ac:dyDescent="0.2">
      <c r="A924" s="1" t="s">
        <v>933</v>
      </c>
      <c r="B924" s="1" t="str">
        <f>VLOOKUP(Table5[[#This Row],[Student_ID]],student_data[#All],2,0)</f>
        <v>Mechanical</v>
      </c>
      <c r="C924" s="1" t="s">
        <v>1031</v>
      </c>
      <c r="D924" s="1" t="s">
        <v>1035</v>
      </c>
      <c r="E924" s="1">
        <v>4.12</v>
      </c>
    </row>
    <row r="925" spans="1:5" x14ac:dyDescent="0.2">
      <c r="A925" s="1" t="s">
        <v>934</v>
      </c>
      <c r="B925" s="1" t="str">
        <f>VLOOKUP(Table5[[#This Row],[Student_ID]],student_data[#All],2,0)</f>
        <v>Information Technology</v>
      </c>
      <c r="C925" s="1" t="s">
        <v>1031</v>
      </c>
      <c r="D925" s="1" t="s">
        <v>1038</v>
      </c>
      <c r="E925" s="1">
        <v>4.5599999999999996</v>
      </c>
    </row>
    <row r="926" spans="1:5" x14ac:dyDescent="0.2">
      <c r="A926" s="1" t="s">
        <v>935</v>
      </c>
      <c r="B926" s="1" t="str">
        <f>VLOOKUP(Table5[[#This Row],[Student_ID]],student_data[#All],2,0)</f>
        <v>Information Technology</v>
      </c>
      <c r="C926" s="1" t="s">
        <v>1033</v>
      </c>
      <c r="D926" s="1" t="s">
        <v>1034</v>
      </c>
      <c r="E926" s="1">
        <v>0</v>
      </c>
    </row>
    <row r="927" spans="1:5" x14ac:dyDescent="0.2">
      <c r="A927" s="1" t="s">
        <v>936</v>
      </c>
      <c r="B927" s="1" t="str">
        <f>VLOOKUP(Table5[[#This Row],[Student_ID]],student_data[#All],2,0)</f>
        <v>Information Technology</v>
      </c>
      <c r="C927" s="1" t="s">
        <v>1031</v>
      </c>
      <c r="D927" s="1" t="s">
        <v>1038</v>
      </c>
      <c r="E927" s="1">
        <v>5.13</v>
      </c>
    </row>
    <row r="928" spans="1:5" x14ac:dyDescent="0.2">
      <c r="A928" s="1" t="s">
        <v>937</v>
      </c>
      <c r="B928" s="1" t="str">
        <f>VLOOKUP(Table5[[#This Row],[Student_ID]],student_data[#All],2,0)</f>
        <v>Mechanical</v>
      </c>
      <c r="C928" s="1" t="s">
        <v>1031</v>
      </c>
      <c r="D928" s="1" t="s">
        <v>1032</v>
      </c>
      <c r="E928" s="1">
        <v>5.19</v>
      </c>
    </row>
    <row r="929" spans="1:5" x14ac:dyDescent="0.2">
      <c r="A929" s="1" t="s">
        <v>938</v>
      </c>
      <c r="B929" s="1" t="str">
        <f>VLOOKUP(Table5[[#This Row],[Student_ID]],student_data[#All],2,0)</f>
        <v>Mechanical</v>
      </c>
      <c r="C929" s="1" t="s">
        <v>1031</v>
      </c>
      <c r="D929" s="1" t="s">
        <v>1032</v>
      </c>
      <c r="E929" s="1">
        <v>4.5</v>
      </c>
    </row>
    <row r="930" spans="1:5" x14ac:dyDescent="0.2">
      <c r="A930" s="1" t="s">
        <v>939</v>
      </c>
      <c r="B930" s="1" t="str">
        <f>VLOOKUP(Table5[[#This Row],[Student_ID]],student_data[#All],2,0)</f>
        <v>Electronics</v>
      </c>
      <c r="C930" s="1" t="s">
        <v>1031</v>
      </c>
      <c r="D930" s="1" t="s">
        <v>1038</v>
      </c>
      <c r="E930" s="1">
        <v>4.1900000000000004</v>
      </c>
    </row>
    <row r="931" spans="1:5" x14ac:dyDescent="0.2">
      <c r="A931" s="1" t="s">
        <v>940</v>
      </c>
      <c r="B931" s="1" t="str">
        <f>VLOOKUP(Table5[[#This Row],[Student_ID]],student_data[#All],2,0)</f>
        <v>Civil</v>
      </c>
      <c r="C931" s="1" t="s">
        <v>1031</v>
      </c>
      <c r="D931" s="1" t="s">
        <v>1038</v>
      </c>
      <c r="E931" s="1">
        <v>4.1100000000000003</v>
      </c>
    </row>
    <row r="932" spans="1:5" x14ac:dyDescent="0.2">
      <c r="A932" s="1" t="s">
        <v>941</v>
      </c>
      <c r="B932" s="1" t="str">
        <f>VLOOKUP(Table5[[#This Row],[Student_ID]],student_data[#All],2,0)</f>
        <v>Computer Science</v>
      </c>
      <c r="C932" s="1" t="s">
        <v>1033</v>
      </c>
      <c r="D932" s="1" t="s">
        <v>1034</v>
      </c>
      <c r="E932" s="1">
        <v>0</v>
      </c>
    </row>
    <row r="933" spans="1:5" x14ac:dyDescent="0.2">
      <c r="A933" s="1" t="s">
        <v>942</v>
      </c>
      <c r="B933" s="1" t="str">
        <f>VLOOKUP(Table5[[#This Row],[Student_ID]],student_data[#All],2,0)</f>
        <v>Information Technology</v>
      </c>
      <c r="C933" s="1" t="s">
        <v>1031</v>
      </c>
      <c r="D933" s="1" t="s">
        <v>1035</v>
      </c>
      <c r="E933" s="1">
        <v>4.5599999999999996</v>
      </c>
    </row>
    <row r="934" spans="1:5" x14ac:dyDescent="0.2">
      <c r="A934" s="1" t="s">
        <v>943</v>
      </c>
      <c r="B934" s="1" t="str">
        <f>VLOOKUP(Table5[[#This Row],[Student_ID]],student_data[#All],2,0)</f>
        <v>Electronics</v>
      </c>
      <c r="C934" s="1" t="s">
        <v>1031</v>
      </c>
      <c r="D934" s="1" t="s">
        <v>1038</v>
      </c>
      <c r="E934" s="1">
        <v>5.13</v>
      </c>
    </row>
    <row r="935" spans="1:5" x14ac:dyDescent="0.2">
      <c r="A935" s="1" t="s">
        <v>944</v>
      </c>
      <c r="B935" s="1" t="str">
        <f>VLOOKUP(Table5[[#This Row],[Student_ID]],student_data[#All],2,0)</f>
        <v>Computer Science</v>
      </c>
      <c r="C935" s="1" t="s">
        <v>1033</v>
      </c>
      <c r="D935" s="1" t="s">
        <v>1034</v>
      </c>
      <c r="E935" s="1">
        <v>0</v>
      </c>
    </row>
    <row r="936" spans="1:5" x14ac:dyDescent="0.2">
      <c r="A936" s="1" t="s">
        <v>945</v>
      </c>
      <c r="B936" s="1" t="str">
        <f>VLOOKUP(Table5[[#This Row],[Student_ID]],student_data[#All],2,0)</f>
        <v>Electronics</v>
      </c>
      <c r="C936" s="1" t="s">
        <v>1031</v>
      </c>
      <c r="D936" s="1" t="s">
        <v>1038</v>
      </c>
      <c r="E936" s="1">
        <v>4.12</v>
      </c>
    </row>
    <row r="937" spans="1:5" x14ac:dyDescent="0.2">
      <c r="A937" s="1" t="s">
        <v>946</v>
      </c>
      <c r="B937" s="1" t="str">
        <f>VLOOKUP(Table5[[#This Row],[Student_ID]],student_data[#All],2,0)</f>
        <v>Mechanical</v>
      </c>
      <c r="C937" s="1" t="s">
        <v>1031</v>
      </c>
      <c r="D937" s="1" t="s">
        <v>1038</v>
      </c>
      <c r="E937" s="1">
        <v>4.3499999999999996</v>
      </c>
    </row>
    <row r="938" spans="1:5" x14ac:dyDescent="0.2">
      <c r="A938" s="1" t="s">
        <v>947</v>
      </c>
      <c r="B938" s="1" t="str">
        <f>VLOOKUP(Table5[[#This Row],[Student_ID]],student_data[#All],2,0)</f>
        <v>Information Technology</v>
      </c>
      <c r="C938" s="1" t="s">
        <v>1031</v>
      </c>
      <c r="D938" s="1" t="s">
        <v>1032</v>
      </c>
      <c r="E938" s="1">
        <v>4.5</v>
      </c>
    </row>
    <row r="939" spans="1:5" x14ac:dyDescent="0.2">
      <c r="A939" s="1" t="s">
        <v>948</v>
      </c>
      <c r="B939" s="1" t="str">
        <f>VLOOKUP(Table5[[#This Row],[Student_ID]],student_data[#All],2,0)</f>
        <v>Computer Science</v>
      </c>
      <c r="C939" s="1" t="s">
        <v>1031</v>
      </c>
      <c r="D939" s="1" t="s">
        <v>1038</v>
      </c>
      <c r="E939" s="1">
        <v>4.1900000000000004</v>
      </c>
    </row>
    <row r="940" spans="1:5" x14ac:dyDescent="0.2">
      <c r="A940" s="1" t="s">
        <v>949</v>
      </c>
      <c r="B940" s="1" t="str">
        <f>VLOOKUP(Table5[[#This Row],[Student_ID]],student_data[#All],2,0)</f>
        <v>Computer Science</v>
      </c>
      <c r="C940" s="1" t="s">
        <v>1031</v>
      </c>
      <c r="D940" s="1" t="s">
        <v>1038</v>
      </c>
      <c r="E940" s="1">
        <v>4.1100000000000003</v>
      </c>
    </row>
    <row r="941" spans="1:5" x14ac:dyDescent="0.2">
      <c r="A941" s="1" t="s">
        <v>950</v>
      </c>
      <c r="B941" s="1" t="str">
        <f>VLOOKUP(Table5[[#This Row],[Student_ID]],student_data[#All],2,0)</f>
        <v>Computer Science</v>
      </c>
      <c r="C941" s="1" t="s">
        <v>1031</v>
      </c>
      <c r="D941" s="1" t="s">
        <v>1035</v>
      </c>
      <c r="E941" s="1">
        <v>4.53</v>
      </c>
    </row>
    <row r="942" spans="1:5" x14ac:dyDescent="0.2">
      <c r="A942" s="1" t="s">
        <v>951</v>
      </c>
      <c r="B942" s="1" t="str">
        <f>VLOOKUP(Table5[[#This Row],[Student_ID]],student_data[#All],2,0)</f>
        <v>Computer Science</v>
      </c>
      <c r="C942" s="1" t="s">
        <v>1031</v>
      </c>
      <c r="D942" s="1" t="s">
        <v>1035</v>
      </c>
      <c r="E942" s="1">
        <v>5.13</v>
      </c>
    </row>
    <row r="943" spans="1:5" x14ac:dyDescent="0.2">
      <c r="A943" s="1" t="s">
        <v>952</v>
      </c>
      <c r="B943" s="1" t="str">
        <f>VLOOKUP(Table5[[#This Row],[Student_ID]],student_data[#All],2,0)</f>
        <v>Computer Science</v>
      </c>
      <c r="C943" s="1" t="s">
        <v>1033</v>
      </c>
      <c r="D943" s="1" t="s">
        <v>1034</v>
      </c>
      <c r="E943" s="1">
        <v>0</v>
      </c>
    </row>
    <row r="944" spans="1:5" x14ac:dyDescent="0.2">
      <c r="A944" s="1" t="s">
        <v>953</v>
      </c>
      <c r="B944" s="1" t="str">
        <f>VLOOKUP(Table5[[#This Row],[Student_ID]],student_data[#All],2,0)</f>
        <v>Electronics</v>
      </c>
      <c r="C944" s="1" t="s">
        <v>1031</v>
      </c>
      <c r="D944" s="1" t="s">
        <v>1038</v>
      </c>
      <c r="E944" s="1">
        <v>4.5</v>
      </c>
    </row>
    <row r="945" spans="1:5" x14ac:dyDescent="0.2">
      <c r="A945" s="1" t="s">
        <v>954</v>
      </c>
      <c r="B945" s="1" t="str">
        <f>VLOOKUP(Table5[[#This Row],[Student_ID]],student_data[#All],2,0)</f>
        <v>Information Technology</v>
      </c>
      <c r="C945" s="1" t="s">
        <v>1031</v>
      </c>
      <c r="D945" s="1" t="s">
        <v>1038</v>
      </c>
      <c r="E945" s="1">
        <v>4.3499999999999996</v>
      </c>
    </row>
    <row r="946" spans="1:5" x14ac:dyDescent="0.2">
      <c r="A946" s="1" t="s">
        <v>955</v>
      </c>
      <c r="B946" s="1" t="str">
        <f>VLOOKUP(Table5[[#This Row],[Student_ID]],student_data[#All],2,0)</f>
        <v>Mechanical</v>
      </c>
      <c r="C946" s="1" t="s">
        <v>1031</v>
      </c>
      <c r="D946" s="1" t="s">
        <v>1038</v>
      </c>
      <c r="E946" s="1">
        <v>4.1900000000000004</v>
      </c>
    </row>
    <row r="947" spans="1:5" x14ac:dyDescent="0.2">
      <c r="A947" s="1" t="s">
        <v>956</v>
      </c>
      <c r="B947" s="1" t="str">
        <f>VLOOKUP(Table5[[#This Row],[Student_ID]],student_data[#All],2,0)</f>
        <v>Mechanical</v>
      </c>
      <c r="C947" s="1" t="s">
        <v>1031</v>
      </c>
      <c r="D947" s="1" t="s">
        <v>1032</v>
      </c>
      <c r="E947" s="1">
        <v>5.13</v>
      </c>
    </row>
    <row r="948" spans="1:5" x14ac:dyDescent="0.2">
      <c r="A948" s="1" t="s">
        <v>957</v>
      </c>
      <c r="B948" s="1" t="str">
        <f>VLOOKUP(Table5[[#This Row],[Student_ID]],student_data[#All],2,0)</f>
        <v>Mechanical</v>
      </c>
      <c r="C948" s="1" t="s">
        <v>1031</v>
      </c>
      <c r="D948" s="1" t="s">
        <v>1035</v>
      </c>
      <c r="E948" s="1">
        <v>4.12</v>
      </c>
    </row>
    <row r="949" spans="1:5" x14ac:dyDescent="0.2">
      <c r="A949" s="1" t="s">
        <v>958</v>
      </c>
      <c r="B949" s="1" t="str">
        <f>VLOOKUP(Table5[[#This Row],[Student_ID]],student_data[#All],2,0)</f>
        <v>Mechanical</v>
      </c>
      <c r="C949" s="1" t="s">
        <v>1031</v>
      </c>
      <c r="D949" s="1" t="s">
        <v>1038</v>
      </c>
      <c r="E949" s="1">
        <v>4.5599999999999996</v>
      </c>
    </row>
    <row r="950" spans="1:5" x14ac:dyDescent="0.2">
      <c r="A950" s="1" t="s">
        <v>959</v>
      </c>
      <c r="B950" s="1" t="str">
        <f>VLOOKUP(Table5[[#This Row],[Student_ID]],student_data[#All],2,0)</f>
        <v>Electronics</v>
      </c>
      <c r="C950" s="1" t="s">
        <v>1033</v>
      </c>
      <c r="D950" s="1" t="s">
        <v>1034</v>
      </c>
      <c r="E950" s="1">
        <v>0</v>
      </c>
    </row>
    <row r="951" spans="1:5" x14ac:dyDescent="0.2">
      <c r="A951" s="1" t="s">
        <v>960</v>
      </c>
      <c r="B951" s="1" t="str">
        <f>VLOOKUP(Table5[[#This Row],[Student_ID]],student_data[#All],2,0)</f>
        <v>Civil</v>
      </c>
      <c r="C951" s="1" t="s">
        <v>1031</v>
      </c>
      <c r="D951" s="1" t="s">
        <v>1038</v>
      </c>
      <c r="E951" s="1">
        <v>5.13</v>
      </c>
    </row>
    <row r="952" spans="1:5" x14ac:dyDescent="0.2">
      <c r="A952" s="1" t="s">
        <v>961</v>
      </c>
      <c r="B952" s="1" t="str">
        <f>VLOOKUP(Table5[[#This Row],[Student_ID]],student_data[#All],2,0)</f>
        <v>Information Technology</v>
      </c>
      <c r="C952" s="1" t="s">
        <v>1031</v>
      </c>
      <c r="D952" s="1" t="s">
        <v>1032</v>
      </c>
      <c r="E952" s="1">
        <v>5.19</v>
      </c>
    </row>
    <row r="953" spans="1:5" x14ac:dyDescent="0.2">
      <c r="A953" s="1" t="s">
        <v>962</v>
      </c>
      <c r="B953" s="1" t="str">
        <f>VLOOKUP(Table5[[#This Row],[Student_ID]],student_data[#All],2,0)</f>
        <v>Computer Science</v>
      </c>
      <c r="C953" s="1" t="s">
        <v>1031</v>
      </c>
      <c r="D953" s="1" t="s">
        <v>1032</v>
      </c>
      <c r="E953" s="1">
        <v>4.5</v>
      </c>
    </row>
    <row r="954" spans="1:5" x14ac:dyDescent="0.2">
      <c r="A954" s="1" t="s">
        <v>963</v>
      </c>
      <c r="B954" s="1" t="str">
        <f>VLOOKUP(Table5[[#This Row],[Student_ID]],student_data[#All],2,0)</f>
        <v>Civil</v>
      </c>
      <c r="C954" s="1" t="s">
        <v>1031</v>
      </c>
      <c r="D954" s="1" t="s">
        <v>1038</v>
      </c>
      <c r="E954" s="1">
        <v>4.1900000000000004</v>
      </c>
    </row>
    <row r="955" spans="1:5" x14ac:dyDescent="0.2">
      <c r="A955" s="1" t="s">
        <v>964</v>
      </c>
      <c r="B955" s="1" t="str">
        <f>VLOOKUP(Table5[[#This Row],[Student_ID]],student_data[#All],2,0)</f>
        <v>Mechanical</v>
      </c>
      <c r="C955" s="1" t="s">
        <v>1031</v>
      </c>
      <c r="D955" s="1" t="s">
        <v>1038</v>
      </c>
      <c r="E955" s="1">
        <v>4.1100000000000003</v>
      </c>
    </row>
    <row r="956" spans="1:5" x14ac:dyDescent="0.2">
      <c r="A956" s="1" t="s">
        <v>965</v>
      </c>
      <c r="B956" s="1" t="str">
        <f>VLOOKUP(Table5[[#This Row],[Student_ID]],student_data[#All],2,0)</f>
        <v>Civil</v>
      </c>
      <c r="C956" s="1" t="s">
        <v>1033</v>
      </c>
      <c r="D956" s="1" t="s">
        <v>1034</v>
      </c>
      <c r="E956" s="1">
        <v>0</v>
      </c>
    </row>
    <row r="957" spans="1:5" x14ac:dyDescent="0.2">
      <c r="A957" s="1" t="s">
        <v>966</v>
      </c>
      <c r="B957" s="1" t="str">
        <f>VLOOKUP(Table5[[#This Row],[Student_ID]],student_data[#All],2,0)</f>
        <v>Information Technology</v>
      </c>
      <c r="C957" s="1" t="s">
        <v>1031</v>
      </c>
      <c r="D957" s="1" t="s">
        <v>1035</v>
      </c>
      <c r="E957" s="1">
        <v>4.5599999999999996</v>
      </c>
    </row>
    <row r="958" spans="1:5" x14ac:dyDescent="0.2">
      <c r="A958" s="1" t="s">
        <v>967</v>
      </c>
      <c r="B958" s="1" t="str">
        <f>VLOOKUP(Table5[[#This Row],[Student_ID]],student_data[#All],2,0)</f>
        <v>Computer Science</v>
      </c>
      <c r="C958" s="1" t="s">
        <v>1031</v>
      </c>
      <c r="D958" s="1" t="s">
        <v>1038</v>
      </c>
      <c r="E958" s="1">
        <v>5.13</v>
      </c>
    </row>
    <row r="959" spans="1:5" x14ac:dyDescent="0.2">
      <c r="A959" s="1" t="s">
        <v>968</v>
      </c>
      <c r="B959" s="1" t="str">
        <f>VLOOKUP(Table5[[#This Row],[Student_ID]],student_data[#All],2,0)</f>
        <v>Computer Science</v>
      </c>
      <c r="C959" s="1" t="s">
        <v>1033</v>
      </c>
      <c r="D959" s="1" t="s">
        <v>1034</v>
      </c>
      <c r="E959" s="1">
        <v>0</v>
      </c>
    </row>
    <row r="960" spans="1:5" x14ac:dyDescent="0.2">
      <c r="A960" s="1" t="s">
        <v>969</v>
      </c>
      <c r="B960" s="1" t="str">
        <f>VLOOKUP(Table5[[#This Row],[Student_ID]],student_data[#All],2,0)</f>
        <v>Information Technology</v>
      </c>
      <c r="C960" s="1" t="s">
        <v>1031</v>
      </c>
      <c r="D960" s="1" t="s">
        <v>1038</v>
      </c>
      <c r="E960" s="1">
        <v>4.12</v>
      </c>
    </row>
    <row r="961" spans="1:5" x14ac:dyDescent="0.2">
      <c r="A961" s="1" t="s">
        <v>970</v>
      </c>
      <c r="B961" s="1" t="str">
        <f>VLOOKUP(Table5[[#This Row],[Student_ID]],student_data[#All],2,0)</f>
        <v>Information Technology</v>
      </c>
      <c r="C961" s="1" t="s">
        <v>1031</v>
      </c>
      <c r="D961" s="1" t="s">
        <v>1038</v>
      </c>
      <c r="E961" s="1">
        <v>4.3499999999999996</v>
      </c>
    </row>
    <row r="962" spans="1:5" x14ac:dyDescent="0.2">
      <c r="A962" s="1" t="s">
        <v>971</v>
      </c>
      <c r="B962" s="1" t="str">
        <f>VLOOKUP(Table5[[#This Row],[Student_ID]],student_data[#All],2,0)</f>
        <v>Mechanical</v>
      </c>
      <c r="C962" s="1" t="s">
        <v>1031</v>
      </c>
      <c r="D962" s="1" t="s">
        <v>1032</v>
      </c>
      <c r="E962" s="1">
        <v>4.5</v>
      </c>
    </row>
    <row r="963" spans="1:5" x14ac:dyDescent="0.2">
      <c r="A963" s="1" t="s">
        <v>972</v>
      </c>
      <c r="B963" s="1" t="str">
        <f>VLOOKUP(Table5[[#This Row],[Student_ID]],student_data[#All],2,0)</f>
        <v>Computer Science</v>
      </c>
      <c r="C963" s="1" t="s">
        <v>1031</v>
      </c>
      <c r="D963" s="1" t="s">
        <v>1038</v>
      </c>
      <c r="E963" s="1">
        <v>4.1900000000000004</v>
      </c>
    </row>
    <row r="964" spans="1:5" x14ac:dyDescent="0.2">
      <c r="A964" s="1" t="s">
        <v>973</v>
      </c>
      <c r="B964" s="1" t="str">
        <f>VLOOKUP(Table5[[#This Row],[Student_ID]],student_data[#All],2,0)</f>
        <v>Civil</v>
      </c>
      <c r="C964" s="1" t="s">
        <v>1031</v>
      </c>
      <c r="D964" s="1" t="s">
        <v>1038</v>
      </c>
      <c r="E964" s="1">
        <v>4.1100000000000003</v>
      </c>
    </row>
    <row r="965" spans="1:5" x14ac:dyDescent="0.2">
      <c r="A965" s="1" t="s">
        <v>974</v>
      </c>
      <c r="B965" s="1" t="str">
        <f>VLOOKUP(Table5[[#This Row],[Student_ID]],student_data[#All],2,0)</f>
        <v>Electronics</v>
      </c>
      <c r="C965" s="1" t="s">
        <v>1031</v>
      </c>
      <c r="D965" s="1" t="s">
        <v>1035</v>
      </c>
      <c r="E965" s="1">
        <v>4.53</v>
      </c>
    </row>
    <row r="966" spans="1:5" x14ac:dyDescent="0.2">
      <c r="A966" s="1" t="s">
        <v>975</v>
      </c>
      <c r="B966" s="1" t="str">
        <f>VLOOKUP(Table5[[#This Row],[Student_ID]],student_data[#All],2,0)</f>
        <v>Electronics</v>
      </c>
      <c r="C966" s="1" t="s">
        <v>1031</v>
      </c>
      <c r="D966" s="1" t="s">
        <v>1035</v>
      </c>
      <c r="E966" s="1">
        <v>5.13</v>
      </c>
    </row>
    <row r="967" spans="1:5" x14ac:dyDescent="0.2">
      <c r="A967" s="1" t="s">
        <v>976</v>
      </c>
      <c r="B967" s="1" t="str">
        <f>VLOOKUP(Table5[[#This Row],[Student_ID]],student_data[#All],2,0)</f>
        <v>Information Technology</v>
      </c>
      <c r="C967" s="1" t="s">
        <v>1033</v>
      </c>
      <c r="D967" s="1" t="s">
        <v>1034</v>
      </c>
      <c r="E967" s="1">
        <v>0</v>
      </c>
    </row>
    <row r="968" spans="1:5" x14ac:dyDescent="0.2">
      <c r="A968" s="1" t="s">
        <v>977</v>
      </c>
      <c r="B968" s="1" t="str">
        <f>VLOOKUP(Table5[[#This Row],[Student_ID]],student_data[#All],2,0)</f>
        <v>Mechanical</v>
      </c>
      <c r="C968" s="1" t="s">
        <v>1031</v>
      </c>
      <c r="D968" s="1" t="s">
        <v>1038</v>
      </c>
      <c r="E968" s="1">
        <v>4.5</v>
      </c>
    </row>
    <row r="969" spans="1:5" x14ac:dyDescent="0.2">
      <c r="A969" s="1" t="s">
        <v>978</v>
      </c>
      <c r="B969" s="1" t="str">
        <f>VLOOKUP(Table5[[#This Row],[Student_ID]],student_data[#All],2,0)</f>
        <v>Electronics</v>
      </c>
      <c r="C969" s="1" t="s">
        <v>1031</v>
      </c>
      <c r="D969" s="1" t="s">
        <v>1038</v>
      </c>
      <c r="E969" s="1">
        <v>4.3499999999999996</v>
      </c>
    </row>
    <row r="970" spans="1:5" x14ac:dyDescent="0.2">
      <c r="A970" s="1" t="s">
        <v>979</v>
      </c>
      <c r="B970" s="1" t="str">
        <f>VLOOKUP(Table5[[#This Row],[Student_ID]],student_data[#All],2,0)</f>
        <v>Computer Science</v>
      </c>
      <c r="C970" s="1" t="s">
        <v>1031</v>
      </c>
      <c r="D970" s="1" t="s">
        <v>1038</v>
      </c>
      <c r="E970" s="1">
        <v>4.1900000000000004</v>
      </c>
    </row>
    <row r="971" spans="1:5" x14ac:dyDescent="0.2">
      <c r="A971" s="1" t="s">
        <v>980</v>
      </c>
      <c r="B971" s="1" t="str">
        <f>VLOOKUP(Table5[[#This Row],[Student_ID]],student_data[#All],2,0)</f>
        <v>Information Technology</v>
      </c>
      <c r="C971" s="1" t="s">
        <v>1031</v>
      </c>
      <c r="D971" s="1" t="s">
        <v>1032</v>
      </c>
      <c r="E971" s="1">
        <v>5.13</v>
      </c>
    </row>
    <row r="972" spans="1:5" x14ac:dyDescent="0.2">
      <c r="A972" s="1" t="s">
        <v>981</v>
      </c>
      <c r="B972" s="1" t="str">
        <f>VLOOKUP(Table5[[#This Row],[Student_ID]],student_data[#All],2,0)</f>
        <v>Civil</v>
      </c>
      <c r="C972" s="1" t="s">
        <v>1031</v>
      </c>
      <c r="D972" s="1" t="s">
        <v>1035</v>
      </c>
      <c r="E972" s="1">
        <v>4.12</v>
      </c>
    </row>
    <row r="973" spans="1:5" x14ac:dyDescent="0.2">
      <c r="A973" s="1" t="s">
        <v>982</v>
      </c>
      <c r="B973" s="1" t="str">
        <f>VLOOKUP(Table5[[#This Row],[Student_ID]],student_data[#All],2,0)</f>
        <v>Information Technology</v>
      </c>
      <c r="C973" s="1" t="s">
        <v>1031</v>
      </c>
      <c r="D973" s="1" t="s">
        <v>1038</v>
      </c>
      <c r="E973" s="1">
        <v>4.5599999999999996</v>
      </c>
    </row>
    <row r="974" spans="1:5" x14ac:dyDescent="0.2">
      <c r="A974" s="1" t="s">
        <v>983</v>
      </c>
      <c r="B974" s="1" t="str">
        <f>VLOOKUP(Table5[[#This Row],[Student_ID]],student_data[#All],2,0)</f>
        <v>Civil</v>
      </c>
      <c r="C974" s="1" t="s">
        <v>1033</v>
      </c>
      <c r="D974" s="1" t="s">
        <v>1034</v>
      </c>
      <c r="E974" s="1">
        <v>0</v>
      </c>
    </row>
    <row r="975" spans="1:5" x14ac:dyDescent="0.2">
      <c r="A975" s="1" t="s">
        <v>984</v>
      </c>
      <c r="B975" s="1" t="str">
        <f>VLOOKUP(Table5[[#This Row],[Student_ID]],student_data[#All],2,0)</f>
        <v>Information Technology</v>
      </c>
      <c r="C975" s="1" t="s">
        <v>1031</v>
      </c>
      <c r="D975" s="1" t="s">
        <v>1038</v>
      </c>
      <c r="E975" s="1">
        <v>5.13</v>
      </c>
    </row>
    <row r="976" spans="1:5" x14ac:dyDescent="0.2">
      <c r="A976" s="1" t="s">
        <v>985</v>
      </c>
      <c r="B976" s="1" t="str">
        <f>VLOOKUP(Table5[[#This Row],[Student_ID]],student_data[#All],2,0)</f>
        <v>Information Technology</v>
      </c>
      <c r="C976" s="1" t="s">
        <v>1031</v>
      </c>
      <c r="D976" s="1" t="s">
        <v>1032</v>
      </c>
      <c r="E976" s="1">
        <v>5.19</v>
      </c>
    </row>
    <row r="977" spans="1:5" x14ac:dyDescent="0.2">
      <c r="A977" s="1" t="s">
        <v>986</v>
      </c>
      <c r="B977" s="1" t="str">
        <f>VLOOKUP(Table5[[#This Row],[Student_ID]],student_data[#All],2,0)</f>
        <v>Information Technology</v>
      </c>
      <c r="C977" s="1" t="s">
        <v>1031</v>
      </c>
      <c r="D977" s="1" t="s">
        <v>1032</v>
      </c>
      <c r="E977" s="1">
        <v>4.5</v>
      </c>
    </row>
    <row r="978" spans="1:5" x14ac:dyDescent="0.2">
      <c r="A978" s="1" t="s">
        <v>987</v>
      </c>
      <c r="B978" s="1" t="str">
        <f>VLOOKUP(Table5[[#This Row],[Student_ID]],student_data[#All],2,0)</f>
        <v>Civil</v>
      </c>
      <c r="C978" s="1" t="s">
        <v>1031</v>
      </c>
      <c r="D978" s="1" t="s">
        <v>1038</v>
      </c>
      <c r="E978" s="1">
        <v>4.1900000000000004</v>
      </c>
    </row>
    <row r="979" spans="1:5" x14ac:dyDescent="0.2">
      <c r="A979" s="1" t="s">
        <v>988</v>
      </c>
      <c r="B979" s="1" t="str">
        <f>VLOOKUP(Table5[[#This Row],[Student_ID]],student_data[#All],2,0)</f>
        <v>Civil</v>
      </c>
      <c r="C979" s="1" t="s">
        <v>1031</v>
      </c>
      <c r="D979" s="1" t="s">
        <v>1038</v>
      </c>
      <c r="E979" s="1">
        <v>4.1100000000000003</v>
      </c>
    </row>
    <row r="980" spans="1:5" x14ac:dyDescent="0.2">
      <c r="A980" s="1" t="s">
        <v>989</v>
      </c>
      <c r="B980" s="1" t="str">
        <f>VLOOKUP(Table5[[#This Row],[Student_ID]],student_data[#All],2,0)</f>
        <v>Information Technology</v>
      </c>
      <c r="C980" s="1" t="s">
        <v>1033</v>
      </c>
      <c r="D980" s="1" t="s">
        <v>1034</v>
      </c>
      <c r="E980" s="1">
        <v>0</v>
      </c>
    </row>
    <row r="981" spans="1:5" x14ac:dyDescent="0.2">
      <c r="A981" s="1" t="s">
        <v>990</v>
      </c>
      <c r="B981" s="1" t="str">
        <f>VLOOKUP(Table5[[#This Row],[Student_ID]],student_data[#All],2,0)</f>
        <v>Electronics</v>
      </c>
      <c r="C981" s="1" t="s">
        <v>1031</v>
      </c>
      <c r="D981" s="1" t="s">
        <v>1035</v>
      </c>
      <c r="E981" s="1">
        <v>4.5599999999999996</v>
      </c>
    </row>
    <row r="982" spans="1:5" x14ac:dyDescent="0.2">
      <c r="A982" s="1" t="s">
        <v>991</v>
      </c>
      <c r="B982" s="1" t="str">
        <f>VLOOKUP(Table5[[#This Row],[Student_ID]],student_data[#All],2,0)</f>
        <v>Mechanical</v>
      </c>
      <c r="C982" s="1" t="s">
        <v>1031</v>
      </c>
      <c r="D982" s="1" t="s">
        <v>1038</v>
      </c>
      <c r="E982" s="1">
        <v>5.13</v>
      </c>
    </row>
    <row r="983" spans="1:5" x14ac:dyDescent="0.2">
      <c r="A983" s="1" t="s">
        <v>992</v>
      </c>
      <c r="B983" s="1" t="str">
        <f>VLOOKUP(Table5[[#This Row],[Student_ID]],student_data[#All],2,0)</f>
        <v>Mechanical</v>
      </c>
      <c r="C983" s="1" t="s">
        <v>1033</v>
      </c>
      <c r="D983" s="1" t="s">
        <v>1034</v>
      </c>
      <c r="E983" s="1">
        <v>0</v>
      </c>
    </row>
    <row r="984" spans="1:5" x14ac:dyDescent="0.2">
      <c r="A984" s="1" t="s">
        <v>993</v>
      </c>
      <c r="B984" s="1" t="str">
        <f>VLOOKUP(Table5[[#This Row],[Student_ID]],student_data[#All],2,0)</f>
        <v>Mechanical</v>
      </c>
      <c r="C984" s="1" t="s">
        <v>1031</v>
      </c>
      <c r="D984" s="1" t="s">
        <v>1038</v>
      </c>
      <c r="E984" s="1">
        <v>4.12</v>
      </c>
    </row>
    <row r="985" spans="1:5" x14ac:dyDescent="0.2">
      <c r="A985" s="1" t="s">
        <v>994</v>
      </c>
      <c r="B985" s="1" t="str">
        <f>VLOOKUP(Table5[[#This Row],[Student_ID]],student_data[#All],2,0)</f>
        <v>Civil</v>
      </c>
      <c r="C985" s="1" t="s">
        <v>1031</v>
      </c>
      <c r="D985" s="1" t="s">
        <v>1038</v>
      </c>
      <c r="E985" s="1">
        <v>4.3499999999999996</v>
      </c>
    </row>
    <row r="986" spans="1:5" x14ac:dyDescent="0.2">
      <c r="A986" s="1" t="s">
        <v>995</v>
      </c>
      <c r="B986" s="1" t="str">
        <f>VLOOKUP(Table5[[#This Row],[Student_ID]],student_data[#All],2,0)</f>
        <v>Civil</v>
      </c>
      <c r="C986" s="1" t="s">
        <v>1031</v>
      </c>
      <c r="D986" s="1" t="s">
        <v>1032</v>
      </c>
      <c r="E986" s="1">
        <v>4.5</v>
      </c>
    </row>
    <row r="987" spans="1:5" x14ac:dyDescent="0.2">
      <c r="A987" s="1" t="s">
        <v>996</v>
      </c>
      <c r="B987" s="1" t="str">
        <f>VLOOKUP(Table5[[#This Row],[Student_ID]],student_data[#All],2,0)</f>
        <v>Electronics</v>
      </c>
      <c r="C987" s="1" t="s">
        <v>1031</v>
      </c>
      <c r="D987" s="1" t="s">
        <v>1038</v>
      </c>
      <c r="E987" s="1">
        <v>4.1900000000000004</v>
      </c>
    </row>
    <row r="988" spans="1:5" x14ac:dyDescent="0.2">
      <c r="A988" s="1" t="s">
        <v>997</v>
      </c>
      <c r="B988" s="1" t="str">
        <f>VLOOKUP(Table5[[#This Row],[Student_ID]],student_data[#All],2,0)</f>
        <v>Mechanical</v>
      </c>
      <c r="C988" s="1" t="s">
        <v>1031</v>
      </c>
      <c r="D988" s="1" t="s">
        <v>1038</v>
      </c>
      <c r="E988" s="1">
        <v>4.1100000000000003</v>
      </c>
    </row>
    <row r="989" spans="1:5" x14ac:dyDescent="0.2">
      <c r="A989" s="1" t="s">
        <v>998</v>
      </c>
      <c r="B989" s="1" t="str">
        <f>VLOOKUP(Table5[[#This Row],[Student_ID]],student_data[#All],2,0)</f>
        <v>Mechanical</v>
      </c>
      <c r="C989" s="1" t="s">
        <v>1031</v>
      </c>
      <c r="D989" s="1" t="s">
        <v>1035</v>
      </c>
      <c r="E989" s="1">
        <v>4.53</v>
      </c>
    </row>
    <row r="990" spans="1:5" x14ac:dyDescent="0.2">
      <c r="A990" s="1" t="s">
        <v>999</v>
      </c>
      <c r="B990" s="1" t="str">
        <f>VLOOKUP(Table5[[#This Row],[Student_ID]],student_data[#All],2,0)</f>
        <v>Information Technology</v>
      </c>
      <c r="C990" s="1" t="s">
        <v>1031</v>
      </c>
      <c r="D990" s="1" t="s">
        <v>1035</v>
      </c>
      <c r="E990" s="1">
        <v>5.13</v>
      </c>
    </row>
    <row r="991" spans="1:5" x14ac:dyDescent="0.2">
      <c r="A991" s="1" t="s">
        <v>1000</v>
      </c>
      <c r="B991" s="1" t="str">
        <f>VLOOKUP(Table5[[#This Row],[Student_ID]],student_data[#All],2,0)</f>
        <v>Civil</v>
      </c>
      <c r="C991" s="1" t="s">
        <v>1033</v>
      </c>
      <c r="D991" s="1" t="s">
        <v>1034</v>
      </c>
      <c r="E991" s="1">
        <v>0</v>
      </c>
    </row>
    <row r="992" spans="1:5" x14ac:dyDescent="0.2">
      <c r="A992" s="1" t="s">
        <v>1001</v>
      </c>
      <c r="B992" s="1" t="str">
        <f>VLOOKUP(Table5[[#This Row],[Student_ID]],student_data[#All],2,0)</f>
        <v>Mechanical</v>
      </c>
      <c r="C992" s="1" t="s">
        <v>1031</v>
      </c>
      <c r="D992" s="1" t="s">
        <v>1038</v>
      </c>
      <c r="E992" s="1">
        <v>4.5</v>
      </c>
    </row>
    <row r="993" spans="1:5" x14ac:dyDescent="0.2">
      <c r="A993" s="1" t="s">
        <v>1002</v>
      </c>
      <c r="B993" s="1" t="str">
        <f>VLOOKUP(Table5[[#This Row],[Student_ID]],student_data[#All],2,0)</f>
        <v>Electronics</v>
      </c>
      <c r="C993" s="1" t="s">
        <v>1031</v>
      </c>
      <c r="D993" s="1" t="s">
        <v>1038</v>
      </c>
      <c r="E993" s="1">
        <v>4.3499999999999996</v>
      </c>
    </row>
    <row r="994" spans="1:5" x14ac:dyDescent="0.2">
      <c r="A994" s="1" t="s">
        <v>1003</v>
      </c>
      <c r="B994" s="1" t="str">
        <f>VLOOKUP(Table5[[#This Row],[Student_ID]],student_data[#All],2,0)</f>
        <v>Electronics</v>
      </c>
      <c r="C994" s="1" t="s">
        <v>1031</v>
      </c>
      <c r="D994" s="1" t="s">
        <v>1038</v>
      </c>
      <c r="E994" s="1">
        <v>4.1900000000000004</v>
      </c>
    </row>
    <row r="995" spans="1:5" x14ac:dyDescent="0.2">
      <c r="A995" s="1" t="s">
        <v>1004</v>
      </c>
      <c r="B995" s="1" t="str">
        <f>VLOOKUP(Table5[[#This Row],[Student_ID]],student_data[#All],2,0)</f>
        <v>Mechanical</v>
      </c>
      <c r="C995" s="1" t="s">
        <v>1031</v>
      </c>
      <c r="D995" s="1" t="s">
        <v>1032</v>
      </c>
      <c r="E995" s="1">
        <v>5.13</v>
      </c>
    </row>
    <row r="996" spans="1:5" x14ac:dyDescent="0.2">
      <c r="A996" s="1" t="s">
        <v>1005</v>
      </c>
      <c r="B996" s="1" t="str">
        <f>VLOOKUP(Table5[[#This Row],[Student_ID]],student_data[#All],2,0)</f>
        <v>Civil</v>
      </c>
      <c r="C996" s="1" t="s">
        <v>1031</v>
      </c>
      <c r="D996" s="1" t="s">
        <v>1035</v>
      </c>
      <c r="E996" s="1">
        <v>4.12</v>
      </c>
    </row>
    <row r="997" spans="1:5" x14ac:dyDescent="0.2">
      <c r="A997" s="1" t="s">
        <v>1006</v>
      </c>
      <c r="B997" s="1" t="str">
        <f>VLOOKUP(Table5[[#This Row],[Student_ID]],student_data[#All],2,0)</f>
        <v>Electronics</v>
      </c>
      <c r="C997" s="1" t="s">
        <v>1031</v>
      </c>
      <c r="D997" s="1" t="s">
        <v>1038</v>
      </c>
      <c r="E997" s="1">
        <v>4.5599999999999996</v>
      </c>
    </row>
    <row r="998" spans="1:5" x14ac:dyDescent="0.2">
      <c r="A998" s="1" t="s">
        <v>1007</v>
      </c>
      <c r="B998" s="1" t="str">
        <f>VLOOKUP(Table5[[#This Row],[Student_ID]],student_data[#All],2,0)</f>
        <v>Information Technology</v>
      </c>
      <c r="C998" s="1" t="s">
        <v>1033</v>
      </c>
      <c r="D998" s="1" t="s">
        <v>1034</v>
      </c>
      <c r="E998" s="1">
        <v>0</v>
      </c>
    </row>
    <row r="999" spans="1:5" x14ac:dyDescent="0.2">
      <c r="A999" s="1" t="s">
        <v>1008</v>
      </c>
      <c r="B999" s="1" t="str">
        <f>VLOOKUP(Table5[[#This Row],[Student_ID]],student_data[#All],2,0)</f>
        <v>Electronics</v>
      </c>
      <c r="C999" s="1" t="s">
        <v>1031</v>
      </c>
      <c r="D999" s="1" t="s">
        <v>1038</v>
      </c>
      <c r="E999" s="1">
        <v>5.13</v>
      </c>
    </row>
    <row r="1000" spans="1:5" x14ac:dyDescent="0.2">
      <c r="A1000" s="1" t="s">
        <v>1009</v>
      </c>
      <c r="B1000" s="1" t="str">
        <f>VLOOKUP(Table5[[#This Row],[Student_ID]],student_data[#All],2,0)</f>
        <v>Computer Science</v>
      </c>
      <c r="C1000" s="1" t="s">
        <v>1031</v>
      </c>
      <c r="D1000" s="1" t="s">
        <v>1032</v>
      </c>
      <c r="E1000" s="1">
        <v>5.19</v>
      </c>
    </row>
    <row r="1001" spans="1:5" x14ac:dyDescent="0.2">
      <c r="A1001" s="1" t="s">
        <v>1010</v>
      </c>
      <c r="B1001" s="1" t="str">
        <f>VLOOKUP(Table5[[#This Row],[Student_ID]],student_data[#All],2,0)</f>
        <v>Computer Science</v>
      </c>
      <c r="C1001" s="1" t="s">
        <v>1031</v>
      </c>
      <c r="D1001" s="1" t="s">
        <v>1032</v>
      </c>
      <c r="E1001" s="1">
        <v>4.5</v>
      </c>
    </row>
    <row r="1002" spans="1:5" x14ac:dyDescent="0.2">
      <c r="A1002" s="1" t="s">
        <v>1011</v>
      </c>
      <c r="B1002" s="1" t="str">
        <f>VLOOKUP(Table5[[#This Row],[Student_ID]],student_data[#All],2,0)</f>
        <v>Civil</v>
      </c>
      <c r="C1002" s="1" t="s">
        <v>1031</v>
      </c>
      <c r="D1002" s="1" t="s">
        <v>1038</v>
      </c>
      <c r="E1002" s="1">
        <v>4.1900000000000004</v>
      </c>
    </row>
    <row r="1003" spans="1:5" x14ac:dyDescent="0.2">
      <c r="A1003" s="1" t="s">
        <v>1012</v>
      </c>
      <c r="B1003" s="1" t="str">
        <f>VLOOKUP(Table5[[#This Row],[Student_ID]],student_data[#All],2,0)</f>
        <v>Mechanical</v>
      </c>
      <c r="C1003" s="1" t="s">
        <v>1031</v>
      </c>
      <c r="D1003" s="1" t="s">
        <v>1038</v>
      </c>
      <c r="E1003" s="1">
        <v>4.1100000000000003</v>
      </c>
    </row>
    <row r="1004" spans="1:5" x14ac:dyDescent="0.2">
      <c r="A1004" s="1"/>
      <c r="B1004" s="1" t="e">
        <f>VLOOKUP(Table5[[#This Row],[Student_ID]],student_data[#All],2,0)</f>
        <v>#N/A</v>
      </c>
      <c r="C1004" s="1"/>
      <c r="D1004" s="1"/>
      <c r="E1004" s="1"/>
    </row>
  </sheetData>
  <mergeCells count="1">
    <mergeCell ref="A1:E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0556A-D1CC-1B44-9484-8926DC9F40AE}">
  <dimension ref="A1:J1003"/>
  <sheetViews>
    <sheetView workbookViewId="0">
      <selection activeCell="O13" sqref="O13"/>
    </sheetView>
  </sheetViews>
  <sheetFormatPr baseColWidth="10" defaultRowHeight="16" x14ac:dyDescent="0.2"/>
  <cols>
    <col min="1" max="1" width="11.6640625" bestFit="1" customWidth="1"/>
    <col min="2" max="3" width="20" bestFit="1" customWidth="1"/>
    <col min="4" max="4" width="12.83203125" bestFit="1" customWidth="1"/>
    <col min="5" max="5" width="20" bestFit="1" customWidth="1"/>
    <col min="6" max="6" width="6.83203125" bestFit="1" customWidth="1"/>
    <col min="7" max="7" width="14.33203125" bestFit="1" customWidth="1"/>
    <col min="8" max="9" width="20" customWidth="1"/>
    <col min="10" max="10" width="15.83203125" customWidth="1"/>
  </cols>
  <sheetData>
    <row r="1" spans="1:10" x14ac:dyDescent="0.2">
      <c r="A1" s="12" t="s">
        <v>1050</v>
      </c>
      <c r="B1" s="12"/>
      <c r="C1" s="12"/>
      <c r="D1" s="12"/>
      <c r="E1" s="12"/>
      <c r="F1" s="12"/>
      <c r="G1" s="12"/>
      <c r="H1" s="12"/>
      <c r="I1" s="12"/>
      <c r="J1" s="12"/>
    </row>
    <row r="2" spans="1:10" x14ac:dyDescent="0.2">
      <c r="A2" s="12"/>
      <c r="B2" s="12"/>
      <c r="C2" s="12"/>
      <c r="D2" s="12"/>
      <c r="E2" s="12"/>
      <c r="F2" s="12"/>
      <c r="G2" s="12"/>
      <c r="H2" s="12"/>
      <c r="I2" s="12"/>
      <c r="J2" s="12"/>
    </row>
    <row r="3" spans="1:10" ht="19" x14ac:dyDescent="0.2">
      <c r="A3" s="2" t="s">
        <v>0</v>
      </c>
      <c r="B3" s="6" t="s">
        <v>1</v>
      </c>
      <c r="C3" s="2" t="s">
        <v>1046</v>
      </c>
      <c r="D3" s="2" t="s">
        <v>1047</v>
      </c>
      <c r="E3" s="2" t="s">
        <v>1048</v>
      </c>
      <c r="F3" s="6" t="s">
        <v>4</v>
      </c>
      <c r="G3" s="6" t="s">
        <v>1070</v>
      </c>
      <c r="H3" s="6" t="s">
        <v>1071</v>
      </c>
      <c r="I3" s="6" t="s">
        <v>1030</v>
      </c>
      <c r="J3" s="2" t="s">
        <v>1049</v>
      </c>
    </row>
    <row r="4" spans="1:10" x14ac:dyDescent="0.2">
      <c r="A4" s="1" t="s">
        <v>6</v>
      </c>
      <c r="B4" s="1" t="str">
        <f>VLOOKUP(Table7[[#This Row],[Student_ID]],student_data[#All],2,0)</f>
        <v>Civil</v>
      </c>
      <c r="C4" s="1">
        <f>(VLOOKUP(Table7[[#This Row],[Student_ID]],student_data[],5,0)*5)+(VLOOKUP(Table7[[#This Row],[Student_ID]],student_data[],6,0)*3)+(VLOOKUP(Table7[[#This Row],[Student_ID]],student_skills[],6,0)*2)+(VLOOKUP(Table7[[#This Row],[Student_ID]],student_internships[],2,0)*5)</f>
        <v>72.75</v>
      </c>
      <c r="D4" s="1">
        <f>AVERAGE(VLOOKUP(Table7[[#This Row],[Student_ID]],student_skills[],3,0),VLOOKUP(Table7[[#This Row],[Student_ID]],student_skills[],4,0),VLOOKUP(Table7[[#This Row],[Student_ID]],student_skills[],5,0),VLOOKUP(Table7[[#This Row],[Student_ID]],student_skills[],6,0))</f>
        <v>6.5</v>
      </c>
      <c r="E4" s="1" t="str">
        <f>IF(VLOOKUP(Table7[[#This Row],[Student_ID]],student_internships[#All],2,0)&gt;1,"EXPERIENCED",IF(VLOOKUP(Table7[[#This Row],[Student_ID]],student_internships[#All],2,0)=1,"BEGINNER","NOT EXPERIENCED"))</f>
        <v>BEGINNER</v>
      </c>
      <c r="F4" s="1">
        <f>VLOOKUP(Table7[[#This Row],[Student_ID]],student_data[],5,0)</f>
        <v>9.15</v>
      </c>
      <c r="G4" s="1">
        <f>VLOOKUP(Table7[[#This Row],[Student_ID]],student_data[#All],6,0)</f>
        <v>2</v>
      </c>
      <c r="H4" s="1">
        <f>VLOOKUP(Table7[[#This Row],[Student_ID]],student_internships[],2,0)</f>
        <v>1</v>
      </c>
      <c r="I4" s="1">
        <f>VLOOKUP(Table7[[#This Row],[Student_ID]],Placements!A4:E1003,5,0)</f>
        <v>5.4</v>
      </c>
      <c r="J4" s="1" t="str">
        <f>IF(VLOOKUP(Table7[[#This Row],[Student_ID]],student_data[#All],5,0)&gt;8,"HIGH",IF(VLOOKUP(Table7[[#This Row],[Student_ID]],student_data[#All],5,0)&lt;6.5,"LOW","MEDIUM"))</f>
        <v>HIGH</v>
      </c>
    </row>
    <row r="5" spans="1:10" x14ac:dyDescent="0.2">
      <c r="A5" s="1" t="s">
        <v>9</v>
      </c>
      <c r="B5" s="1" t="str">
        <f>VLOOKUP(Table7[[#This Row],[Student_ID]],student_data[#All],2,0)</f>
        <v>Information Technology</v>
      </c>
      <c r="C5" s="1">
        <f>(VLOOKUP(Table7[[#This Row],[Student_ID]],student_data[],5,0)*5)+(VLOOKUP(Table7[[#This Row],[Student_ID]],student_data[],6,0)*3)+(VLOOKUP(Table7[[#This Row],[Student_ID]],student_skills[],6,0)*2)+(VLOOKUP(Table7[[#This Row],[Student_ID]],student_internships[],2,0)*5)</f>
        <v>86.6</v>
      </c>
      <c r="D5" s="1">
        <f>AVERAGE(VLOOKUP(Table7[[#This Row],[Student_ID]],student_skills[],3,0),VLOOKUP(Table7[[#This Row],[Student_ID]],student_skills[],4,0),VLOOKUP(Table7[[#This Row],[Student_ID]],student_skills[],5,0),VLOOKUP(Table7[[#This Row],[Student_ID]],student_skills[],6,0))</f>
        <v>6.75</v>
      </c>
      <c r="E5" s="1" t="str">
        <f>IF(VLOOKUP(Table7[[#This Row],[Student_ID]],student_internships[#All],2,0)&gt;1,"EXPERIENCED",IF(VLOOKUP(Table7[[#This Row],[Student_ID]],student_internships[#All],2,0)=1,"BEGINNER","NOT EXPERIENCED"))</f>
        <v>EXPERIENCED</v>
      </c>
      <c r="F5" s="1">
        <f>VLOOKUP(Table7[[#This Row],[Student_ID]],student_data[],5,0)</f>
        <v>7.72</v>
      </c>
      <c r="G5" s="1">
        <f>VLOOKUP(Table7[[#This Row],[Student_ID]],student_data[#All],6,0)</f>
        <v>5</v>
      </c>
      <c r="H5" s="1">
        <f>VLOOKUP(Table7[[#This Row],[Student_ID]],student_internships[],2,0)</f>
        <v>3</v>
      </c>
      <c r="I5" s="1">
        <f>VLOOKUP(Table7[[#This Row],[Student_ID]],Placements!A5:E1004,5,0)</f>
        <v>0</v>
      </c>
      <c r="J5" s="1" t="str">
        <f>IF(VLOOKUP(Table7[[#This Row],[Student_ID]],student_data[#All],5,0)&gt;8,"HIGH",IF(VLOOKUP(Table7[[#This Row],[Student_ID]],student_data[#All],5,0)&lt;6.5,"LOW","MEDIUM"))</f>
        <v>MEDIUM</v>
      </c>
    </row>
    <row r="6" spans="1:10" x14ac:dyDescent="0.2">
      <c r="A6" s="1" t="s">
        <v>11</v>
      </c>
      <c r="B6" s="1" t="str">
        <f>VLOOKUP(Table7[[#This Row],[Student_ID]],student_data[#All],2,0)</f>
        <v>Mechanical</v>
      </c>
      <c r="C6" s="1">
        <f>(VLOOKUP(Table7[[#This Row],[Student_ID]],student_data[],5,0)*5)+(VLOOKUP(Table7[[#This Row],[Student_ID]],student_data[],6,0)*3)+(VLOOKUP(Table7[[#This Row],[Student_ID]],student_skills[],6,0)*2)+(VLOOKUP(Table7[[#This Row],[Student_ID]],student_internships[],2,0)*5)</f>
        <v>54.15</v>
      </c>
      <c r="D6" s="1">
        <f>AVERAGE(VLOOKUP(Table7[[#This Row],[Student_ID]],student_skills[],3,0),VLOOKUP(Table7[[#This Row],[Student_ID]],student_skills[],4,0),VLOOKUP(Table7[[#This Row],[Student_ID]],student_skills[],5,0),VLOOKUP(Table7[[#This Row],[Student_ID]],student_skills[],6,0))</f>
        <v>6.25</v>
      </c>
      <c r="E6" s="1" t="str">
        <f>IF(VLOOKUP(Table7[[#This Row],[Student_ID]],student_internships[#All],2,0)&gt;1,"EXPERIENCED",IF(VLOOKUP(Table7[[#This Row],[Student_ID]],student_internships[#All],2,0)=1,"BEGINNER","NOT EXPERIENCED"))</f>
        <v>EXPERIENCED</v>
      </c>
      <c r="F6" s="1">
        <f>VLOOKUP(Table7[[#This Row],[Student_ID]],student_data[],5,0)</f>
        <v>5.83</v>
      </c>
      <c r="G6" s="1">
        <f>VLOOKUP(Table7[[#This Row],[Student_ID]],student_data[#All],6,0)</f>
        <v>1</v>
      </c>
      <c r="H6" s="1">
        <f>VLOOKUP(Table7[[#This Row],[Student_ID]],student_internships[],2,0)</f>
        <v>2</v>
      </c>
      <c r="I6" s="1">
        <f>VLOOKUP(Table7[[#This Row],[Student_ID]],Placements!A6:E1005,5,0)</f>
        <v>0</v>
      </c>
      <c r="J6" s="1" t="str">
        <f>IF(VLOOKUP(Table7[[#This Row],[Student_ID]],student_data[#All],5,0)&gt;8,"HIGH",IF(VLOOKUP(Table7[[#This Row],[Student_ID]],student_data[#All],5,0)&lt;6.5,"LOW","MEDIUM"))</f>
        <v>LOW</v>
      </c>
    </row>
    <row r="7" spans="1:10" x14ac:dyDescent="0.2">
      <c r="A7" s="1" t="s">
        <v>13</v>
      </c>
      <c r="B7" s="1" t="str">
        <f>VLOOKUP(Table7[[#This Row],[Student_ID]],student_data[#All],2,0)</f>
        <v>Information Technology</v>
      </c>
      <c r="C7" s="1">
        <f>(VLOOKUP(Table7[[#This Row],[Student_ID]],student_data[],5,0)*5)+(VLOOKUP(Table7[[#This Row],[Student_ID]],student_data[],6,0)*3)+(VLOOKUP(Table7[[#This Row],[Student_ID]],student_skills[],6,0)*2)+(VLOOKUP(Table7[[#This Row],[Student_ID]],student_internships[],2,0)*5)</f>
        <v>60.55</v>
      </c>
      <c r="D7" s="1">
        <f>AVERAGE(VLOOKUP(Table7[[#This Row],[Student_ID]],student_skills[],3,0),VLOOKUP(Table7[[#This Row],[Student_ID]],student_skills[],4,0),VLOOKUP(Table7[[#This Row],[Student_ID]],student_skills[],5,0),VLOOKUP(Table7[[#This Row],[Student_ID]],student_skills[],6,0))</f>
        <v>5.75</v>
      </c>
      <c r="E7" s="1" t="str">
        <f>IF(VLOOKUP(Table7[[#This Row],[Student_ID]],student_internships[#All],2,0)&gt;1,"EXPERIENCED",IF(VLOOKUP(Table7[[#This Row],[Student_ID]],student_internships[#All],2,0)=1,"BEGINNER","NOT EXPERIENCED"))</f>
        <v>BEGINNER</v>
      </c>
      <c r="F7" s="1">
        <f>VLOOKUP(Table7[[#This Row],[Student_ID]],student_data[],5,0)</f>
        <v>7.91</v>
      </c>
      <c r="G7" s="1">
        <f>VLOOKUP(Table7[[#This Row],[Student_ID]],student_data[#All],6,0)</f>
        <v>2</v>
      </c>
      <c r="H7" s="1">
        <f>VLOOKUP(Table7[[#This Row],[Student_ID]],student_internships[],2,0)</f>
        <v>1</v>
      </c>
      <c r="I7" s="1">
        <f>VLOOKUP(Table7[[#This Row],[Student_ID]],Placements!A7:E1006,5,0)</f>
        <v>6.06</v>
      </c>
      <c r="J7" s="1" t="str">
        <f>IF(VLOOKUP(Table7[[#This Row],[Student_ID]],student_data[#All],5,0)&gt;8,"HIGH",IF(VLOOKUP(Table7[[#This Row],[Student_ID]],student_data[#All],5,0)&lt;6.5,"LOW","MEDIUM"))</f>
        <v>MEDIUM</v>
      </c>
    </row>
    <row r="8" spans="1:10" x14ac:dyDescent="0.2">
      <c r="A8" s="1" t="s">
        <v>14</v>
      </c>
      <c r="B8" s="1" t="str">
        <f>VLOOKUP(Table7[[#This Row],[Student_ID]],student_data[#All],2,0)</f>
        <v>Information Technology</v>
      </c>
      <c r="C8" s="1">
        <f>(VLOOKUP(Table7[[#This Row],[Student_ID]],student_data[],5,0)*5)+(VLOOKUP(Table7[[#This Row],[Student_ID]],student_data[],6,0)*3)+(VLOOKUP(Table7[[#This Row],[Student_ID]],student_skills[],6,0)*2)+(VLOOKUP(Table7[[#This Row],[Student_ID]],student_internships[],2,0)*5)</f>
        <v>74</v>
      </c>
      <c r="D8" s="1">
        <f>AVERAGE(VLOOKUP(Table7[[#This Row],[Student_ID]],student_skills[],3,0),VLOOKUP(Table7[[#This Row],[Student_ID]],student_skills[],4,0),VLOOKUP(Table7[[#This Row],[Student_ID]],student_skills[],5,0),VLOOKUP(Table7[[#This Row],[Student_ID]],student_skills[],6,0))</f>
        <v>4.75</v>
      </c>
      <c r="E8" s="1" t="str">
        <f>IF(VLOOKUP(Table7[[#This Row],[Student_ID]],student_internships[#All],2,0)&gt;1,"EXPERIENCED",IF(VLOOKUP(Table7[[#This Row],[Student_ID]],student_internships[#All],2,0)=1,"BEGINNER","NOT EXPERIENCED"))</f>
        <v>NOT EXPERIENCED</v>
      </c>
      <c r="F8" s="1">
        <f>VLOOKUP(Table7[[#This Row],[Student_ID]],student_data[],5,0)</f>
        <v>10</v>
      </c>
      <c r="G8" s="1">
        <f>VLOOKUP(Table7[[#This Row],[Student_ID]],student_data[#All],6,0)</f>
        <v>4</v>
      </c>
      <c r="H8" s="1">
        <f>VLOOKUP(Table7[[#This Row],[Student_ID]],student_internships[],2,0)</f>
        <v>0</v>
      </c>
      <c r="I8" s="1">
        <f>VLOOKUP(Table7[[#This Row],[Student_ID]],Placements!A8:E1007,5,0)</f>
        <v>5.81</v>
      </c>
      <c r="J8" s="1" t="str">
        <f>IF(VLOOKUP(Table7[[#This Row],[Student_ID]],student_data[#All],5,0)&gt;8,"HIGH",IF(VLOOKUP(Table7[[#This Row],[Student_ID]],student_data[#All],5,0)&lt;6.5,"LOW","MEDIUM"))</f>
        <v>HIGH</v>
      </c>
    </row>
    <row r="9" spans="1:10" x14ac:dyDescent="0.2">
      <c r="A9" s="1" t="s">
        <v>15</v>
      </c>
      <c r="B9" s="1" t="str">
        <f>VLOOKUP(Table7[[#This Row],[Student_ID]],student_data[#All],2,0)</f>
        <v>Electronics</v>
      </c>
      <c r="C9" s="1">
        <f>(VLOOKUP(Table7[[#This Row],[Student_ID]],student_data[],5,0)*5)+(VLOOKUP(Table7[[#This Row],[Student_ID]],student_data[],6,0)*3)+(VLOOKUP(Table7[[#This Row],[Student_ID]],student_skills[],6,0)*2)+(VLOOKUP(Table7[[#This Row],[Student_ID]],student_internships[],2,0)*5)</f>
        <v>41.75</v>
      </c>
      <c r="D9" s="1">
        <f>AVERAGE(VLOOKUP(Table7[[#This Row],[Student_ID]],student_skills[],3,0),VLOOKUP(Table7[[#This Row],[Student_ID]],student_skills[],4,0),VLOOKUP(Table7[[#This Row],[Student_ID]],student_skills[],5,0),VLOOKUP(Table7[[#This Row],[Student_ID]],student_skills[],6,0))</f>
        <v>6.75</v>
      </c>
      <c r="E9" s="1" t="str">
        <f>IF(VLOOKUP(Table7[[#This Row],[Student_ID]],student_internships[#All],2,0)&gt;1,"EXPERIENCED",IF(VLOOKUP(Table7[[#This Row],[Student_ID]],student_internships[#All],2,0)=1,"BEGINNER","NOT EXPERIENCED"))</f>
        <v>NOT EXPERIENCED</v>
      </c>
      <c r="F9" s="1">
        <f>VLOOKUP(Table7[[#This Row],[Student_ID]],student_data[],5,0)</f>
        <v>5.75</v>
      </c>
      <c r="G9" s="1">
        <f>VLOOKUP(Table7[[#This Row],[Student_ID]],student_data[#All],6,0)</f>
        <v>3</v>
      </c>
      <c r="H9" s="1">
        <f>VLOOKUP(Table7[[#This Row],[Student_ID]],student_internships[],2,0)</f>
        <v>0</v>
      </c>
      <c r="I9" s="1">
        <f>VLOOKUP(Table7[[#This Row],[Student_ID]],Placements!A9:E1008,5,0)</f>
        <v>13.94</v>
      </c>
      <c r="J9" s="1" t="str">
        <f>IF(VLOOKUP(Table7[[#This Row],[Student_ID]],student_data[#All],5,0)&gt;8,"HIGH",IF(VLOOKUP(Table7[[#This Row],[Student_ID]],student_data[#All],5,0)&lt;6.5,"LOW","MEDIUM"))</f>
        <v>LOW</v>
      </c>
    </row>
    <row r="10" spans="1:10" x14ac:dyDescent="0.2">
      <c r="A10" s="1" t="s">
        <v>18</v>
      </c>
      <c r="B10" s="1" t="str">
        <f>VLOOKUP(Table7[[#This Row],[Student_ID]],student_data[#All],2,0)</f>
        <v>Mechanical</v>
      </c>
      <c r="C10" s="1">
        <f>(VLOOKUP(Table7[[#This Row],[Student_ID]],student_data[],5,0)*5)+(VLOOKUP(Table7[[#This Row],[Student_ID]],student_data[],6,0)*3)+(VLOOKUP(Table7[[#This Row],[Student_ID]],student_skills[],6,0)*2)+(VLOOKUP(Table7[[#This Row],[Student_ID]],student_internships[],2,0)*5)</f>
        <v>65.400000000000006</v>
      </c>
      <c r="D10" s="1">
        <f>AVERAGE(VLOOKUP(Table7[[#This Row],[Student_ID]],student_skills[],3,0),VLOOKUP(Table7[[#This Row],[Student_ID]],student_skills[],4,0),VLOOKUP(Table7[[#This Row],[Student_ID]],student_skills[],5,0),VLOOKUP(Table7[[#This Row],[Student_ID]],student_skills[],6,0))</f>
        <v>5</v>
      </c>
      <c r="E10" s="1" t="str">
        <f>IF(VLOOKUP(Table7[[#This Row],[Student_ID]],student_internships[#All],2,0)&gt;1,"EXPERIENCED",IF(VLOOKUP(Table7[[#This Row],[Student_ID]],student_internships[#All],2,0)=1,"BEGINNER","NOT EXPERIENCED"))</f>
        <v>NOT EXPERIENCED</v>
      </c>
      <c r="F10" s="1">
        <f>VLOOKUP(Table7[[#This Row],[Student_ID]],student_data[],5,0)</f>
        <v>9.08</v>
      </c>
      <c r="G10" s="1">
        <f>VLOOKUP(Table7[[#This Row],[Student_ID]],student_data[#All],6,0)</f>
        <v>4</v>
      </c>
      <c r="H10" s="1">
        <f>VLOOKUP(Table7[[#This Row],[Student_ID]],student_internships[],2,0)</f>
        <v>0</v>
      </c>
      <c r="I10" s="1">
        <f>VLOOKUP(Table7[[#This Row],[Student_ID]],Placements!A10:E1009,5,0)</f>
        <v>5.21</v>
      </c>
      <c r="J10" s="1" t="str">
        <f>IF(VLOOKUP(Table7[[#This Row],[Student_ID]],student_data[#All],5,0)&gt;8,"HIGH",IF(VLOOKUP(Table7[[#This Row],[Student_ID]],student_data[#All],5,0)&lt;6.5,"LOW","MEDIUM"))</f>
        <v>HIGH</v>
      </c>
    </row>
    <row r="11" spans="1:10" x14ac:dyDescent="0.2">
      <c r="A11" s="1" t="s">
        <v>19</v>
      </c>
      <c r="B11" s="1" t="str">
        <f>VLOOKUP(Table7[[#This Row],[Student_ID]],student_data[#All],2,0)</f>
        <v>Mechanical</v>
      </c>
      <c r="C11" s="1">
        <f>(VLOOKUP(Table7[[#This Row],[Student_ID]],student_data[],5,0)*5)+(VLOOKUP(Table7[[#This Row],[Student_ID]],student_data[],6,0)*3)+(VLOOKUP(Table7[[#This Row],[Student_ID]],student_skills[],6,0)*2)+(VLOOKUP(Table7[[#This Row],[Student_ID]],student_internships[],2,0)*5)</f>
        <v>46.2</v>
      </c>
      <c r="D11" s="1">
        <f>AVERAGE(VLOOKUP(Table7[[#This Row],[Student_ID]],student_skills[],3,0),VLOOKUP(Table7[[#This Row],[Student_ID]],student_skills[],4,0),VLOOKUP(Table7[[#This Row],[Student_ID]],student_skills[],5,0),VLOOKUP(Table7[[#This Row],[Student_ID]],student_skills[],6,0))</f>
        <v>5.25</v>
      </c>
      <c r="E11" s="1" t="str">
        <f>IF(VLOOKUP(Table7[[#This Row],[Student_ID]],student_internships[#All],2,0)&gt;1,"EXPERIENCED",IF(VLOOKUP(Table7[[#This Row],[Student_ID]],student_internships[#All],2,0)=1,"BEGINNER","NOT EXPERIENCED"))</f>
        <v>EXPERIENCED</v>
      </c>
      <c r="F11" s="1">
        <f>VLOOKUP(Table7[[#This Row],[Student_ID]],student_data[],5,0)</f>
        <v>6.04</v>
      </c>
      <c r="G11" s="1">
        <f>VLOOKUP(Table7[[#This Row],[Student_ID]],student_data[#All],6,0)</f>
        <v>0</v>
      </c>
      <c r="H11" s="1">
        <f>VLOOKUP(Table7[[#This Row],[Student_ID]],student_internships[],2,0)</f>
        <v>2</v>
      </c>
      <c r="I11" s="1">
        <f>VLOOKUP(Table7[[#This Row],[Student_ID]],Placements!A11:E1010,5,0)</f>
        <v>0</v>
      </c>
      <c r="J11" s="1" t="str">
        <f>IF(VLOOKUP(Table7[[#This Row],[Student_ID]],student_data[#All],5,0)&gt;8,"HIGH",IF(VLOOKUP(Table7[[#This Row],[Student_ID]],student_data[#All],5,0)&lt;6.5,"LOW","MEDIUM"))</f>
        <v>LOW</v>
      </c>
    </row>
    <row r="12" spans="1:10" x14ac:dyDescent="0.2">
      <c r="A12" s="1" t="s">
        <v>20</v>
      </c>
      <c r="B12" s="1" t="str">
        <f>VLOOKUP(Table7[[#This Row],[Student_ID]],student_data[#All],2,0)</f>
        <v>Mechanical</v>
      </c>
      <c r="C12" s="1">
        <f>(VLOOKUP(Table7[[#This Row],[Student_ID]],student_data[],5,0)*5)+(VLOOKUP(Table7[[#This Row],[Student_ID]],student_data[],6,0)*3)+(VLOOKUP(Table7[[#This Row],[Student_ID]],student_skills[],6,0)*2)+(VLOOKUP(Table7[[#This Row],[Student_ID]],student_internships[],2,0)*5)</f>
        <v>69.55</v>
      </c>
      <c r="D12" s="1">
        <f>AVERAGE(VLOOKUP(Table7[[#This Row],[Student_ID]],student_skills[],3,0),VLOOKUP(Table7[[#This Row],[Student_ID]],student_skills[],4,0),VLOOKUP(Table7[[#This Row],[Student_ID]],student_skills[],5,0),VLOOKUP(Table7[[#This Row],[Student_ID]],student_skills[],6,0))</f>
        <v>7.25</v>
      </c>
      <c r="E12" s="1" t="str">
        <f>IF(VLOOKUP(Table7[[#This Row],[Student_ID]],student_internships[#All],2,0)&gt;1,"EXPERIENCED",IF(VLOOKUP(Table7[[#This Row],[Student_ID]],student_internships[#All],2,0)=1,"BEGINNER","NOT EXPERIENCED"))</f>
        <v>BEGINNER</v>
      </c>
      <c r="F12" s="1">
        <f>VLOOKUP(Table7[[#This Row],[Student_ID]],student_data[],5,0)</f>
        <v>8.91</v>
      </c>
      <c r="G12" s="1">
        <f>VLOOKUP(Table7[[#This Row],[Student_ID]],student_data[#All],6,0)</f>
        <v>2</v>
      </c>
      <c r="H12" s="1">
        <f>VLOOKUP(Table7[[#This Row],[Student_ID]],student_internships[],2,0)</f>
        <v>1</v>
      </c>
      <c r="I12" s="1">
        <f>VLOOKUP(Table7[[#This Row],[Student_ID]],Placements!A12:E1011,5,0)</f>
        <v>6.96</v>
      </c>
      <c r="J12" s="1" t="str">
        <f>IF(VLOOKUP(Table7[[#This Row],[Student_ID]],student_data[#All],5,0)&gt;8,"HIGH",IF(VLOOKUP(Table7[[#This Row],[Student_ID]],student_data[#All],5,0)&lt;6.5,"LOW","MEDIUM"))</f>
        <v>HIGH</v>
      </c>
    </row>
    <row r="13" spans="1:10" x14ac:dyDescent="0.2">
      <c r="A13" s="1" t="s">
        <v>21</v>
      </c>
      <c r="B13" s="1" t="str">
        <f>VLOOKUP(Table7[[#This Row],[Student_ID]],student_data[#All],2,0)</f>
        <v>Information Technology</v>
      </c>
      <c r="C13" s="1">
        <f>(VLOOKUP(Table7[[#This Row],[Student_ID]],student_data[],5,0)*5)+(VLOOKUP(Table7[[#This Row],[Student_ID]],student_data[],6,0)*3)+(VLOOKUP(Table7[[#This Row],[Student_ID]],student_skills[],6,0)*2)+(VLOOKUP(Table7[[#This Row],[Student_ID]],student_internships[],2,0)*5)</f>
        <v>71.349999999999994</v>
      </c>
      <c r="D13" s="1">
        <f>AVERAGE(VLOOKUP(Table7[[#This Row],[Student_ID]],student_skills[],3,0),VLOOKUP(Table7[[#This Row],[Student_ID]],student_skills[],4,0),VLOOKUP(Table7[[#This Row],[Student_ID]],student_skills[],5,0),VLOOKUP(Table7[[#This Row],[Student_ID]],student_skills[],6,0))</f>
        <v>6.25</v>
      </c>
      <c r="E13" s="1" t="str">
        <f>IF(VLOOKUP(Table7[[#This Row],[Student_ID]],student_internships[#All],2,0)&gt;1,"EXPERIENCED",IF(VLOOKUP(Table7[[#This Row],[Student_ID]],student_internships[#All],2,0)=1,"BEGINNER","NOT EXPERIENCED"))</f>
        <v>EXPERIENCED</v>
      </c>
      <c r="F13" s="1">
        <f>VLOOKUP(Table7[[#This Row],[Student_ID]],student_data[],5,0)</f>
        <v>8.67</v>
      </c>
      <c r="G13" s="1">
        <f>VLOOKUP(Table7[[#This Row],[Student_ID]],student_data[#All],6,0)</f>
        <v>0</v>
      </c>
      <c r="H13" s="1">
        <f>VLOOKUP(Table7[[#This Row],[Student_ID]],student_internships[],2,0)</f>
        <v>2</v>
      </c>
      <c r="I13" s="1">
        <f>VLOOKUP(Table7[[#This Row],[Student_ID]],Placements!A13:E1012,5,0)</f>
        <v>0</v>
      </c>
      <c r="J13" s="1" t="str">
        <f>IF(VLOOKUP(Table7[[#This Row],[Student_ID]],student_data[#All],5,0)&gt;8,"HIGH",IF(VLOOKUP(Table7[[#This Row],[Student_ID]],student_data[#All],5,0)&lt;6.5,"LOW","MEDIUM"))</f>
        <v>HIGH</v>
      </c>
    </row>
    <row r="14" spans="1:10" x14ac:dyDescent="0.2">
      <c r="A14" s="1" t="s">
        <v>22</v>
      </c>
      <c r="B14" s="1" t="str">
        <f>VLOOKUP(Table7[[#This Row],[Student_ID]],student_data[#All],2,0)</f>
        <v>Civil</v>
      </c>
      <c r="C14" s="1">
        <f>(VLOOKUP(Table7[[#This Row],[Student_ID]],student_data[],5,0)*5)+(VLOOKUP(Table7[[#This Row],[Student_ID]],student_data[],6,0)*3)+(VLOOKUP(Table7[[#This Row],[Student_ID]],student_skills[],6,0)*2)+(VLOOKUP(Table7[[#This Row],[Student_ID]],student_internships[],2,0)*5)</f>
        <v>42.5</v>
      </c>
      <c r="D14" s="1">
        <f>AVERAGE(VLOOKUP(Table7[[#This Row],[Student_ID]],student_skills[],3,0),VLOOKUP(Table7[[#This Row],[Student_ID]],student_skills[],4,0),VLOOKUP(Table7[[#This Row],[Student_ID]],student_skills[],5,0),VLOOKUP(Table7[[#This Row],[Student_ID]],student_skills[],6,0))</f>
        <v>6.25</v>
      </c>
      <c r="E14" s="1" t="str">
        <f>IF(VLOOKUP(Table7[[#This Row],[Student_ID]],student_internships[#All],2,0)&gt;1,"EXPERIENCED",IF(VLOOKUP(Table7[[#This Row],[Student_ID]],student_internships[#All],2,0)=1,"BEGINNER","NOT EXPERIENCED"))</f>
        <v>NOT EXPERIENCED</v>
      </c>
      <c r="F14" s="1">
        <f>VLOOKUP(Table7[[#This Row],[Student_ID]],student_data[],5,0)</f>
        <v>6.5</v>
      </c>
      <c r="G14" s="1">
        <f>VLOOKUP(Table7[[#This Row],[Student_ID]],student_data[#All],6,0)</f>
        <v>0</v>
      </c>
      <c r="H14" s="1">
        <f>VLOOKUP(Table7[[#This Row],[Student_ID]],student_internships[],2,0)</f>
        <v>0</v>
      </c>
      <c r="I14" s="1">
        <f>VLOOKUP(Table7[[#This Row],[Student_ID]],Placements!A14:E1013,5,0)</f>
        <v>8.2799999999999994</v>
      </c>
      <c r="J14" s="1" t="str">
        <f>IF(VLOOKUP(Table7[[#This Row],[Student_ID]],student_data[#All],5,0)&gt;8,"HIGH",IF(VLOOKUP(Table7[[#This Row],[Student_ID]],student_data[#All],5,0)&lt;6.5,"LOW","MEDIUM"))</f>
        <v>MEDIUM</v>
      </c>
    </row>
    <row r="15" spans="1:10" x14ac:dyDescent="0.2">
      <c r="A15" s="1" t="s">
        <v>23</v>
      </c>
      <c r="B15" s="1" t="str">
        <f>VLOOKUP(Table7[[#This Row],[Student_ID]],student_data[#All],2,0)</f>
        <v>Mechanical</v>
      </c>
      <c r="C15" s="1">
        <f>(VLOOKUP(Table7[[#This Row],[Student_ID]],student_data[],5,0)*5)+(VLOOKUP(Table7[[#This Row],[Student_ID]],student_data[],6,0)*3)+(VLOOKUP(Table7[[#This Row],[Student_ID]],student_skills[],6,0)*2)+(VLOOKUP(Table7[[#This Row],[Student_ID]],student_internships[],2,0)*5)</f>
        <v>75.150000000000006</v>
      </c>
      <c r="D15" s="1">
        <f>AVERAGE(VLOOKUP(Table7[[#This Row],[Student_ID]],student_skills[],3,0),VLOOKUP(Table7[[#This Row],[Student_ID]],student_skills[],4,0),VLOOKUP(Table7[[#This Row],[Student_ID]],student_skills[],5,0),VLOOKUP(Table7[[#This Row],[Student_ID]],student_skills[],6,0))</f>
        <v>8.25</v>
      </c>
      <c r="E15" s="1" t="str">
        <f>IF(VLOOKUP(Table7[[#This Row],[Student_ID]],student_internships[#All],2,0)&gt;1,"EXPERIENCED",IF(VLOOKUP(Table7[[#This Row],[Student_ID]],student_internships[#All],2,0)=1,"BEGINNER","NOT EXPERIENCED"))</f>
        <v>EXPERIENCED</v>
      </c>
      <c r="F15" s="1">
        <f>VLOOKUP(Table7[[#This Row],[Student_ID]],student_data[],5,0)</f>
        <v>6.63</v>
      </c>
      <c r="G15" s="1">
        <f>VLOOKUP(Table7[[#This Row],[Student_ID]],student_data[#All],6,0)</f>
        <v>5</v>
      </c>
      <c r="H15" s="1">
        <f>VLOOKUP(Table7[[#This Row],[Student_ID]],student_internships[],2,0)</f>
        <v>3</v>
      </c>
      <c r="I15" s="1">
        <f>VLOOKUP(Table7[[#This Row],[Student_ID]],Placements!A15:E1014,5,0)</f>
        <v>0</v>
      </c>
      <c r="J15" s="1" t="str">
        <f>IF(VLOOKUP(Table7[[#This Row],[Student_ID]],student_data[#All],5,0)&gt;8,"HIGH",IF(VLOOKUP(Table7[[#This Row],[Student_ID]],student_data[#All],5,0)&lt;6.5,"LOW","MEDIUM"))</f>
        <v>MEDIUM</v>
      </c>
    </row>
    <row r="16" spans="1:10" x14ac:dyDescent="0.2">
      <c r="A16" s="1" t="s">
        <v>24</v>
      </c>
      <c r="B16" s="1" t="str">
        <f>VLOOKUP(Table7[[#This Row],[Student_ID]],student_data[#All],2,0)</f>
        <v>Information Technology</v>
      </c>
      <c r="C16" s="1">
        <f>(VLOOKUP(Table7[[#This Row],[Student_ID]],student_data[],5,0)*5)+(VLOOKUP(Table7[[#This Row],[Student_ID]],student_data[],6,0)*3)+(VLOOKUP(Table7[[#This Row],[Student_ID]],student_skills[],6,0)*2)+(VLOOKUP(Table7[[#This Row],[Student_ID]],student_internships[],2,0)*5)</f>
        <v>77.800000000000011</v>
      </c>
      <c r="D16" s="1">
        <f>AVERAGE(VLOOKUP(Table7[[#This Row],[Student_ID]],student_skills[],3,0),VLOOKUP(Table7[[#This Row],[Student_ID]],student_skills[],4,0),VLOOKUP(Table7[[#This Row],[Student_ID]],student_skills[],5,0),VLOOKUP(Table7[[#This Row],[Student_ID]],student_skills[],6,0))</f>
        <v>7.75</v>
      </c>
      <c r="E16" s="1" t="str">
        <f>IF(VLOOKUP(Table7[[#This Row],[Student_ID]],student_internships[#All],2,0)&gt;1,"EXPERIENCED",IF(VLOOKUP(Table7[[#This Row],[Student_ID]],student_internships[#All],2,0)=1,"BEGINNER","NOT EXPERIENCED"))</f>
        <v>EXPERIENCED</v>
      </c>
      <c r="F16" s="1">
        <f>VLOOKUP(Table7[[#This Row],[Student_ID]],student_data[],5,0)</f>
        <v>8.9600000000000009</v>
      </c>
      <c r="G16" s="1">
        <f>VLOOKUP(Table7[[#This Row],[Student_ID]],student_data[#All],6,0)</f>
        <v>1</v>
      </c>
      <c r="H16" s="1">
        <f>VLOOKUP(Table7[[#This Row],[Student_ID]],student_internships[],2,0)</f>
        <v>2</v>
      </c>
      <c r="I16" s="1">
        <f>VLOOKUP(Table7[[#This Row],[Student_ID]],Placements!A16:E1015,5,0)</f>
        <v>0</v>
      </c>
      <c r="J16" s="1" t="str">
        <f>IF(VLOOKUP(Table7[[#This Row],[Student_ID]],student_data[#All],5,0)&gt;8,"HIGH",IF(VLOOKUP(Table7[[#This Row],[Student_ID]],student_data[#All],5,0)&lt;6.5,"LOW","MEDIUM"))</f>
        <v>HIGH</v>
      </c>
    </row>
    <row r="17" spans="1:10" x14ac:dyDescent="0.2">
      <c r="A17" s="1" t="s">
        <v>25</v>
      </c>
      <c r="B17" s="1" t="str">
        <f>VLOOKUP(Table7[[#This Row],[Student_ID]],student_data[#All],2,0)</f>
        <v>Electronics</v>
      </c>
      <c r="C17" s="1">
        <f>(VLOOKUP(Table7[[#This Row],[Student_ID]],student_data[],5,0)*5)+(VLOOKUP(Table7[[#This Row],[Student_ID]],student_data[],6,0)*3)+(VLOOKUP(Table7[[#This Row],[Student_ID]],student_skills[],6,0)*2)+(VLOOKUP(Table7[[#This Row],[Student_ID]],student_internships[],2,0)*5)</f>
        <v>55.55</v>
      </c>
      <c r="D17" s="1">
        <f>AVERAGE(VLOOKUP(Table7[[#This Row],[Student_ID]],student_skills[],3,0),VLOOKUP(Table7[[#This Row],[Student_ID]],student_skills[],4,0),VLOOKUP(Table7[[#This Row],[Student_ID]],student_skills[],5,0),VLOOKUP(Table7[[#This Row],[Student_ID]],student_skills[],6,0))</f>
        <v>3</v>
      </c>
      <c r="E17" s="1" t="str">
        <f>IF(VLOOKUP(Table7[[#This Row],[Student_ID]],student_internships[#All],2,0)&gt;1,"EXPERIENCED",IF(VLOOKUP(Table7[[#This Row],[Student_ID]],student_internships[#All],2,0)=1,"BEGINNER","NOT EXPERIENCED"))</f>
        <v>NOT EXPERIENCED</v>
      </c>
      <c r="F17" s="1">
        <f>VLOOKUP(Table7[[#This Row],[Student_ID]],student_data[],5,0)</f>
        <v>7.31</v>
      </c>
      <c r="G17" s="1">
        <f>VLOOKUP(Table7[[#This Row],[Student_ID]],student_data[#All],6,0)</f>
        <v>5</v>
      </c>
      <c r="H17" s="1">
        <f>VLOOKUP(Table7[[#This Row],[Student_ID]],student_internships[],2,0)</f>
        <v>0</v>
      </c>
      <c r="I17" s="1">
        <f>VLOOKUP(Table7[[#This Row],[Student_ID]],Placements!A17:E1016,5,0)</f>
        <v>14.48</v>
      </c>
      <c r="J17" s="1" t="str">
        <f>IF(VLOOKUP(Table7[[#This Row],[Student_ID]],student_data[#All],5,0)&gt;8,"HIGH",IF(VLOOKUP(Table7[[#This Row],[Student_ID]],student_data[#All],5,0)&lt;6.5,"LOW","MEDIUM"))</f>
        <v>MEDIUM</v>
      </c>
    </row>
    <row r="18" spans="1:10" x14ac:dyDescent="0.2">
      <c r="A18" s="1" t="s">
        <v>26</v>
      </c>
      <c r="B18" s="1" t="str">
        <f>VLOOKUP(Table7[[#This Row],[Student_ID]],student_data[#All],2,0)</f>
        <v>Civil</v>
      </c>
      <c r="C18" s="1">
        <f>(VLOOKUP(Table7[[#This Row],[Student_ID]],student_data[],5,0)*5)+(VLOOKUP(Table7[[#This Row],[Student_ID]],student_data[],6,0)*3)+(VLOOKUP(Table7[[#This Row],[Student_ID]],student_skills[],6,0)*2)+(VLOOKUP(Table7[[#This Row],[Student_ID]],student_internships[],2,0)*5)</f>
        <v>55.25</v>
      </c>
      <c r="D18" s="1">
        <f>AVERAGE(VLOOKUP(Table7[[#This Row],[Student_ID]],student_skills[],3,0),VLOOKUP(Table7[[#This Row],[Student_ID]],student_skills[],4,0),VLOOKUP(Table7[[#This Row],[Student_ID]],student_skills[],5,0),VLOOKUP(Table7[[#This Row],[Student_ID]],student_skills[],6,0))</f>
        <v>6.25</v>
      </c>
      <c r="E18" s="1" t="str">
        <f>IF(VLOOKUP(Table7[[#This Row],[Student_ID]],student_internships[#All],2,0)&gt;1,"EXPERIENCED",IF(VLOOKUP(Table7[[#This Row],[Student_ID]],student_internships[#All],2,0)=1,"BEGINNER","NOT EXPERIENCED"))</f>
        <v>NOT EXPERIENCED</v>
      </c>
      <c r="F18" s="1">
        <f>VLOOKUP(Table7[[#This Row],[Student_ID]],student_data[],5,0)</f>
        <v>8.65</v>
      </c>
      <c r="G18" s="1">
        <f>VLOOKUP(Table7[[#This Row],[Student_ID]],student_data[#All],6,0)</f>
        <v>2</v>
      </c>
      <c r="H18" s="1">
        <f>VLOOKUP(Table7[[#This Row],[Student_ID]],student_internships[],2,0)</f>
        <v>0</v>
      </c>
      <c r="I18" s="1">
        <f>VLOOKUP(Table7[[#This Row],[Student_ID]],Placements!A18:E1017,5,0)</f>
        <v>5.49</v>
      </c>
      <c r="J18" s="1" t="str">
        <f>IF(VLOOKUP(Table7[[#This Row],[Student_ID]],student_data[#All],5,0)&gt;8,"HIGH",IF(VLOOKUP(Table7[[#This Row],[Student_ID]],student_data[#All],5,0)&lt;6.5,"LOW","MEDIUM"))</f>
        <v>HIGH</v>
      </c>
    </row>
    <row r="19" spans="1:10" x14ac:dyDescent="0.2">
      <c r="A19" s="1" t="s">
        <v>27</v>
      </c>
      <c r="B19" s="1" t="str">
        <f>VLOOKUP(Table7[[#This Row],[Student_ID]],student_data[#All],2,0)</f>
        <v>Electronics</v>
      </c>
      <c r="C19" s="1">
        <f>(VLOOKUP(Table7[[#This Row],[Student_ID]],student_data[],5,0)*5)+(VLOOKUP(Table7[[#This Row],[Student_ID]],student_data[],6,0)*3)+(VLOOKUP(Table7[[#This Row],[Student_ID]],student_skills[],6,0)*2)+(VLOOKUP(Table7[[#This Row],[Student_ID]],student_internships[],2,0)*5)</f>
        <v>34.700000000000003</v>
      </c>
      <c r="D19" s="1">
        <f>AVERAGE(VLOOKUP(Table7[[#This Row],[Student_ID]],student_skills[],3,0),VLOOKUP(Table7[[#This Row],[Student_ID]],student_skills[],4,0),VLOOKUP(Table7[[#This Row],[Student_ID]],student_skills[],5,0),VLOOKUP(Table7[[#This Row],[Student_ID]],student_skills[],6,0))</f>
        <v>5.5</v>
      </c>
      <c r="E19" s="1" t="str">
        <f>IF(VLOOKUP(Table7[[#This Row],[Student_ID]],student_internships[#All],2,0)&gt;1,"EXPERIENCED",IF(VLOOKUP(Table7[[#This Row],[Student_ID]],student_internships[#All],2,0)=1,"BEGINNER","NOT EXPERIENCED"))</f>
        <v>NOT EXPERIENCED</v>
      </c>
      <c r="F19" s="1">
        <f>VLOOKUP(Table7[[#This Row],[Student_ID]],student_data[],5,0)</f>
        <v>5.74</v>
      </c>
      <c r="G19" s="1">
        <f>VLOOKUP(Table7[[#This Row],[Student_ID]],student_data[#All],6,0)</f>
        <v>0</v>
      </c>
      <c r="H19" s="1">
        <f>VLOOKUP(Table7[[#This Row],[Student_ID]],student_internships[],2,0)</f>
        <v>0</v>
      </c>
      <c r="I19" s="1">
        <f>VLOOKUP(Table7[[#This Row],[Student_ID]],Placements!A19:E1018,5,0)</f>
        <v>4.01</v>
      </c>
      <c r="J19" s="1" t="str">
        <f>IF(VLOOKUP(Table7[[#This Row],[Student_ID]],student_data[#All],5,0)&gt;8,"HIGH",IF(VLOOKUP(Table7[[#This Row],[Student_ID]],student_data[#All],5,0)&lt;6.5,"LOW","MEDIUM"))</f>
        <v>LOW</v>
      </c>
    </row>
    <row r="20" spans="1:10" x14ac:dyDescent="0.2">
      <c r="A20" s="1" t="s">
        <v>28</v>
      </c>
      <c r="B20" s="1" t="str">
        <f>VLOOKUP(Table7[[#This Row],[Student_ID]],student_data[#All],2,0)</f>
        <v>Civil</v>
      </c>
      <c r="C20" s="1">
        <f>(VLOOKUP(Table7[[#This Row],[Student_ID]],student_data[],5,0)*5)+(VLOOKUP(Table7[[#This Row],[Student_ID]],student_data[],6,0)*3)+(VLOOKUP(Table7[[#This Row],[Student_ID]],student_skills[],6,0)*2)+(VLOOKUP(Table7[[#This Row],[Student_ID]],student_internships[],2,0)*5)</f>
        <v>78.3</v>
      </c>
      <c r="D20" s="1">
        <f>AVERAGE(VLOOKUP(Table7[[#This Row],[Student_ID]],student_skills[],3,0),VLOOKUP(Table7[[#This Row],[Student_ID]],student_skills[],4,0),VLOOKUP(Table7[[#This Row],[Student_ID]],student_skills[],5,0),VLOOKUP(Table7[[#This Row],[Student_ID]],student_skills[],6,0))</f>
        <v>4.5</v>
      </c>
      <c r="E20" s="1" t="str">
        <f>IF(VLOOKUP(Table7[[#This Row],[Student_ID]],student_internships[#All],2,0)&gt;1,"EXPERIENCED",IF(VLOOKUP(Table7[[#This Row],[Student_ID]],student_internships[#All],2,0)=1,"BEGINNER","NOT EXPERIENCED"))</f>
        <v>BEGINNER</v>
      </c>
      <c r="F20" s="1">
        <f>VLOOKUP(Table7[[#This Row],[Student_ID]],student_data[],5,0)</f>
        <v>9.26</v>
      </c>
      <c r="G20" s="1">
        <f>VLOOKUP(Table7[[#This Row],[Student_ID]],student_data[#All],6,0)</f>
        <v>3</v>
      </c>
      <c r="H20" s="1">
        <f>VLOOKUP(Table7[[#This Row],[Student_ID]],student_internships[],2,0)</f>
        <v>1</v>
      </c>
      <c r="I20" s="1">
        <f>VLOOKUP(Table7[[#This Row],[Student_ID]],Placements!A20:E1019,5,0)</f>
        <v>0</v>
      </c>
      <c r="J20" s="1" t="str">
        <f>IF(VLOOKUP(Table7[[#This Row],[Student_ID]],student_data[#All],5,0)&gt;8,"HIGH",IF(VLOOKUP(Table7[[#This Row],[Student_ID]],student_data[#All],5,0)&lt;6.5,"LOW","MEDIUM"))</f>
        <v>HIGH</v>
      </c>
    </row>
    <row r="21" spans="1:10" x14ac:dyDescent="0.2">
      <c r="A21" s="1" t="s">
        <v>29</v>
      </c>
      <c r="B21" s="1" t="str">
        <f>VLOOKUP(Table7[[#This Row],[Student_ID]],student_data[#All],2,0)</f>
        <v>Information Technology</v>
      </c>
      <c r="C21" s="1">
        <f>(VLOOKUP(Table7[[#This Row],[Student_ID]],student_data[],5,0)*5)+(VLOOKUP(Table7[[#This Row],[Student_ID]],student_data[],6,0)*3)+(VLOOKUP(Table7[[#This Row],[Student_ID]],student_skills[],6,0)*2)+(VLOOKUP(Table7[[#This Row],[Student_ID]],student_internships[],2,0)*5)</f>
        <v>61.75</v>
      </c>
      <c r="D21" s="1">
        <f>AVERAGE(VLOOKUP(Table7[[#This Row],[Student_ID]],student_skills[],3,0),VLOOKUP(Table7[[#This Row],[Student_ID]],student_skills[],4,0),VLOOKUP(Table7[[#This Row],[Student_ID]],student_skills[],5,0),VLOOKUP(Table7[[#This Row],[Student_ID]],student_skills[],6,0))</f>
        <v>6.5</v>
      </c>
      <c r="E21" s="1" t="str">
        <f>IF(VLOOKUP(Table7[[#This Row],[Student_ID]],student_internships[#All],2,0)&gt;1,"EXPERIENCED",IF(VLOOKUP(Table7[[#This Row],[Student_ID]],student_internships[#All],2,0)=1,"BEGINNER","NOT EXPERIENCED"))</f>
        <v>BEGINNER</v>
      </c>
      <c r="F21" s="1">
        <f>VLOOKUP(Table7[[#This Row],[Student_ID]],student_data[],5,0)</f>
        <v>8.5500000000000007</v>
      </c>
      <c r="G21" s="1">
        <f>VLOOKUP(Table7[[#This Row],[Student_ID]],student_data[#All],6,0)</f>
        <v>0</v>
      </c>
      <c r="H21" s="1">
        <f>VLOOKUP(Table7[[#This Row],[Student_ID]],student_internships[],2,0)</f>
        <v>1</v>
      </c>
      <c r="I21" s="1">
        <f>VLOOKUP(Table7[[#This Row],[Student_ID]],Placements!A21:E1020,5,0)</f>
        <v>5.18</v>
      </c>
      <c r="J21" s="1" t="str">
        <f>IF(VLOOKUP(Table7[[#This Row],[Student_ID]],student_data[#All],5,0)&gt;8,"HIGH",IF(VLOOKUP(Table7[[#This Row],[Student_ID]],student_data[#All],5,0)&lt;6.5,"LOW","MEDIUM"))</f>
        <v>HIGH</v>
      </c>
    </row>
    <row r="22" spans="1:10" x14ac:dyDescent="0.2">
      <c r="A22" s="1" t="s">
        <v>30</v>
      </c>
      <c r="B22" s="1" t="str">
        <f>VLOOKUP(Table7[[#This Row],[Student_ID]],student_data[#All],2,0)</f>
        <v>Computer Science</v>
      </c>
      <c r="C22" s="1">
        <f>(VLOOKUP(Table7[[#This Row],[Student_ID]],student_data[],5,0)*5)+(VLOOKUP(Table7[[#This Row],[Student_ID]],student_data[],6,0)*3)+(VLOOKUP(Table7[[#This Row],[Student_ID]],student_skills[],6,0)*2)+(VLOOKUP(Table7[[#This Row],[Student_ID]],student_internships[],2,0)*5)</f>
        <v>77.650000000000006</v>
      </c>
      <c r="D22" s="1">
        <f>AVERAGE(VLOOKUP(Table7[[#This Row],[Student_ID]],student_skills[],3,0),VLOOKUP(Table7[[#This Row],[Student_ID]],student_skills[],4,0),VLOOKUP(Table7[[#This Row],[Student_ID]],student_skills[],5,0),VLOOKUP(Table7[[#This Row],[Student_ID]],student_skills[],6,0))</f>
        <v>4.5</v>
      </c>
      <c r="E22" s="1" t="str">
        <f>IF(VLOOKUP(Table7[[#This Row],[Student_ID]],student_internships[#All],2,0)&gt;1,"EXPERIENCED",IF(VLOOKUP(Table7[[#This Row],[Student_ID]],student_internships[#All],2,0)=1,"BEGINNER","NOT EXPERIENCED"))</f>
        <v>BEGINNER</v>
      </c>
      <c r="F22" s="1">
        <f>VLOOKUP(Table7[[#This Row],[Student_ID]],student_data[],5,0)</f>
        <v>9.5299999999999994</v>
      </c>
      <c r="G22" s="1">
        <f>VLOOKUP(Table7[[#This Row],[Student_ID]],student_data[#All],6,0)</f>
        <v>3</v>
      </c>
      <c r="H22" s="1">
        <f>VLOOKUP(Table7[[#This Row],[Student_ID]],student_internships[],2,0)</f>
        <v>1</v>
      </c>
      <c r="I22" s="1">
        <f>VLOOKUP(Table7[[#This Row],[Student_ID]],Placements!A22:E1021,5,0)</f>
        <v>4.3</v>
      </c>
      <c r="J22" s="1" t="str">
        <f>IF(VLOOKUP(Table7[[#This Row],[Student_ID]],student_data[#All],5,0)&gt;8,"HIGH",IF(VLOOKUP(Table7[[#This Row],[Student_ID]],student_data[#All],5,0)&lt;6.5,"LOW","MEDIUM"))</f>
        <v>HIGH</v>
      </c>
    </row>
    <row r="23" spans="1:10" x14ac:dyDescent="0.2">
      <c r="A23" s="1" t="s">
        <v>32</v>
      </c>
      <c r="B23" s="1" t="str">
        <f>VLOOKUP(Table7[[#This Row],[Student_ID]],student_data[#All],2,0)</f>
        <v>Civil</v>
      </c>
      <c r="C23" s="1">
        <f>(VLOOKUP(Table7[[#This Row],[Student_ID]],student_data[],5,0)*5)+(VLOOKUP(Table7[[#This Row],[Student_ID]],student_data[],6,0)*3)+(VLOOKUP(Table7[[#This Row],[Student_ID]],student_skills[],6,0)*2)+(VLOOKUP(Table7[[#This Row],[Student_ID]],student_internships[],2,0)*5)</f>
        <v>63.3</v>
      </c>
      <c r="D23" s="1">
        <f>AVERAGE(VLOOKUP(Table7[[#This Row],[Student_ID]],student_skills[],3,0),VLOOKUP(Table7[[#This Row],[Student_ID]],student_skills[],4,0),VLOOKUP(Table7[[#This Row],[Student_ID]],student_skills[],5,0),VLOOKUP(Table7[[#This Row],[Student_ID]],student_skills[],6,0))</f>
        <v>6.5</v>
      </c>
      <c r="E23" s="1" t="str">
        <f>IF(VLOOKUP(Table7[[#This Row],[Student_ID]],student_internships[#All],2,0)&gt;1,"EXPERIENCED",IF(VLOOKUP(Table7[[#This Row],[Student_ID]],student_internships[#All],2,0)=1,"BEGINNER","NOT EXPERIENCED"))</f>
        <v>NOT EXPERIENCED</v>
      </c>
      <c r="F23" s="1">
        <f>VLOOKUP(Table7[[#This Row],[Student_ID]],student_data[],5,0)</f>
        <v>5.66</v>
      </c>
      <c r="G23" s="1">
        <f>VLOOKUP(Table7[[#This Row],[Student_ID]],student_data[#All],6,0)</f>
        <v>5</v>
      </c>
      <c r="H23" s="1">
        <f>VLOOKUP(Table7[[#This Row],[Student_ID]],student_internships[],2,0)</f>
        <v>0</v>
      </c>
      <c r="I23" s="1">
        <f>VLOOKUP(Table7[[#This Row],[Student_ID]],Placements!A23:E1022,5,0)</f>
        <v>4.33</v>
      </c>
      <c r="J23" s="1" t="str">
        <f>IF(VLOOKUP(Table7[[#This Row],[Student_ID]],student_data[#All],5,0)&gt;8,"HIGH",IF(VLOOKUP(Table7[[#This Row],[Student_ID]],student_data[#All],5,0)&lt;6.5,"LOW","MEDIUM"))</f>
        <v>LOW</v>
      </c>
    </row>
    <row r="24" spans="1:10" x14ac:dyDescent="0.2">
      <c r="A24" s="1" t="s">
        <v>33</v>
      </c>
      <c r="B24" s="1" t="str">
        <f>VLOOKUP(Table7[[#This Row],[Student_ID]],student_data[#All],2,0)</f>
        <v>Electronics</v>
      </c>
      <c r="C24" s="1">
        <f>(VLOOKUP(Table7[[#This Row],[Student_ID]],student_data[],5,0)*5)+(VLOOKUP(Table7[[#This Row],[Student_ID]],student_data[],6,0)*3)+(VLOOKUP(Table7[[#This Row],[Student_ID]],student_skills[],6,0)*2)+(VLOOKUP(Table7[[#This Row],[Student_ID]],student_internships[],2,0)*5)</f>
        <v>77.849999999999994</v>
      </c>
      <c r="D24" s="1">
        <f>AVERAGE(VLOOKUP(Table7[[#This Row],[Student_ID]],student_skills[],3,0),VLOOKUP(Table7[[#This Row],[Student_ID]],student_skills[],4,0),VLOOKUP(Table7[[#This Row],[Student_ID]],student_skills[],5,0),VLOOKUP(Table7[[#This Row],[Student_ID]],student_skills[],6,0))</f>
        <v>6.75</v>
      </c>
      <c r="E24" s="1" t="str">
        <f>IF(VLOOKUP(Table7[[#This Row],[Student_ID]],student_internships[#All],2,0)&gt;1,"EXPERIENCED",IF(VLOOKUP(Table7[[#This Row],[Student_ID]],student_internships[#All],2,0)=1,"BEGINNER","NOT EXPERIENCED"))</f>
        <v>BEGINNER</v>
      </c>
      <c r="F24" s="1">
        <f>VLOOKUP(Table7[[#This Row],[Student_ID]],student_data[],5,0)</f>
        <v>7.97</v>
      </c>
      <c r="G24" s="1">
        <f>VLOOKUP(Table7[[#This Row],[Student_ID]],student_data[#All],6,0)</f>
        <v>5</v>
      </c>
      <c r="H24" s="1">
        <f>VLOOKUP(Table7[[#This Row],[Student_ID]],student_internships[],2,0)</f>
        <v>1</v>
      </c>
      <c r="I24" s="1">
        <f>VLOOKUP(Table7[[#This Row],[Student_ID]],Placements!A24:E1023,5,0)</f>
        <v>6.86</v>
      </c>
      <c r="J24" s="1" t="str">
        <f>IF(VLOOKUP(Table7[[#This Row],[Student_ID]],student_data[#All],5,0)&gt;8,"HIGH",IF(VLOOKUP(Table7[[#This Row],[Student_ID]],student_data[#All],5,0)&lt;6.5,"LOW","MEDIUM"))</f>
        <v>MEDIUM</v>
      </c>
    </row>
    <row r="25" spans="1:10" x14ac:dyDescent="0.2">
      <c r="A25" s="1" t="s">
        <v>34</v>
      </c>
      <c r="B25" s="1" t="str">
        <f>VLOOKUP(Table7[[#This Row],[Student_ID]],student_data[#All],2,0)</f>
        <v>Information Technology</v>
      </c>
      <c r="C25" s="1">
        <f>(VLOOKUP(Table7[[#This Row],[Student_ID]],student_data[],5,0)*5)+(VLOOKUP(Table7[[#This Row],[Student_ID]],student_data[],6,0)*3)+(VLOOKUP(Table7[[#This Row],[Student_ID]],student_skills[],6,0)*2)+(VLOOKUP(Table7[[#This Row],[Student_ID]],student_internships[],2,0)*5)</f>
        <v>55</v>
      </c>
      <c r="D25" s="1">
        <f>AVERAGE(VLOOKUP(Table7[[#This Row],[Student_ID]],student_skills[],3,0),VLOOKUP(Table7[[#This Row],[Student_ID]],student_skills[],4,0),VLOOKUP(Table7[[#This Row],[Student_ID]],student_skills[],5,0),VLOOKUP(Table7[[#This Row],[Student_ID]],student_skills[],6,0))</f>
        <v>4.5</v>
      </c>
      <c r="E25" s="1" t="str">
        <f>IF(VLOOKUP(Table7[[#This Row],[Student_ID]],student_internships[#All],2,0)&gt;1,"EXPERIENCED",IF(VLOOKUP(Table7[[#This Row],[Student_ID]],student_internships[#All],2,0)=1,"BEGINNER","NOT EXPERIENCED"))</f>
        <v>NOT EXPERIENCED</v>
      </c>
      <c r="F25" s="1">
        <f>VLOOKUP(Table7[[#This Row],[Student_ID]],student_data[],5,0)</f>
        <v>8</v>
      </c>
      <c r="G25" s="1">
        <f>VLOOKUP(Table7[[#This Row],[Student_ID]],student_data[#All],6,0)</f>
        <v>1</v>
      </c>
      <c r="H25" s="1">
        <f>VLOOKUP(Table7[[#This Row],[Student_ID]],student_internships[],2,0)</f>
        <v>0</v>
      </c>
      <c r="I25" s="1">
        <f>VLOOKUP(Table7[[#This Row],[Student_ID]],Placements!A25:E1024,5,0)</f>
        <v>5.08</v>
      </c>
      <c r="J25" s="1" t="str">
        <f>IF(VLOOKUP(Table7[[#This Row],[Student_ID]],student_data[#All],5,0)&gt;8,"HIGH",IF(VLOOKUP(Table7[[#This Row],[Student_ID]],student_data[#All],5,0)&lt;6.5,"LOW","MEDIUM"))</f>
        <v>MEDIUM</v>
      </c>
    </row>
    <row r="26" spans="1:10" x14ac:dyDescent="0.2">
      <c r="A26" s="1" t="s">
        <v>35</v>
      </c>
      <c r="B26" s="1" t="str">
        <f>VLOOKUP(Table7[[#This Row],[Student_ID]],student_data[#All],2,0)</f>
        <v>Civil</v>
      </c>
      <c r="C26" s="1">
        <f>(VLOOKUP(Table7[[#This Row],[Student_ID]],student_data[],5,0)*5)+(VLOOKUP(Table7[[#This Row],[Student_ID]],student_data[],6,0)*3)+(VLOOKUP(Table7[[#This Row],[Student_ID]],student_skills[],6,0)*2)+(VLOOKUP(Table7[[#This Row],[Student_ID]],student_internships[],2,0)*5)</f>
        <v>41.849999999999994</v>
      </c>
      <c r="D26" s="1">
        <f>AVERAGE(VLOOKUP(Table7[[#This Row],[Student_ID]],student_skills[],3,0),VLOOKUP(Table7[[#This Row],[Student_ID]],student_skills[],4,0),VLOOKUP(Table7[[#This Row],[Student_ID]],student_skills[],5,0),VLOOKUP(Table7[[#This Row],[Student_ID]],student_skills[],6,0))</f>
        <v>6</v>
      </c>
      <c r="E26" s="1" t="str">
        <f>IF(VLOOKUP(Table7[[#This Row],[Student_ID]],student_internships[#All],2,0)&gt;1,"EXPERIENCED",IF(VLOOKUP(Table7[[#This Row],[Student_ID]],student_internships[#All],2,0)=1,"BEGINNER","NOT EXPERIENCED"))</f>
        <v>NOT EXPERIENCED</v>
      </c>
      <c r="F26" s="1">
        <f>VLOOKUP(Table7[[#This Row],[Student_ID]],student_data[],5,0)</f>
        <v>6.77</v>
      </c>
      <c r="G26" s="1">
        <f>VLOOKUP(Table7[[#This Row],[Student_ID]],student_data[#All],6,0)</f>
        <v>0</v>
      </c>
      <c r="H26" s="1">
        <f>VLOOKUP(Table7[[#This Row],[Student_ID]],student_internships[],2,0)</f>
        <v>0</v>
      </c>
      <c r="I26" s="1">
        <f>VLOOKUP(Table7[[#This Row],[Student_ID]],Placements!A26:E1025,5,0)</f>
        <v>4.41</v>
      </c>
      <c r="J26" s="1" t="str">
        <f>IF(VLOOKUP(Table7[[#This Row],[Student_ID]],student_data[#All],5,0)&gt;8,"HIGH",IF(VLOOKUP(Table7[[#This Row],[Student_ID]],student_data[#All],5,0)&lt;6.5,"LOW","MEDIUM"))</f>
        <v>MEDIUM</v>
      </c>
    </row>
    <row r="27" spans="1:10" x14ac:dyDescent="0.2">
      <c r="A27" s="1" t="s">
        <v>36</v>
      </c>
      <c r="B27" s="1" t="str">
        <f>VLOOKUP(Table7[[#This Row],[Student_ID]],student_data[#All],2,0)</f>
        <v>Computer Science</v>
      </c>
      <c r="C27" s="1">
        <f>(VLOOKUP(Table7[[#This Row],[Student_ID]],student_data[],5,0)*5)+(VLOOKUP(Table7[[#This Row],[Student_ID]],student_data[],6,0)*3)+(VLOOKUP(Table7[[#This Row],[Student_ID]],student_skills[],6,0)*2)+(VLOOKUP(Table7[[#This Row],[Student_ID]],student_internships[],2,0)*5)</f>
        <v>55.45</v>
      </c>
      <c r="D27" s="1">
        <f>AVERAGE(VLOOKUP(Table7[[#This Row],[Student_ID]],student_skills[],3,0),VLOOKUP(Table7[[#This Row],[Student_ID]],student_skills[],4,0),VLOOKUP(Table7[[#This Row],[Student_ID]],student_skills[],5,0),VLOOKUP(Table7[[#This Row],[Student_ID]],student_skills[],6,0))</f>
        <v>5.5</v>
      </c>
      <c r="E27" s="1" t="str">
        <f>IF(VLOOKUP(Table7[[#This Row],[Student_ID]],student_internships[#All],2,0)&gt;1,"EXPERIENCED",IF(VLOOKUP(Table7[[#This Row],[Student_ID]],student_internships[#All],2,0)=1,"BEGINNER","NOT EXPERIENCED"))</f>
        <v>BEGINNER</v>
      </c>
      <c r="F27" s="1">
        <f>VLOOKUP(Table7[[#This Row],[Student_ID]],student_data[],5,0)</f>
        <v>7.29</v>
      </c>
      <c r="G27" s="1">
        <f>VLOOKUP(Table7[[#This Row],[Student_ID]],student_data[#All],6,0)</f>
        <v>4</v>
      </c>
      <c r="H27" s="1">
        <f>VLOOKUP(Table7[[#This Row],[Student_ID]],student_internships[],2,0)</f>
        <v>1</v>
      </c>
      <c r="I27" s="1">
        <f>VLOOKUP(Table7[[#This Row],[Student_ID]],Placements!A27:E1026,5,0)</f>
        <v>4.67</v>
      </c>
      <c r="J27" s="1" t="str">
        <f>IF(VLOOKUP(Table7[[#This Row],[Student_ID]],student_data[#All],5,0)&gt;8,"HIGH",IF(VLOOKUP(Table7[[#This Row],[Student_ID]],student_data[#All],5,0)&lt;6.5,"LOW","MEDIUM"))</f>
        <v>MEDIUM</v>
      </c>
    </row>
    <row r="28" spans="1:10" x14ac:dyDescent="0.2">
      <c r="A28" s="1" t="s">
        <v>37</v>
      </c>
      <c r="B28" s="1" t="str">
        <f>VLOOKUP(Table7[[#This Row],[Student_ID]],student_data[#All],2,0)</f>
        <v>Computer Science</v>
      </c>
      <c r="C28" s="1">
        <f>(VLOOKUP(Table7[[#This Row],[Student_ID]],student_data[],5,0)*5)+(VLOOKUP(Table7[[#This Row],[Student_ID]],student_data[],6,0)*3)+(VLOOKUP(Table7[[#This Row],[Student_ID]],student_skills[],6,0)*2)+(VLOOKUP(Table7[[#This Row],[Student_ID]],student_internships[],2,0)*5)</f>
        <v>61.95</v>
      </c>
      <c r="D28" s="1">
        <f>AVERAGE(VLOOKUP(Table7[[#This Row],[Student_ID]],student_skills[],3,0),VLOOKUP(Table7[[#This Row],[Student_ID]],student_skills[],4,0),VLOOKUP(Table7[[#This Row],[Student_ID]],student_skills[],5,0),VLOOKUP(Table7[[#This Row],[Student_ID]],student_skills[],6,0))</f>
        <v>7.75</v>
      </c>
      <c r="E28" s="1" t="str">
        <f>IF(VLOOKUP(Table7[[#This Row],[Student_ID]],student_internships[#All],2,0)&gt;1,"EXPERIENCED",IF(VLOOKUP(Table7[[#This Row],[Student_ID]],student_internships[#All],2,0)=1,"BEGINNER","NOT EXPERIENCED"))</f>
        <v>BEGINNER</v>
      </c>
      <c r="F28" s="1">
        <f>VLOOKUP(Table7[[#This Row],[Student_ID]],student_data[],5,0)</f>
        <v>5.19</v>
      </c>
      <c r="G28" s="1">
        <f>VLOOKUP(Table7[[#This Row],[Student_ID]],student_data[#All],6,0)</f>
        <v>5</v>
      </c>
      <c r="H28" s="1">
        <f>VLOOKUP(Table7[[#This Row],[Student_ID]],student_internships[],2,0)</f>
        <v>1</v>
      </c>
      <c r="I28" s="1">
        <f>VLOOKUP(Table7[[#This Row],[Student_ID]],Placements!A28:E1027,5,0)</f>
        <v>5.33</v>
      </c>
      <c r="J28" s="1" t="str">
        <f>IF(VLOOKUP(Table7[[#This Row],[Student_ID]],student_data[#All],5,0)&gt;8,"HIGH",IF(VLOOKUP(Table7[[#This Row],[Student_ID]],student_data[#All],5,0)&lt;6.5,"LOW","MEDIUM"))</f>
        <v>LOW</v>
      </c>
    </row>
    <row r="29" spans="1:10" x14ac:dyDescent="0.2">
      <c r="A29" s="1" t="s">
        <v>38</v>
      </c>
      <c r="B29" s="1" t="str">
        <f>VLOOKUP(Table7[[#This Row],[Student_ID]],student_data[#All],2,0)</f>
        <v>Mechanical</v>
      </c>
      <c r="C29" s="1">
        <f>(VLOOKUP(Table7[[#This Row],[Student_ID]],student_data[],5,0)*5)+(VLOOKUP(Table7[[#This Row],[Student_ID]],student_data[],6,0)*3)+(VLOOKUP(Table7[[#This Row],[Student_ID]],student_skills[],6,0)*2)+(VLOOKUP(Table7[[#This Row],[Student_ID]],student_internships[],2,0)*5)</f>
        <v>82.65</v>
      </c>
      <c r="D29" s="1">
        <f>AVERAGE(VLOOKUP(Table7[[#This Row],[Student_ID]],student_skills[],3,0),VLOOKUP(Table7[[#This Row],[Student_ID]],student_skills[],4,0),VLOOKUP(Table7[[#This Row],[Student_ID]],student_skills[],5,0),VLOOKUP(Table7[[#This Row],[Student_ID]],student_skills[],6,0))</f>
        <v>5.25</v>
      </c>
      <c r="E29" s="1" t="str">
        <f>IF(VLOOKUP(Table7[[#This Row],[Student_ID]],student_internships[#All],2,0)&gt;1,"EXPERIENCED",IF(VLOOKUP(Table7[[#This Row],[Student_ID]],student_internships[#All],2,0)=1,"BEGINNER","NOT EXPERIENCED"))</f>
        <v>EXPERIENCED</v>
      </c>
      <c r="F29" s="1">
        <f>VLOOKUP(Table7[[#This Row],[Student_ID]],student_data[],5,0)</f>
        <v>8.73</v>
      </c>
      <c r="G29" s="1">
        <f>VLOOKUP(Table7[[#This Row],[Student_ID]],student_data[#All],6,0)</f>
        <v>5</v>
      </c>
      <c r="H29" s="1">
        <f>VLOOKUP(Table7[[#This Row],[Student_ID]],student_internships[],2,0)</f>
        <v>2</v>
      </c>
      <c r="I29" s="1">
        <f>VLOOKUP(Table7[[#This Row],[Student_ID]],Placements!A29:E1028,5,0)</f>
        <v>6.99</v>
      </c>
      <c r="J29" s="1" t="str">
        <f>IF(VLOOKUP(Table7[[#This Row],[Student_ID]],student_data[#All],5,0)&gt;8,"HIGH",IF(VLOOKUP(Table7[[#This Row],[Student_ID]],student_data[#All],5,0)&lt;6.5,"LOW","MEDIUM"))</f>
        <v>HIGH</v>
      </c>
    </row>
    <row r="30" spans="1:10" x14ac:dyDescent="0.2">
      <c r="A30" s="1" t="s">
        <v>39</v>
      </c>
      <c r="B30" s="1" t="str">
        <f>VLOOKUP(Table7[[#This Row],[Student_ID]],student_data[#All],2,0)</f>
        <v>Mechanical</v>
      </c>
      <c r="C30" s="1">
        <f>(VLOOKUP(Table7[[#This Row],[Student_ID]],student_data[],5,0)*5)+(VLOOKUP(Table7[[#This Row],[Student_ID]],student_data[],6,0)*3)+(VLOOKUP(Table7[[#This Row],[Student_ID]],student_skills[],6,0)*2)+(VLOOKUP(Table7[[#This Row],[Student_ID]],student_internships[],2,0)*5)</f>
        <v>45.75</v>
      </c>
      <c r="D30" s="1">
        <f>AVERAGE(VLOOKUP(Table7[[#This Row],[Student_ID]],student_skills[],3,0),VLOOKUP(Table7[[#This Row],[Student_ID]],student_skills[],4,0),VLOOKUP(Table7[[#This Row],[Student_ID]],student_skills[],5,0),VLOOKUP(Table7[[#This Row],[Student_ID]],student_skills[],6,0))</f>
        <v>3.5</v>
      </c>
      <c r="E30" s="1" t="str">
        <f>IF(VLOOKUP(Table7[[#This Row],[Student_ID]],student_internships[#All],2,0)&gt;1,"EXPERIENCED",IF(VLOOKUP(Table7[[#This Row],[Student_ID]],student_internships[#All],2,0)=1,"BEGINNER","NOT EXPERIENCED"))</f>
        <v>NOT EXPERIENCED</v>
      </c>
      <c r="F30" s="1">
        <f>VLOOKUP(Table7[[#This Row],[Student_ID]],student_data[],5,0)</f>
        <v>7.75</v>
      </c>
      <c r="G30" s="1">
        <f>VLOOKUP(Table7[[#This Row],[Student_ID]],student_data[#All],6,0)</f>
        <v>1</v>
      </c>
      <c r="H30" s="1">
        <f>VLOOKUP(Table7[[#This Row],[Student_ID]],student_internships[],2,0)</f>
        <v>0</v>
      </c>
      <c r="I30" s="1">
        <f>VLOOKUP(Table7[[#This Row],[Student_ID]],Placements!A30:E1029,5,0)</f>
        <v>4.1399999999999997</v>
      </c>
      <c r="J30" s="1" t="str">
        <f>IF(VLOOKUP(Table7[[#This Row],[Student_ID]],student_data[#All],5,0)&gt;8,"HIGH",IF(VLOOKUP(Table7[[#This Row],[Student_ID]],student_data[#All],5,0)&lt;6.5,"LOW","MEDIUM"))</f>
        <v>MEDIUM</v>
      </c>
    </row>
    <row r="31" spans="1:10" x14ac:dyDescent="0.2">
      <c r="A31" s="1" t="s">
        <v>40</v>
      </c>
      <c r="B31" s="1" t="str">
        <f>VLOOKUP(Table7[[#This Row],[Student_ID]],student_data[#All],2,0)</f>
        <v>Electronics</v>
      </c>
      <c r="C31" s="1">
        <f>(VLOOKUP(Table7[[#This Row],[Student_ID]],student_data[],5,0)*5)+(VLOOKUP(Table7[[#This Row],[Student_ID]],student_data[],6,0)*3)+(VLOOKUP(Table7[[#This Row],[Student_ID]],student_skills[],6,0)*2)+(VLOOKUP(Table7[[#This Row],[Student_ID]],student_internships[],2,0)*5)</f>
        <v>56.45</v>
      </c>
      <c r="D31" s="1">
        <f>AVERAGE(VLOOKUP(Table7[[#This Row],[Student_ID]],student_skills[],3,0),VLOOKUP(Table7[[#This Row],[Student_ID]],student_skills[],4,0),VLOOKUP(Table7[[#This Row],[Student_ID]],student_skills[],5,0),VLOOKUP(Table7[[#This Row],[Student_ID]],student_skills[],6,0))</f>
        <v>4.75</v>
      </c>
      <c r="E31" s="1" t="str">
        <f>IF(VLOOKUP(Table7[[#This Row],[Student_ID]],student_internships[#All],2,0)&gt;1,"EXPERIENCED",IF(VLOOKUP(Table7[[#This Row],[Student_ID]],student_internships[#All],2,0)=1,"BEGINNER","NOT EXPERIENCED"))</f>
        <v>BEGINNER</v>
      </c>
      <c r="F31" s="1">
        <f>VLOOKUP(Table7[[#This Row],[Student_ID]],student_data[],5,0)</f>
        <v>5.29</v>
      </c>
      <c r="G31" s="1">
        <f>VLOOKUP(Table7[[#This Row],[Student_ID]],student_data[#All],6,0)</f>
        <v>3</v>
      </c>
      <c r="H31" s="1">
        <f>VLOOKUP(Table7[[#This Row],[Student_ID]],student_internships[],2,0)</f>
        <v>1</v>
      </c>
      <c r="I31" s="1">
        <f>VLOOKUP(Table7[[#This Row],[Student_ID]],Placements!A31:E1030,5,0)</f>
        <v>9.31</v>
      </c>
      <c r="J31" s="1" t="str">
        <f>IF(VLOOKUP(Table7[[#This Row],[Student_ID]],student_data[#All],5,0)&gt;8,"HIGH",IF(VLOOKUP(Table7[[#This Row],[Student_ID]],student_data[#All],5,0)&lt;6.5,"LOW","MEDIUM"))</f>
        <v>LOW</v>
      </c>
    </row>
    <row r="32" spans="1:10" x14ac:dyDescent="0.2">
      <c r="A32" s="1" t="s">
        <v>41</v>
      </c>
      <c r="B32" s="1" t="str">
        <f>VLOOKUP(Table7[[#This Row],[Student_ID]],student_data[#All],2,0)</f>
        <v>Civil</v>
      </c>
      <c r="C32" s="1">
        <f>(VLOOKUP(Table7[[#This Row],[Student_ID]],student_data[],5,0)*5)+(VLOOKUP(Table7[[#This Row],[Student_ID]],student_data[],6,0)*3)+(VLOOKUP(Table7[[#This Row],[Student_ID]],student_skills[],6,0)*2)+(VLOOKUP(Table7[[#This Row],[Student_ID]],student_internships[],2,0)*5)</f>
        <v>60</v>
      </c>
      <c r="D32" s="1">
        <f>AVERAGE(VLOOKUP(Table7[[#This Row],[Student_ID]],student_skills[],3,0),VLOOKUP(Table7[[#This Row],[Student_ID]],student_skills[],4,0),VLOOKUP(Table7[[#This Row],[Student_ID]],student_skills[],5,0),VLOOKUP(Table7[[#This Row],[Student_ID]],student_skills[],6,0))</f>
        <v>6</v>
      </c>
      <c r="E32" s="1" t="str">
        <f>IF(VLOOKUP(Table7[[#This Row],[Student_ID]],student_internships[#All],2,0)&gt;1,"EXPERIENCED",IF(VLOOKUP(Table7[[#This Row],[Student_ID]],student_internships[#All],2,0)=1,"BEGINNER","NOT EXPERIENCED"))</f>
        <v>BEGINNER</v>
      </c>
      <c r="F32" s="1">
        <f>VLOOKUP(Table7[[#This Row],[Student_ID]],student_data[],5,0)</f>
        <v>8.4</v>
      </c>
      <c r="G32" s="1">
        <f>VLOOKUP(Table7[[#This Row],[Student_ID]],student_data[#All],6,0)</f>
        <v>1</v>
      </c>
      <c r="H32" s="1">
        <f>VLOOKUP(Table7[[#This Row],[Student_ID]],student_internships[],2,0)</f>
        <v>1</v>
      </c>
      <c r="I32" s="1">
        <f>VLOOKUP(Table7[[#This Row],[Student_ID]],Placements!A32:E1031,5,0)</f>
        <v>4.5</v>
      </c>
      <c r="J32" s="1" t="str">
        <f>IF(VLOOKUP(Table7[[#This Row],[Student_ID]],student_data[#All],5,0)&gt;8,"HIGH",IF(VLOOKUP(Table7[[#This Row],[Student_ID]],student_data[#All],5,0)&lt;6.5,"LOW","MEDIUM"))</f>
        <v>HIGH</v>
      </c>
    </row>
    <row r="33" spans="1:10" x14ac:dyDescent="0.2">
      <c r="A33" s="1" t="s">
        <v>42</v>
      </c>
      <c r="B33" s="1" t="str">
        <f>VLOOKUP(Table7[[#This Row],[Student_ID]],student_data[#All],2,0)</f>
        <v>Civil</v>
      </c>
      <c r="C33" s="1">
        <f>(VLOOKUP(Table7[[#This Row],[Student_ID]],student_data[],5,0)*5)+(VLOOKUP(Table7[[#This Row],[Student_ID]],student_data[],6,0)*3)+(VLOOKUP(Table7[[#This Row],[Student_ID]],student_skills[],6,0)*2)+(VLOOKUP(Table7[[#This Row],[Student_ID]],student_internships[],2,0)*5)</f>
        <v>50.65</v>
      </c>
      <c r="D33" s="1">
        <f>AVERAGE(VLOOKUP(Table7[[#This Row],[Student_ID]],student_skills[],3,0),VLOOKUP(Table7[[#This Row],[Student_ID]],student_skills[],4,0),VLOOKUP(Table7[[#This Row],[Student_ID]],student_skills[],5,0),VLOOKUP(Table7[[#This Row],[Student_ID]],student_skills[],6,0))</f>
        <v>4.75</v>
      </c>
      <c r="E33" s="1" t="str">
        <f>IF(VLOOKUP(Table7[[#This Row],[Student_ID]],student_internships[#All],2,0)&gt;1,"EXPERIENCED",IF(VLOOKUP(Table7[[#This Row],[Student_ID]],student_internships[#All],2,0)=1,"BEGINNER","NOT EXPERIENCED"))</f>
        <v>NOT EXPERIENCED</v>
      </c>
      <c r="F33" s="1">
        <f>VLOOKUP(Table7[[#This Row],[Student_ID]],student_data[],5,0)</f>
        <v>7.33</v>
      </c>
      <c r="G33" s="1">
        <f>VLOOKUP(Table7[[#This Row],[Student_ID]],student_data[#All],6,0)</f>
        <v>0</v>
      </c>
      <c r="H33" s="1">
        <f>VLOOKUP(Table7[[#This Row],[Student_ID]],student_internships[],2,0)</f>
        <v>0</v>
      </c>
      <c r="I33" s="1">
        <f>VLOOKUP(Table7[[#This Row],[Student_ID]],Placements!A33:E1032,5,0)</f>
        <v>0</v>
      </c>
      <c r="J33" s="1" t="str">
        <f>IF(VLOOKUP(Table7[[#This Row],[Student_ID]],student_data[#All],5,0)&gt;8,"HIGH",IF(VLOOKUP(Table7[[#This Row],[Student_ID]],student_data[#All],5,0)&lt;6.5,"LOW","MEDIUM"))</f>
        <v>MEDIUM</v>
      </c>
    </row>
    <row r="34" spans="1:10" x14ac:dyDescent="0.2">
      <c r="A34" s="1" t="s">
        <v>43</v>
      </c>
      <c r="B34" s="1" t="str">
        <f>VLOOKUP(Table7[[#This Row],[Student_ID]],student_data[#All],2,0)</f>
        <v>Mechanical</v>
      </c>
      <c r="C34" s="1">
        <f>(VLOOKUP(Table7[[#This Row],[Student_ID]],student_data[],5,0)*5)+(VLOOKUP(Table7[[#This Row],[Student_ID]],student_data[],6,0)*3)+(VLOOKUP(Table7[[#This Row],[Student_ID]],student_skills[],6,0)*2)+(VLOOKUP(Table7[[#This Row],[Student_ID]],student_internships[],2,0)*5)</f>
        <v>44.85</v>
      </c>
      <c r="D34" s="1">
        <f>AVERAGE(VLOOKUP(Table7[[#This Row],[Student_ID]],student_skills[],3,0),VLOOKUP(Table7[[#This Row],[Student_ID]],student_skills[],4,0),VLOOKUP(Table7[[#This Row],[Student_ID]],student_skills[],5,0),VLOOKUP(Table7[[#This Row],[Student_ID]],student_skills[],6,0))</f>
        <v>7.25</v>
      </c>
      <c r="E34" s="1" t="str">
        <f>IF(VLOOKUP(Table7[[#This Row],[Student_ID]],student_internships[#All],2,0)&gt;1,"EXPERIENCED",IF(VLOOKUP(Table7[[#This Row],[Student_ID]],student_internships[#All],2,0)=1,"BEGINNER","NOT EXPERIENCED"))</f>
        <v>BEGINNER</v>
      </c>
      <c r="F34" s="1">
        <f>VLOOKUP(Table7[[#This Row],[Student_ID]],student_data[],5,0)</f>
        <v>5.17</v>
      </c>
      <c r="G34" s="1">
        <f>VLOOKUP(Table7[[#This Row],[Student_ID]],student_data[#All],6,0)</f>
        <v>2</v>
      </c>
      <c r="H34" s="1">
        <f>VLOOKUP(Table7[[#This Row],[Student_ID]],student_internships[],2,0)</f>
        <v>1</v>
      </c>
      <c r="I34" s="1">
        <f>VLOOKUP(Table7[[#This Row],[Student_ID]],Placements!A34:E1033,5,0)</f>
        <v>4.88</v>
      </c>
      <c r="J34" s="1" t="str">
        <f>IF(VLOOKUP(Table7[[#This Row],[Student_ID]],student_data[#All],5,0)&gt;8,"HIGH",IF(VLOOKUP(Table7[[#This Row],[Student_ID]],student_data[#All],5,0)&lt;6.5,"LOW","MEDIUM"))</f>
        <v>LOW</v>
      </c>
    </row>
    <row r="35" spans="1:10" x14ac:dyDescent="0.2">
      <c r="A35" s="1" t="s">
        <v>44</v>
      </c>
      <c r="B35" s="1" t="str">
        <f>VLOOKUP(Table7[[#This Row],[Student_ID]],student_data[#All],2,0)</f>
        <v>Civil</v>
      </c>
      <c r="C35" s="1">
        <f>(VLOOKUP(Table7[[#This Row],[Student_ID]],student_data[],5,0)*5)+(VLOOKUP(Table7[[#This Row],[Student_ID]],student_data[],6,0)*3)+(VLOOKUP(Table7[[#This Row],[Student_ID]],student_skills[],6,0)*2)+(VLOOKUP(Table7[[#This Row],[Student_ID]],student_internships[],2,0)*5)</f>
        <v>65.25</v>
      </c>
      <c r="D35" s="1">
        <f>AVERAGE(VLOOKUP(Table7[[#This Row],[Student_ID]],student_skills[],3,0),VLOOKUP(Table7[[#This Row],[Student_ID]],student_skills[],4,0),VLOOKUP(Table7[[#This Row],[Student_ID]],student_skills[],5,0),VLOOKUP(Table7[[#This Row],[Student_ID]],student_skills[],6,0))</f>
        <v>4.75</v>
      </c>
      <c r="E35" s="1" t="str">
        <f>IF(VLOOKUP(Table7[[#This Row],[Student_ID]],student_internships[#All],2,0)&gt;1,"EXPERIENCED",IF(VLOOKUP(Table7[[#This Row],[Student_ID]],student_internships[#All],2,0)=1,"BEGINNER","NOT EXPERIENCED"))</f>
        <v>NOT EXPERIENCED</v>
      </c>
      <c r="F35" s="1">
        <f>VLOOKUP(Table7[[#This Row],[Student_ID]],student_data[],5,0)</f>
        <v>9.85</v>
      </c>
      <c r="G35" s="1">
        <f>VLOOKUP(Table7[[#This Row],[Student_ID]],student_data[#All],6,0)</f>
        <v>2</v>
      </c>
      <c r="H35" s="1">
        <f>VLOOKUP(Table7[[#This Row],[Student_ID]],student_internships[],2,0)</f>
        <v>0</v>
      </c>
      <c r="I35" s="1">
        <f>VLOOKUP(Table7[[#This Row],[Student_ID]],Placements!A35:E1034,5,0)</f>
        <v>11.39</v>
      </c>
      <c r="J35" s="1" t="str">
        <f>IF(VLOOKUP(Table7[[#This Row],[Student_ID]],student_data[#All],5,0)&gt;8,"HIGH",IF(VLOOKUP(Table7[[#This Row],[Student_ID]],student_data[#All],5,0)&lt;6.5,"LOW","MEDIUM"))</f>
        <v>HIGH</v>
      </c>
    </row>
    <row r="36" spans="1:10" x14ac:dyDescent="0.2">
      <c r="A36" s="1" t="s">
        <v>45</v>
      </c>
      <c r="B36" s="1" t="str">
        <f>VLOOKUP(Table7[[#This Row],[Student_ID]],student_data[#All],2,0)</f>
        <v>Civil</v>
      </c>
      <c r="C36" s="1">
        <f>(VLOOKUP(Table7[[#This Row],[Student_ID]],student_data[],5,0)*5)+(VLOOKUP(Table7[[#This Row],[Student_ID]],student_data[],6,0)*3)+(VLOOKUP(Table7[[#This Row],[Student_ID]],student_skills[],6,0)*2)+(VLOOKUP(Table7[[#This Row],[Student_ID]],student_internships[],2,0)*5)</f>
        <v>73.75</v>
      </c>
      <c r="D36" s="1">
        <f>AVERAGE(VLOOKUP(Table7[[#This Row],[Student_ID]],student_skills[],3,0),VLOOKUP(Table7[[#This Row],[Student_ID]],student_skills[],4,0),VLOOKUP(Table7[[#This Row],[Student_ID]],student_skills[],5,0),VLOOKUP(Table7[[#This Row],[Student_ID]],student_skills[],6,0))</f>
        <v>7.5</v>
      </c>
      <c r="E36" s="1" t="str">
        <f>IF(VLOOKUP(Table7[[#This Row],[Student_ID]],student_internships[#All],2,0)&gt;1,"EXPERIENCED",IF(VLOOKUP(Table7[[#This Row],[Student_ID]],student_internships[#All],2,0)=1,"BEGINNER","NOT EXPERIENCED"))</f>
        <v>NOT EXPERIENCED</v>
      </c>
      <c r="F36" s="1">
        <f>VLOOKUP(Table7[[#This Row],[Student_ID]],student_data[],5,0)</f>
        <v>9.75</v>
      </c>
      <c r="G36" s="1">
        <f>VLOOKUP(Table7[[#This Row],[Student_ID]],student_data[#All],6,0)</f>
        <v>3</v>
      </c>
      <c r="H36" s="1">
        <f>VLOOKUP(Table7[[#This Row],[Student_ID]],student_internships[],2,0)</f>
        <v>0</v>
      </c>
      <c r="I36" s="1">
        <f>VLOOKUP(Table7[[#This Row],[Student_ID]],Placements!A36:E1035,5,0)</f>
        <v>6.17</v>
      </c>
      <c r="J36" s="1" t="str">
        <f>IF(VLOOKUP(Table7[[#This Row],[Student_ID]],student_data[#All],5,0)&gt;8,"HIGH",IF(VLOOKUP(Table7[[#This Row],[Student_ID]],student_data[#All],5,0)&lt;6.5,"LOW","MEDIUM"))</f>
        <v>HIGH</v>
      </c>
    </row>
    <row r="37" spans="1:10" x14ac:dyDescent="0.2">
      <c r="A37" s="1" t="s">
        <v>46</v>
      </c>
      <c r="B37" s="1" t="str">
        <f>VLOOKUP(Table7[[#This Row],[Student_ID]],student_data[#All],2,0)</f>
        <v>Computer Science</v>
      </c>
      <c r="C37" s="1">
        <f>(VLOOKUP(Table7[[#This Row],[Student_ID]],student_data[],5,0)*5)+(VLOOKUP(Table7[[#This Row],[Student_ID]],student_data[],6,0)*3)+(VLOOKUP(Table7[[#This Row],[Student_ID]],student_skills[],6,0)*2)+(VLOOKUP(Table7[[#This Row],[Student_ID]],student_internships[],2,0)*5)</f>
        <v>69.8</v>
      </c>
      <c r="D37" s="1">
        <f>AVERAGE(VLOOKUP(Table7[[#This Row],[Student_ID]],student_skills[],3,0),VLOOKUP(Table7[[#This Row],[Student_ID]],student_skills[],4,0),VLOOKUP(Table7[[#This Row],[Student_ID]],student_skills[],5,0),VLOOKUP(Table7[[#This Row],[Student_ID]],student_skills[],6,0))</f>
        <v>2.75</v>
      </c>
      <c r="E37" s="1" t="str">
        <f>IF(VLOOKUP(Table7[[#This Row],[Student_ID]],student_internships[#All],2,0)&gt;1,"EXPERIENCED",IF(VLOOKUP(Table7[[#This Row],[Student_ID]],student_internships[#All],2,0)=1,"BEGINNER","NOT EXPERIENCED"))</f>
        <v>EXPERIENCED</v>
      </c>
      <c r="F37" s="1">
        <f>VLOOKUP(Table7[[#This Row],[Student_ID]],student_data[],5,0)</f>
        <v>7.56</v>
      </c>
      <c r="G37" s="1">
        <f>VLOOKUP(Table7[[#This Row],[Student_ID]],student_data[#All],6,0)</f>
        <v>5</v>
      </c>
      <c r="H37" s="1">
        <f>VLOOKUP(Table7[[#This Row],[Student_ID]],student_internships[],2,0)</f>
        <v>3</v>
      </c>
      <c r="I37" s="1">
        <f>VLOOKUP(Table7[[#This Row],[Student_ID]],Placements!A37:E1036,5,0)</f>
        <v>5.13</v>
      </c>
      <c r="J37" s="1" t="str">
        <f>IF(VLOOKUP(Table7[[#This Row],[Student_ID]],student_data[#All],5,0)&gt;8,"HIGH",IF(VLOOKUP(Table7[[#This Row],[Student_ID]],student_data[#All],5,0)&lt;6.5,"LOW","MEDIUM"))</f>
        <v>MEDIUM</v>
      </c>
    </row>
    <row r="38" spans="1:10" x14ac:dyDescent="0.2">
      <c r="A38" s="1" t="s">
        <v>47</v>
      </c>
      <c r="B38" s="1" t="str">
        <f>VLOOKUP(Table7[[#This Row],[Student_ID]],student_data[#All],2,0)</f>
        <v>Mechanical</v>
      </c>
      <c r="C38" s="1">
        <f>(VLOOKUP(Table7[[#This Row],[Student_ID]],student_data[],5,0)*5)+(VLOOKUP(Table7[[#This Row],[Student_ID]],student_data[],6,0)*3)+(VLOOKUP(Table7[[#This Row],[Student_ID]],student_skills[],6,0)*2)+(VLOOKUP(Table7[[#This Row],[Student_ID]],student_internships[],2,0)*5)</f>
        <v>53.349999999999994</v>
      </c>
      <c r="D38" s="1">
        <f>AVERAGE(VLOOKUP(Table7[[#This Row],[Student_ID]],student_skills[],3,0),VLOOKUP(Table7[[#This Row],[Student_ID]],student_skills[],4,0),VLOOKUP(Table7[[#This Row],[Student_ID]],student_skills[],5,0),VLOOKUP(Table7[[#This Row],[Student_ID]],student_skills[],6,0))</f>
        <v>5</v>
      </c>
      <c r="E38" s="1" t="str">
        <f>IF(VLOOKUP(Table7[[#This Row],[Student_ID]],student_internships[#All],2,0)&gt;1,"EXPERIENCED",IF(VLOOKUP(Table7[[#This Row],[Student_ID]],student_internships[#All],2,0)=1,"BEGINNER","NOT EXPERIENCED"))</f>
        <v>EXPERIENCED</v>
      </c>
      <c r="F38" s="1">
        <f>VLOOKUP(Table7[[#This Row],[Student_ID]],student_data[],5,0)</f>
        <v>5.47</v>
      </c>
      <c r="G38" s="1">
        <f>VLOOKUP(Table7[[#This Row],[Student_ID]],student_data[#All],6,0)</f>
        <v>3</v>
      </c>
      <c r="H38" s="1">
        <f>VLOOKUP(Table7[[#This Row],[Student_ID]],student_internships[],2,0)</f>
        <v>3</v>
      </c>
      <c r="I38" s="1">
        <f>VLOOKUP(Table7[[#This Row],[Student_ID]],Placements!A38:E1037,5,0)</f>
        <v>4.37</v>
      </c>
      <c r="J38" s="1" t="str">
        <f>IF(VLOOKUP(Table7[[#This Row],[Student_ID]],student_data[#All],5,0)&gt;8,"HIGH",IF(VLOOKUP(Table7[[#This Row],[Student_ID]],student_data[#All],5,0)&lt;6.5,"LOW","MEDIUM"))</f>
        <v>LOW</v>
      </c>
    </row>
    <row r="39" spans="1:10" x14ac:dyDescent="0.2">
      <c r="A39" s="1" t="s">
        <v>48</v>
      </c>
      <c r="B39" s="1" t="str">
        <f>VLOOKUP(Table7[[#This Row],[Student_ID]],student_data[#All],2,0)</f>
        <v>Information Technology</v>
      </c>
      <c r="C39" s="1">
        <f>(VLOOKUP(Table7[[#This Row],[Student_ID]],student_data[],5,0)*5)+(VLOOKUP(Table7[[#This Row],[Student_ID]],student_data[],6,0)*3)+(VLOOKUP(Table7[[#This Row],[Student_ID]],student_skills[],6,0)*2)+(VLOOKUP(Table7[[#This Row],[Student_ID]],student_internships[],2,0)*5)</f>
        <v>76.849999999999994</v>
      </c>
      <c r="D39" s="1">
        <f>AVERAGE(VLOOKUP(Table7[[#This Row],[Student_ID]],student_skills[],3,0),VLOOKUP(Table7[[#This Row],[Student_ID]],student_skills[],4,0),VLOOKUP(Table7[[#This Row],[Student_ID]],student_skills[],5,0),VLOOKUP(Table7[[#This Row],[Student_ID]],student_skills[],6,0))</f>
        <v>6.25</v>
      </c>
      <c r="E39" s="1" t="str">
        <f>IF(VLOOKUP(Table7[[#This Row],[Student_ID]],student_internships[#All],2,0)&gt;1,"EXPERIENCED",IF(VLOOKUP(Table7[[#This Row],[Student_ID]],student_internships[#All],2,0)=1,"BEGINNER","NOT EXPERIENCED"))</f>
        <v>EXPERIENCED</v>
      </c>
      <c r="F39" s="1">
        <f>VLOOKUP(Table7[[#This Row],[Student_ID]],student_data[],5,0)</f>
        <v>8.77</v>
      </c>
      <c r="G39" s="1">
        <f>VLOOKUP(Table7[[#This Row],[Student_ID]],student_data[#All],6,0)</f>
        <v>5</v>
      </c>
      <c r="H39" s="1">
        <f>VLOOKUP(Table7[[#This Row],[Student_ID]],student_internships[],2,0)</f>
        <v>2</v>
      </c>
      <c r="I39" s="1">
        <f>VLOOKUP(Table7[[#This Row],[Student_ID]],Placements!A39:E1038,5,0)</f>
        <v>4.3600000000000003</v>
      </c>
      <c r="J39" s="1" t="str">
        <f>IF(VLOOKUP(Table7[[#This Row],[Student_ID]],student_data[#All],5,0)&gt;8,"HIGH",IF(VLOOKUP(Table7[[#This Row],[Student_ID]],student_data[#All],5,0)&lt;6.5,"LOW","MEDIUM"))</f>
        <v>HIGH</v>
      </c>
    </row>
    <row r="40" spans="1:10" x14ac:dyDescent="0.2">
      <c r="A40" s="1" t="s">
        <v>49</v>
      </c>
      <c r="B40" s="1" t="str">
        <f>VLOOKUP(Table7[[#This Row],[Student_ID]],student_data[#All],2,0)</f>
        <v>Mechanical</v>
      </c>
      <c r="C40" s="1">
        <f>(VLOOKUP(Table7[[#This Row],[Student_ID]],student_data[],5,0)*5)+(VLOOKUP(Table7[[#This Row],[Student_ID]],student_data[],6,0)*3)+(VLOOKUP(Table7[[#This Row],[Student_ID]],student_skills[],6,0)*2)+(VLOOKUP(Table7[[#This Row],[Student_ID]],student_internships[],2,0)*5)</f>
        <v>63.3</v>
      </c>
      <c r="D40" s="1">
        <f>AVERAGE(VLOOKUP(Table7[[#This Row],[Student_ID]],student_skills[],3,0),VLOOKUP(Table7[[#This Row],[Student_ID]],student_skills[],4,0),VLOOKUP(Table7[[#This Row],[Student_ID]],student_skills[],5,0),VLOOKUP(Table7[[#This Row],[Student_ID]],student_skills[],6,0))</f>
        <v>6.5</v>
      </c>
      <c r="E40" s="1" t="str">
        <f>IF(VLOOKUP(Table7[[#This Row],[Student_ID]],student_internships[#All],2,0)&gt;1,"EXPERIENCED",IF(VLOOKUP(Table7[[#This Row],[Student_ID]],student_internships[#All],2,0)=1,"BEGINNER","NOT EXPERIENCED"))</f>
        <v>BEGINNER</v>
      </c>
      <c r="F40" s="1">
        <f>VLOOKUP(Table7[[#This Row],[Student_ID]],student_data[],5,0)</f>
        <v>7.46</v>
      </c>
      <c r="G40" s="1">
        <f>VLOOKUP(Table7[[#This Row],[Student_ID]],student_data[#All],6,0)</f>
        <v>5</v>
      </c>
      <c r="H40" s="1">
        <f>VLOOKUP(Table7[[#This Row],[Student_ID]],student_internships[],2,0)</f>
        <v>1</v>
      </c>
      <c r="I40" s="1">
        <f>VLOOKUP(Table7[[#This Row],[Student_ID]],Placements!A40:E1039,5,0)</f>
        <v>0</v>
      </c>
      <c r="J40" s="1" t="str">
        <f>IF(VLOOKUP(Table7[[#This Row],[Student_ID]],student_data[#All],5,0)&gt;8,"HIGH",IF(VLOOKUP(Table7[[#This Row],[Student_ID]],student_data[#All],5,0)&lt;6.5,"LOW","MEDIUM"))</f>
        <v>MEDIUM</v>
      </c>
    </row>
    <row r="41" spans="1:10" x14ac:dyDescent="0.2">
      <c r="A41" s="1" t="s">
        <v>50</v>
      </c>
      <c r="B41" s="1" t="str">
        <f>VLOOKUP(Table7[[#This Row],[Student_ID]],student_data[#All],2,0)</f>
        <v>Information Technology</v>
      </c>
      <c r="C41" s="1">
        <f>(VLOOKUP(Table7[[#This Row],[Student_ID]],student_data[],5,0)*5)+(VLOOKUP(Table7[[#This Row],[Student_ID]],student_data[],6,0)*3)+(VLOOKUP(Table7[[#This Row],[Student_ID]],student_skills[],6,0)*2)+(VLOOKUP(Table7[[#This Row],[Student_ID]],student_internships[],2,0)*5)</f>
        <v>58.55</v>
      </c>
      <c r="D41" s="1">
        <f>AVERAGE(VLOOKUP(Table7[[#This Row],[Student_ID]],student_skills[],3,0),VLOOKUP(Table7[[#This Row],[Student_ID]],student_skills[],4,0),VLOOKUP(Table7[[#This Row],[Student_ID]],student_skills[],5,0),VLOOKUP(Table7[[#This Row],[Student_ID]],student_skills[],6,0))</f>
        <v>7.25</v>
      </c>
      <c r="E41" s="1" t="str">
        <f>IF(VLOOKUP(Table7[[#This Row],[Student_ID]],student_internships[#All],2,0)&gt;1,"EXPERIENCED",IF(VLOOKUP(Table7[[#This Row],[Student_ID]],student_internships[#All],2,0)=1,"BEGINNER","NOT EXPERIENCED"))</f>
        <v>NOT EXPERIENCED</v>
      </c>
      <c r="F41" s="1">
        <f>VLOOKUP(Table7[[#This Row],[Student_ID]],student_data[],5,0)</f>
        <v>6.51</v>
      </c>
      <c r="G41" s="1">
        <f>VLOOKUP(Table7[[#This Row],[Student_ID]],student_data[#All],6,0)</f>
        <v>2</v>
      </c>
      <c r="H41" s="1">
        <f>VLOOKUP(Table7[[#This Row],[Student_ID]],student_internships[],2,0)</f>
        <v>0</v>
      </c>
      <c r="I41" s="1">
        <f>VLOOKUP(Table7[[#This Row],[Student_ID]],Placements!A41:E1040,5,0)</f>
        <v>4.5599999999999996</v>
      </c>
      <c r="J41" s="1" t="str">
        <f>IF(VLOOKUP(Table7[[#This Row],[Student_ID]],student_data[#All],5,0)&gt;8,"HIGH",IF(VLOOKUP(Table7[[#This Row],[Student_ID]],student_data[#All],5,0)&lt;6.5,"LOW","MEDIUM"))</f>
        <v>MEDIUM</v>
      </c>
    </row>
    <row r="42" spans="1:10" x14ac:dyDescent="0.2">
      <c r="A42" s="1" t="s">
        <v>51</v>
      </c>
      <c r="B42" s="1" t="str">
        <f>VLOOKUP(Table7[[#This Row],[Student_ID]],student_data[#All],2,0)</f>
        <v>Computer Science</v>
      </c>
      <c r="C42" s="1">
        <f>(VLOOKUP(Table7[[#This Row],[Student_ID]],student_data[],5,0)*5)+(VLOOKUP(Table7[[#This Row],[Student_ID]],student_data[],6,0)*3)+(VLOOKUP(Table7[[#This Row],[Student_ID]],student_skills[],6,0)*2)+(VLOOKUP(Table7[[#This Row],[Student_ID]],student_internships[],2,0)*5)</f>
        <v>55.3</v>
      </c>
      <c r="D42" s="1">
        <f>AVERAGE(VLOOKUP(Table7[[#This Row],[Student_ID]],student_skills[],3,0),VLOOKUP(Table7[[#This Row],[Student_ID]],student_skills[],4,0),VLOOKUP(Table7[[#This Row],[Student_ID]],student_skills[],5,0),VLOOKUP(Table7[[#This Row],[Student_ID]],student_skills[],6,0))</f>
        <v>3.75</v>
      </c>
      <c r="E42" s="1" t="str">
        <f>IF(VLOOKUP(Table7[[#This Row],[Student_ID]],student_internships[#All],2,0)&gt;1,"EXPERIENCED",IF(VLOOKUP(Table7[[#This Row],[Student_ID]],student_internships[#All],2,0)=1,"BEGINNER","NOT EXPERIENCED"))</f>
        <v>BEGINNER</v>
      </c>
      <c r="F42" s="1">
        <f>VLOOKUP(Table7[[#This Row],[Student_ID]],student_data[],5,0)</f>
        <v>7.46</v>
      </c>
      <c r="G42" s="1">
        <f>VLOOKUP(Table7[[#This Row],[Student_ID]],student_data[#All],6,0)</f>
        <v>3</v>
      </c>
      <c r="H42" s="1">
        <f>VLOOKUP(Table7[[#This Row],[Student_ID]],student_internships[],2,0)</f>
        <v>1</v>
      </c>
      <c r="I42" s="1">
        <f>VLOOKUP(Table7[[#This Row],[Student_ID]],Placements!A42:E1041,5,0)</f>
        <v>4.5599999999999996</v>
      </c>
      <c r="J42" s="1" t="str">
        <f>IF(VLOOKUP(Table7[[#This Row],[Student_ID]],student_data[#All],5,0)&gt;8,"HIGH",IF(VLOOKUP(Table7[[#This Row],[Student_ID]],student_data[#All],5,0)&lt;6.5,"LOW","MEDIUM"))</f>
        <v>MEDIUM</v>
      </c>
    </row>
    <row r="43" spans="1:10" x14ac:dyDescent="0.2">
      <c r="A43" s="1" t="s">
        <v>52</v>
      </c>
      <c r="B43" s="1" t="str">
        <f>VLOOKUP(Table7[[#This Row],[Student_ID]],student_data[#All],2,0)</f>
        <v>Electronics</v>
      </c>
      <c r="C43" s="1">
        <f>(VLOOKUP(Table7[[#This Row],[Student_ID]],student_data[],5,0)*5)+(VLOOKUP(Table7[[#This Row],[Student_ID]],student_data[],6,0)*3)+(VLOOKUP(Table7[[#This Row],[Student_ID]],student_skills[],6,0)*2)+(VLOOKUP(Table7[[#This Row],[Student_ID]],student_internships[],2,0)*5)</f>
        <v>52.050000000000004</v>
      </c>
      <c r="D43" s="1">
        <f>AVERAGE(VLOOKUP(Table7[[#This Row],[Student_ID]],student_skills[],3,0),VLOOKUP(Table7[[#This Row],[Student_ID]],student_skills[],4,0),VLOOKUP(Table7[[#This Row],[Student_ID]],student_skills[],5,0),VLOOKUP(Table7[[#This Row],[Student_ID]],student_skills[],6,0))</f>
        <v>5.75</v>
      </c>
      <c r="E43" s="1" t="str">
        <f>IF(VLOOKUP(Table7[[#This Row],[Student_ID]],student_internships[#All],2,0)&gt;1,"EXPERIENCED",IF(VLOOKUP(Table7[[#This Row],[Student_ID]],student_internships[#All],2,0)=1,"BEGINNER","NOT EXPERIENCED"))</f>
        <v>BEGINNER</v>
      </c>
      <c r="F43" s="1">
        <f>VLOOKUP(Table7[[#This Row],[Student_ID]],student_data[],5,0)</f>
        <v>7.61</v>
      </c>
      <c r="G43" s="1">
        <f>VLOOKUP(Table7[[#This Row],[Student_ID]],student_data[#All],6,0)</f>
        <v>1</v>
      </c>
      <c r="H43" s="1">
        <f>VLOOKUP(Table7[[#This Row],[Student_ID]],student_internships[],2,0)</f>
        <v>1</v>
      </c>
      <c r="I43" s="1">
        <f>VLOOKUP(Table7[[#This Row],[Student_ID]],Placements!A43:E1042,5,0)</f>
        <v>3.56</v>
      </c>
      <c r="J43" s="1" t="str">
        <f>IF(VLOOKUP(Table7[[#This Row],[Student_ID]],student_data[#All],5,0)&gt;8,"HIGH",IF(VLOOKUP(Table7[[#This Row],[Student_ID]],student_data[#All],5,0)&lt;6.5,"LOW","MEDIUM"))</f>
        <v>MEDIUM</v>
      </c>
    </row>
    <row r="44" spans="1:10" x14ac:dyDescent="0.2">
      <c r="A44" s="1" t="s">
        <v>53</v>
      </c>
      <c r="B44" s="1" t="str">
        <f>VLOOKUP(Table7[[#This Row],[Student_ID]],student_data[#All],2,0)</f>
        <v>Civil</v>
      </c>
      <c r="C44" s="1">
        <f>(VLOOKUP(Table7[[#This Row],[Student_ID]],student_data[],5,0)*5)+(VLOOKUP(Table7[[#This Row],[Student_ID]],student_data[],6,0)*3)+(VLOOKUP(Table7[[#This Row],[Student_ID]],student_skills[],6,0)*2)+(VLOOKUP(Table7[[#This Row],[Student_ID]],student_internships[],2,0)*5)</f>
        <v>56.05</v>
      </c>
      <c r="D44" s="1">
        <f>AVERAGE(VLOOKUP(Table7[[#This Row],[Student_ID]],student_skills[],3,0),VLOOKUP(Table7[[#This Row],[Student_ID]],student_skills[],4,0),VLOOKUP(Table7[[#This Row],[Student_ID]],student_skills[],5,0),VLOOKUP(Table7[[#This Row],[Student_ID]],student_skills[],6,0))</f>
        <v>5.25</v>
      </c>
      <c r="E44" s="1" t="str">
        <f>IF(VLOOKUP(Table7[[#This Row],[Student_ID]],student_internships[#All],2,0)&gt;1,"EXPERIENCED",IF(VLOOKUP(Table7[[#This Row],[Student_ID]],student_internships[#All],2,0)=1,"BEGINNER","NOT EXPERIENCED"))</f>
        <v>NOT EXPERIENCED</v>
      </c>
      <c r="F44" s="1">
        <f>VLOOKUP(Table7[[#This Row],[Student_ID]],student_data[],5,0)</f>
        <v>7.81</v>
      </c>
      <c r="G44" s="1">
        <f>VLOOKUP(Table7[[#This Row],[Student_ID]],student_data[#All],6,0)</f>
        <v>5</v>
      </c>
      <c r="H44" s="1">
        <f>VLOOKUP(Table7[[#This Row],[Student_ID]],student_internships[],2,0)</f>
        <v>0</v>
      </c>
      <c r="I44" s="1">
        <f>VLOOKUP(Table7[[#This Row],[Student_ID]],Placements!A44:E1043,5,0)</f>
        <v>0</v>
      </c>
      <c r="J44" s="1" t="str">
        <f>IF(VLOOKUP(Table7[[#This Row],[Student_ID]],student_data[#All],5,0)&gt;8,"HIGH",IF(VLOOKUP(Table7[[#This Row],[Student_ID]],student_data[#All],5,0)&lt;6.5,"LOW","MEDIUM"))</f>
        <v>MEDIUM</v>
      </c>
    </row>
    <row r="45" spans="1:10" x14ac:dyDescent="0.2">
      <c r="A45" s="1" t="s">
        <v>54</v>
      </c>
      <c r="B45" s="1" t="str">
        <f>VLOOKUP(Table7[[#This Row],[Student_ID]],student_data[#All],2,0)</f>
        <v>Computer Science</v>
      </c>
      <c r="C45" s="1">
        <f>(VLOOKUP(Table7[[#This Row],[Student_ID]],student_data[],5,0)*5)+(VLOOKUP(Table7[[#This Row],[Student_ID]],student_data[],6,0)*3)+(VLOOKUP(Table7[[#This Row],[Student_ID]],student_skills[],6,0)*2)+(VLOOKUP(Table7[[#This Row],[Student_ID]],student_internships[],2,0)*5)</f>
        <v>55.05</v>
      </c>
      <c r="D45" s="1">
        <f>AVERAGE(VLOOKUP(Table7[[#This Row],[Student_ID]],student_skills[],3,0),VLOOKUP(Table7[[#This Row],[Student_ID]],student_skills[],4,0),VLOOKUP(Table7[[#This Row],[Student_ID]],student_skills[],5,0),VLOOKUP(Table7[[#This Row],[Student_ID]],student_skills[],6,0))</f>
        <v>3.25</v>
      </c>
      <c r="E45" s="1" t="str">
        <f>IF(VLOOKUP(Table7[[#This Row],[Student_ID]],student_internships[#All],2,0)&gt;1,"EXPERIENCED",IF(VLOOKUP(Table7[[#This Row],[Student_ID]],student_internships[#All],2,0)=1,"BEGINNER","NOT EXPERIENCED"))</f>
        <v>BEGINNER</v>
      </c>
      <c r="F45" s="1">
        <f>VLOOKUP(Table7[[#This Row],[Student_ID]],student_data[],5,0)</f>
        <v>7.21</v>
      </c>
      <c r="G45" s="1">
        <f>VLOOKUP(Table7[[#This Row],[Student_ID]],student_data[#All],6,0)</f>
        <v>4</v>
      </c>
      <c r="H45" s="1">
        <f>VLOOKUP(Table7[[#This Row],[Student_ID]],student_internships[],2,0)</f>
        <v>1</v>
      </c>
      <c r="I45" s="1">
        <f>VLOOKUP(Table7[[#This Row],[Student_ID]],Placements!A45:E1044,5,0)</f>
        <v>4.53</v>
      </c>
      <c r="J45" s="1" t="str">
        <f>IF(VLOOKUP(Table7[[#This Row],[Student_ID]],student_data[#All],5,0)&gt;8,"HIGH",IF(VLOOKUP(Table7[[#This Row],[Student_ID]],student_data[#All],5,0)&lt;6.5,"LOW","MEDIUM"))</f>
        <v>MEDIUM</v>
      </c>
    </row>
    <row r="46" spans="1:10" x14ac:dyDescent="0.2">
      <c r="A46" s="1" t="s">
        <v>55</v>
      </c>
      <c r="B46" s="1" t="str">
        <f>VLOOKUP(Table7[[#This Row],[Student_ID]],student_data[#All],2,0)</f>
        <v>Civil</v>
      </c>
      <c r="C46" s="1">
        <f>(VLOOKUP(Table7[[#This Row],[Student_ID]],student_data[],5,0)*5)+(VLOOKUP(Table7[[#This Row],[Student_ID]],student_data[],6,0)*3)+(VLOOKUP(Table7[[#This Row],[Student_ID]],student_skills[],6,0)*2)+(VLOOKUP(Table7[[#This Row],[Student_ID]],student_internships[],2,0)*5)</f>
        <v>64.150000000000006</v>
      </c>
      <c r="D46" s="1">
        <f>AVERAGE(VLOOKUP(Table7[[#This Row],[Student_ID]],student_skills[],3,0),VLOOKUP(Table7[[#This Row],[Student_ID]],student_skills[],4,0),VLOOKUP(Table7[[#This Row],[Student_ID]],student_skills[],5,0),VLOOKUP(Table7[[#This Row],[Student_ID]],student_skills[],6,0))</f>
        <v>5.5</v>
      </c>
      <c r="E46" s="1" t="str">
        <f>IF(VLOOKUP(Table7[[#This Row],[Student_ID]],student_internships[#All],2,0)&gt;1,"EXPERIENCED",IF(VLOOKUP(Table7[[#This Row],[Student_ID]],student_internships[#All],2,0)=1,"BEGINNER","NOT EXPERIENCED"))</f>
        <v>NOT EXPERIENCED</v>
      </c>
      <c r="F46" s="1">
        <f>VLOOKUP(Table7[[#This Row],[Student_ID]],student_data[],5,0)</f>
        <v>8.0299999999999994</v>
      </c>
      <c r="G46" s="1">
        <f>VLOOKUP(Table7[[#This Row],[Student_ID]],student_data[#All],6,0)</f>
        <v>4</v>
      </c>
      <c r="H46" s="1">
        <f>VLOOKUP(Table7[[#This Row],[Student_ID]],student_internships[],2,0)</f>
        <v>0</v>
      </c>
      <c r="I46" s="1">
        <f>VLOOKUP(Table7[[#This Row],[Student_ID]],Placements!A46:E1045,5,0)</f>
        <v>4.68</v>
      </c>
      <c r="J46" s="1" t="str">
        <f>IF(VLOOKUP(Table7[[#This Row],[Student_ID]],student_data[#All],5,0)&gt;8,"HIGH",IF(VLOOKUP(Table7[[#This Row],[Student_ID]],student_data[#All],5,0)&lt;6.5,"LOW","MEDIUM"))</f>
        <v>HIGH</v>
      </c>
    </row>
    <row r="47" spans="1:10" x14ac:dyDescent="0.2">
      <c r="A47" s="1" t="s">
        <v>56</v>
      </c>
      <c r="B47" s="1" t="str">
        <f>VLOOKUP(Table7[[#This Row],[Student_ID]],student_data[#All],2,0)</f>
        <v>Electronics</v>
      </c>
      <c r="C47" s="1">
        <f>(VLOOKUP(Table7[[#This Row],[Student_ID]],student_data[],5,0)*5)+(VLOOKUP(Table7[[#This Row],[Student_ID]],student_data[],6,0)*3)+(VLOOKUP(Table7[[#This Row],[Student_ID]],student_skills[],6,0)*2)+(VLOOKUP(Table7[[#This Row],[Student_ID]],student_internships[],2,0)*5)</f>
        <v>75.95</v>
      </c>
      <c r="D47" s="1">
        <f>AVERAGE(VLOOKUP(Table7[[#This Row],[Student_ID]],student_skills[],3,0),VLOOKUP(Table7[[#This Row],[Student_ID]],student_skills[],4,0),VLOOKUP(Table7[[#This Row],[Student_ID]],student_skills[],5,0),VLOOKUP(Table7[[#This Row],[Student_ID]],student_skills[],6,0))</f>
        <v>7.25</v>
      </c>
      <c r="E47" s="1" t="str">
        <f>IF(VLOOKUP(Table7[[#This Row],[Student_ID]],student_internships[#All],2,0)&gt;1,"EXPERIENCED",IF(VLOOKUP(Table7[[#This Row],[Student_ID]],student_internships[#All],2,0)=1,"BEGINNER","NOT EXPERIENCED"))</f>
        <v>EXPERIENCED</v>
      </c>
      <c r="F47" s="1">
        <f>VLOOKUP(Table7[[#This Row],[Student_ID]],student_data[],5,0)</f>
        <v>9.59</v>
      </c>
      <c r="G47" s="1">
        <f>VLOOKUP(Table7[[#This Row],[Student_ID]],student_data[#All],6,0)</f>
        <v>1</v>
      </c>
      <c r="H47" s="1">
        <f>VLOOKUP(Table7[[#This Row],[Student_ID]],student_internships[],2,0)</f>
        <v>3</v>
      </c>
      <c r="I47" s="1">
        <f>VLOOKUP(Table7[[#This Row],[Student_ID]],Placements!A47:E1046,5,0)</f>
        <v>36.56</v>
      </c>
      <c r="J47" s="1" t="str">
        <f>IF(VLOOKUP(Table7[[#This Row],[Student_ID]],student_data[#All],5,0)&gt;8,"HIGH",IF(VLOOKUP(Table7[[#This Row],[Student_ID]],student_data[#All],5,0)&lt;6.5,"LOW","MEDIUM"))</f>
        <v>HIGH</v>
      </c>
    </row>
    <row r="48" spans="1:10" x14ac:dyDescent="0.2">
      <c r="A48" s="1" t="s">
        <v>57</v>
      </c>
      <c r="B48" s="1" t="str">
        <f>VLOOKUP(Table7[[#This Row],[Student_ID]],student_data[#All],2,0)</f>
        <v>Electronics</v>
      </c>
      <c r="C48" s="1">
        <f>(VLOOKUP(Table7[[#This Row],[Student_ID]],student_data[],5,0)*5)+(VLOOKUP(Table7[[#This Row],[Student_ID]],student_data[],6,0)*3)+(VLOOKUP(Table7[[#This Row],[Student_ID]],student_skills[],6,0)*2)+(VLOOKUP(Table7[[#This Row],[Student_ID]],student_internships[],2,0)*5)</f>
        <v>62.05</v>
      </c>
      <c r="D48" s="1">
        <f>AVERAGE(VLOOKUP(Table7[[#This Row],[Student_ID]],student_skills[],3,0),VLOOKUP(Table7[[#This Row],[Student_ID]],student_skills[],4,0),VLOOKUP(Table7[[#This Row],[Student_ID]],student_skills[],5,0),VLOOKUP(Table7[[#This Row],[Student_ID]],student_skills[],6,0))</f>
        <v>7.25</v>
      </c>
      <c r="E48" s="1" t="str">
        <f>IF(VLOOKUP(Table7[[#This Row],[Student_ID]],student_internships[#All],2,0)&gt;1,"EXPERIENCED",IF(VLOOKUP(Table7[[#This Row],[Student_ID]],student_internships[#All],2,0)=1,"BEGINNER","NOT EXPERIENCED"))</f>
        <v>NOT EXPERIENCED</v>
      </c>
      <c r="F48" s="1">
        <f>VLOOKUP(Table7[[#This Row],[Student_ID]],student_data[],5,0)</f>
        <v>6.81</v>
      </c>
      <c r="G48" s="1">
        <f>VLOOKUP(Table7[[#This Row],[Student_ID]],student_data[#All],6,0)</f>
        <v>4</v>
      </c>
      <c r="H48" s="1">
        <f>VLOOKUP(Table7[[#This Row],[Student_ID]],student_internships[],2,0)</f>
        <v>0</v>
      </c>
      <c r="I48" s="1">
        <f>VLOOKUP(Table7[[#This Row],[Student_ID]],Placements!A48:E1047,5,0)</f>
        <v>4.1900000000000004</v>
      </c>
      <c r="J48" s="1" t="str">
        <f>IF(VLOOKUP(Table7[[#This Row],[Student_ID]],student_data[#All],5,0)&gt;8,"HIGH",IF(VLOOKUP(Table7[[#This Row],[Student_ID]],student_data[#All],5,0)&lt;6.5,"LOW","MEDIUM"))</f>
        <v>MEDIUM</v>
      </c>
    </row>
    <row r="49" spans="1:10" x14ac:dyDescent="0.2">
      <c r="A49" s="1" t="s">
        <v>58</v>
      </c>
      <c r="B49" s="1" t="str">
        <f>VLOOKUP(Table7[[#This Row],[Student_ID]],student_data[#All],2,0)</f>
        <v>Computer Science</v>
      </c>
      <c r="C49" s="1">
        <f>(VLOOKUP(Table7[[#This Row],[Student_ID]],student_data[],5,0)*5)+(VLOOKUP(Table7[[#This Row],[Student_ID]],student_data[],6,0)*3)+(VLOOKUP(Table7[[#This Row],[Student_ID]],student_skills[],6,0)*2)+(VLOOKUP(Table7[[#This Row],[Student_ID]],student_internships[],2,0)*5)</f>
        <v>52.150000000000006</v>
      </c>
      <c r="D49" s="1">
        <f>AVERAGE(VLOOKUP(Table7[[#This Row],[Student_ID]],student_skills[],3,0),VLOOKUP(Table7[[#This Row],[Student_ID]],student_skills[],4,0),VLOOKUP(Table7[[#This Row],[Student_ID]],student_skills[],5,0),VLOOKUP(Table7[[#This Row],[Student_ID]],student_skills[],6,0))</f>
        <v>4</v>
      </c>
      <c r="E49" s="1" t="str">
        <f>IF(VLOOKUP(Table7[[#This Row],[Student_ID]],student_internships[#All],2,0)&gt;1,"EXPERIENCED",IF(VLOOKUP(Table7[[#This Row],[Student_ID]],student_internships[#All],2,0)=1,"BEGINNER","NOT EXPERIENCED"))</f>
        <v>BEGINNER</v>
      </c>
      <c r="F49" s="1">
        <f>VLOOKUP(Table7[[#This Row],[Student_ID]],student_data[],5,0)</f>
        <v>8.6300000000000008</v>
      </c>
      <c r="G49" s="1">
        <f>VLOOKUP(Table7[[#This Row],[Student_ID]],student_data[#All],6,0)</f>
        <v>0</v>
      </c>
      <c r="H49" s="1">
        <f>VLOOKUP(Table7[[#This Row],[Student_ID]],student_internships[],2,0)</f>
        <v>1</v>
      </c>
      <c r="I49" s="1">
        <f>VLOOKUP(Table7[[#This Row],[Student_ID]],Placements!A49:E1048,5,0)</f>
        <v>0</v>
      </c>
      <c r="J49" s="1" t="str">
        <f>IF(VLOOKUP(Table7[[#This Row],[Student_ID]],student_data[#All],5,0)&gt;8,"HIGH",IF(VLOOKUP(Table7[[#This Row],[Student_ID]],student_data[#All],5,0)&lt;6.5,"LOW","MEDIUM"))</f>
        <v>HIGH</v>
      </c>
    </row>
    <row r="50" spans="1:10" x14ac:dyDescent="0.2">
      <c r="A50" s="1" t="s">
        <v>59</v>
      </c>
      <c r="B50" s="1" t="str">
        <f>VLOOKUP(Table7[[#This Row],[Student_ID]],student_data[#All],2,0)</f>
        <v>Electronics</v>
      </c>
      <c r="C50" s="1">
        <f>(VLOOKUP(Table7[[#This Row],[Student_ID]],student_data[],5,0)*5)+(VLOOKUP(Table7[[#This Row],[Student_ID]],student_data[],6,0)*3)+(VLOOKUP(Table7[[#This Row],[Student_ID]],student_skills[],6,0)*2)+(VLOOKUP(Table7[[#This Row],[Student_ID]],student_internships[],2,0)*5)</f>
        <v>75.349999999999994</v>
      </c>
      <c r="D50" s="1">
        <f>AVERAGE(VLOOKUP(Table7[[#This Row],[Student_ID]],student_skills[],3,0),VLOOKUP(Table7[[#This Row],[Student_ID]],student_skills[],4,0),VLOOKUP(Table7[[#This Row],[Student_ID]],student_skills[],5,0),VLOOKUP(Table7[[#This Row],[Student_ID]],student_skills[],6,0))</f>
        <v>2.5</v>
      </c>
      <c r="E50" s="1" t="str">
        <f>IF(VLOOKUP(Table7[[#This Row],[Student_ID]],student_internships[#All],2,0)&gt;1,"EXPERIENCED",IF(VLOOKUP(Table7[[#This Row],[Student_ID]],student_internships[#All],2,0)=1,"BEGINNER","NOT EXPERIENCED"))</f>
        <v>BEGINNER</v>
      </c>
      <c r="F50" s="1">
        <f>VLOOKUP(Table7[[#This Row],[Student_ID]],student_data[],5,0)</f>
        <v>9.4700000000000006</v>
      </c>
      <c r="G50" s="1">
        <f>VLOOKUP(Table7[[#This Row],[Student_ID]],student_data[#All],6,0)</f>
        <v>5</v>
      </c>
      <c r="H50" s="1">
        <f>VLOOKUP(Table7[[#This Row],[Student_ID]],student_internships[],2,0)</f>
        <v>1</v>
      </c>
      <c r="I50" s="1">
        <f>VLOOKUP(Table7[[#This Row],[Student_ID]],Placements!A50:E1049,5,0)</f>
        <v>6.71</v>
      </c>
      <c r="J50" s="1" t="str">
        <f>IF(VLOOKUP(Table7[[#This Row],[Student_ID]],student_data[#All],5,0)&gt;8,"HIGH",IF(VLOOKUP(Table7[[#This Row],[Student_ID]],student_data[#All],5,0)&lt;6.5,"LOW","MEDIUM"))</f>
        <v>HIGH</v>
      </c>
    </row>
    <row r="51" spans="1:10" x14ac:dyDescent="0.2">
      <c r="A51" s="1" t="s">
        <v>60</v>
      </c>
      <c r="B51" s="1" t="str">
        <f>VLOOKUP(Table7[[#This Row],[Student_ID]],student_data[#All],2,0)</f>
        <v>Information Technology</v>
      </c>
      <c r="C51" s="1">
        <f>(VLOOKUP(Table7[[#This Row],[Student_ID]],student_data[],5,0)*5)+(VLOOKUP(Table7[[#This Row],[Student_ID]],student_data[],6,0)*3)+(VLOOKUP(Table7[[#This Row],[Student_ID]],student_skills[],6,0)*2)+(VLOOKUP(Table7[[#This Row],[Student_ID]],student_internships[],2,0)*5)</f>
        <v>60.4</v>
      </c>
      <c r="D51" s="1">
        <f>AVERAGE(VLOOKUP(Table7[[#This Row],[Student_ID]],student_skills[],3,0),VLOOKUP(Table7[[#This Row],[Student_ID]],student_skills[],4,0),VLOOKUP(Table7[[#This Row],[Student_ID]],student_skills[],5,0),VLOOKUP(Table7[[#This Row],[Student_ID]],student_skills[],6,0))</f>
        <v>6.5</v>
      </c>
      <c r="E51" s="1" t="str">
        <f>IF(VLOOKUP(Table7[[#This Row],[Student_ID]],student_internships[#All],2,0)&gt;1,"EXPERIENCED",IF(VLOOKUP(Table7[[#This Row],[Student_ID]],student_internships[#All],2,0)=1,"BEGINNER","NOT EXPERIENCED"))</f>
        <v>BEGINNER</v>
      </c>
      <c r="F51" s="1">
        <f>VLOOKUP(Table7[[#This Row],[Student_ID]],student_data[],5,0)</f>
        <v>7.28</v>
      </c>
      <c r="G51" s="1">
        <f>VLOOKUP(Table7[[#This Row],[Student_ID]],student_data[#All],6,0)</f>
        <v>1</v>
      </c>
      <c r="H51" s="1">
        <f>VLOOKUP(Table7[[#This Row],[Student_ID]],student_internships[],2,0)</f>
        <v>1</v>
      </c>
      <c r="I51" s="1">
        <f>VLOOKUP(Table7[[#This Row],[Student_ID]],Placements!A51:E1050,5,0)</f>
        <v>0</v>
      </c>
      <c r="J51" s="1" t="str">
        <f>IF(VLOOKUP(Table7[[#This Row],[Student_ID]],student_data[#All],5,0)&gt;8,"HIGH",IF(VLOOKUP(Table7[[#This Row],[Student_ID]],student_data[#All],5,0)&lt;6.5,"LOW","MEDIUM"))</f>
        <v>MEDIUM</v>
      </c>
    </row>
    <row r="52" spans="1:10" x14ac:dyDescent="0.2">
      <c r="A52" s="1" t="s">
        <v>61</v>
      </c>
      <c r="B52" s="1" t="str">
        <f>VLOOKUP(Table7[[#This Row],[Student_ID]],student_data[#All],2,0)</f>
        <v>Electronics</v>
      </c>
      <c r="C52" s="1">
        <f>(VLOOKUP(Table7[[#This Row],[Student_ID]],student_data[],5,0)*5)+(VLOOKUP(Table7[[#This Row],[Student_ID]],student_data[],6,0)*3)+(VLOOKUP(Table7[[#This Row],[Student_ID]],student_skills[],6,0)*2)+(VLOOKUP(Table7[[#This Row],[Student_ID]],student_internships[],2,0)*5)</f>
        <v>62.1</v>
      </c>
      <c r="D52" s="1">
        <f>AVERAGE(VLOOKUP(Table7[[#This Row],[Student_ID]],student_skills[],3,0),VLOOKUP(Table7[[#This Row],[Student_ID]],student_skills[],4,0),VLOOKUP(Table7[[#This Row],[Student_ID]],student_skills[],5,0),VLOOKUP(Table7[[#This Row],[Student_ID]],student_skills[],6,0))</f>
        <v>4.75</v>
      </c>
      <c r="E52" s="1" t="str">
        <f>IF(VLOOKUP(Table7[[#This Row],[Student_ID]],student_internships[#All],2,0)&gt;1,"EXPERIENCED",IF(VLOOKUP(Table7[[#This Row],[Student_ID]],student_internships[#All],2,0)=1,"BEGINNER","NOT EXPERIENCED"))</f>
        <v>BEGINNER</v>
      </c>
      <c r="F52" s="1">
        <f>VLOOKUP(Table7[[#This Row],[Student_ID]],student_data[],5,0)</f>
        <v>7.22</v>
      </c>
      <c r="G52" s="1">
        <f>VLOOKUP(Table7[[#This Row],[Student_ID]],student_data[#All],6,0)</f>
        <v>3</v>
      </c>
      <c r="H52" s="1">
        <f>VLOOKUP(Table7[[#This Row],[Student_ID]],student_internships[],2,0)</f>
        <v>1</v>
      </c>
      <c r="I52" s="1">
        <f>VLOOKUP(Table7[[#This Row],[Student_ID]],Placements!A52:E1051,5,0)</f>
        <v>0</v>
      </c>
      <c r="J52" s="1" t="str">
        <f>IF(VLOOKUP(Table7[[#This Row],[Student_ID]],student_data[#All],5,0)&gt;8,"HIGH",IF(VLOOKUP(Table7[[#This Row],[Student_ID]],student_data[#All],5,0)&lt;6.5,"LOW","MEDIUM"))</f>
        <v>MEDIUM</v>
      </c>
    </row>
    <row r="53" spans="1:10" x14ac:dyDescent="0.2">
      <c r="A53" s="1" t="s">
        <v>62</v>
      </c>
      <c r="B53" s="1" t="str">
        <f>VLOOKUP(Table7[[#This Row],[Student_ID]],student_data[#All],2,0)</f>
        <v>Civil</v>
      </c>
      <c r="C53" s="1">
        <f>(VLOOKUP(Table7[[#This Row],[Student_ID]],student_data[],5,0)*5)+(VLOOKUP(Table7[[#This Row],[Student_ID]],student_data[],6,0)*3)+(VLOOKUP(Table7[[#This Row],[Student_ID]],student_skills[],6,0)*2)+(VLOOKUP(Table7[[#This Row],[Student_ID]],student_internships[],2,0)*5)</f>
        <v>57.05</v>
      </c>
      <c r="D53" s="1">
        <f>AVERAGE(VLOOKUP(Table7[[#This Row],[Student_ID]],student_skills[],3,0),VLOOKUP(Table7[[#This Row],[Student_ID]],student_skills[],4,0),VLOOKUP(Table7[[#This Row],[Student_ID]],student_skills[],5,0),VLOOKUP(Table7[[#This Row],[Student_ID]],student_skills[],6,0))</f>
        <v>4.75</v>
      </c>
      <c r="E53" s="1" t="str">
        <f>IF(VLOOKUP(Table7[[#This Row],[Student_ID]],student_internships[#All],2,0)&gt;1,"EXPERIENCED",IF(VLOOKUP(Table7[[#This Row],[Student_ID]],student_internships[#All],2,0)=1,"BEGINNER","NOT EXPERIENCED"))</f>
        <v>NOT EXPERIENCED</v>
      </c>
      <c r="F53" s="1">
        <f>VLOOKUP(Table7[[#This Row],[Student_ID]],student_data[],5,0)</f>
        <v>8.01</v>
      </c>
      <c r="G53" s="1">
        <f>VLOOKUP(Table7[[#This Row],[Student_ID]],student_data[#All],6,0)</f>
        <v>5</v>
      </c>
      <c r="H53" s="1">
        <f>VLOOKUP(Table7[[#This Row],[Student_ID]],student_internships[],2,0)</f>
        <v>0</v>
      </c>
      <c r="I53" s="1">
        <f>VLOOKUP(Table7[[#This Row],[Student_ID]],Placements!A53:E1052,5,0)</f>
        <v>4.24</v>
      </c>
      <c r="J53" s="1" t="str">
        <f>IF(VLOOKUP(Table7[[#This Row],[Student_ID]],student_data[#All],5,0)&gt;8,"HIGH",IF(VLOOKUP(Table7[[#This Row],[Student_ID]],student_data[#All],5,0)&lt;6.5,"LOW","MEDIUM"))</f>
        <v>HIGH</v>
      </c>
    </row>
    <row r="54" spans="1:10" x14ac:dyDescent="0.2">
      <c r="A54" s="1" t="s">
        <v>63</v>
      </c>
      <c r="B54" s="1" t="str">
        <f>VLOOKUP(Table7[[#This Row],[Student_ID]],student_data[#All],2,0)</f>
        <v>Civil</v>
      </c>
      <c r="C54" s="1">
        <f>(VLOOKUP(Table7[[#This Row],[Student_ID]],student_data[],5,0)*5)+(VLOOKUP(Table7[[#This Row],[Student_ID]],student_data[],6,0)*3)+(VLOOKUP(Table7[[#This Row],[Student_ID]],student_skills[],6,0)*2)+(VLOOKUP(Table7[[#This Row],[Student_ID]],student_internships[],2,0)*5)</f>
        <v>65.8</v>
      </c>
      <c r="D54" s="1">
        <f>AVERAGE(VLOOKUP(Table7[[#This Row],[Student_ID]],student_skills[],3,0),VLOOKUP(Table7[[#This Row],[Student_ID]],student_skills[],4,0),VLOOKUP(Table7[[#This Row],[Student_ID]],student_skills[],5,0),VLOOKUP(Table7[[#This Row],[Student_ID]],student_skills[],6,0))</f>
        <v>3.5</v>
      </c>
      <c r="E54" s="1" t="str">
        <f>IF(VLOOKUP(Table7[[#This Row],[Student_ID]],student_internships[#All],2,0)&gt;1,"EXPERIENCED",IF(VLOOKUP(Table7[[#This Row],[Student_ID]],student_internships[#All],2,0)=1,"BEGINNER","NOT EXPERIENCED"))</f>
        <v>EXPERIENCED</v>
      </c>
      <c r="F54" s="1">
        <f>VLOOKUP(Table7[[#This Row],[Student_ID]],student_data[],5,0)</f>
        <v>7.96</v>
      </c>
      <c r="G54" s="1">
        <f>VLOOKUP(Table7[[#This Row],[Student_ID]],student_data[#All],6,0)</f>
        <v>1</v>
      </c>
      <c r="H54" s="1">
        <f>VLOOKUP(Table7[[#This Row],[Student_ID]],student_internships[],2,0)</f>
        <v>3</v>
      </c>
      <c r="I54" s="1">
        <f>VLOOKUP(Table7[[#This Row],[Student_ID]],Placements!A54:E1053,5,0)</f>
        <v>4.09</v>
      </c>
      <c r="J54" s="1" t="str">
        <f>IF(VLOOKUP(Table7[[#This Row],[Student_ID]],student_data[#All],5,0)&gt;8,"HIGH",IF(VLOOKUP(Table7[[#This Row],[Student_ID]],student_data[#All],5,0)&lt;6.5,"LOW","MEDIUM"))</f>
        <v>MEDIUM</v>
      </c>
    </row>
    <row r="55" spans="1:10" x14ac:dyDescent="0.2">
      <c r="A55" s="1" t="s">
        <v>64</v>
      </c>
      <c r="B55" s="1" t="str">
        <f>VLOOKUP(Table7[[#This Row],[Student_ID]],student_data[#All],2,0)</f>
        <v>Civil</v>
      </c>
      <c r="C55" s="1">
        <f>(VLOOKUP(Table7[[#This Row],[Student_ID]],student_data[],5,0)*5)+(VLOOKUP(Table7[[#This Row],[Student_ID]],student_data[],6,0)*3)+(VLOOKUP(Table7[[#This Row],[Student_ID]],student_skills[],6,0)*2)+(VLOOKUP(Table7[[#This Row],[Student_ID]],student_internships[],2,0)*5)</f>
        <v>63.15</v>
      </c>
      <c r="D55" s="1">
        <f>AVERAGE(VLOOKUP(Table7[[#This Row],[Student_ID]],student_skills[],3,0),VLOOKUP(Table7[[#This Row],[Student_ID]],student_skills[],4,0),VLOOKUP(Table7[[#This Row],[Student_ID]],student_skills[],5,0),VLOOKUP(Table7[[#This Row],[Student_ID]],student_skills[],6,0))</f>
        <v>3.75</v>
      </c>
      <c r="E55" s="1" t="str">
        <f>IF(VLOOKUP(Table7[[#This Row],[Student_ID]],student_internships[#All],2,0)&gt;1,"EXPERIENCED",IF(VLOOKUP(Table7[[#This Row],[Student_ID]],student_internships[#All],2,0)=1,"BEGINNER","NOT EXPERIENCED"))</f>
        <v>EXPERIENCED</v>
      </c>
      <c r="F55" s="1">
        <f>VLOOKUP(Table7[[#This Row],[Student_ID]],student_data[],5,0)</f>
        <v>9.0299999999999994</v>
      </c>
      <c r="G55" s="1">
        <f>VLOOKUP(Table7[[#This Row],[Student_ID]],student_data[#All],6,0)</f>
        <v>2</v>
      </c>
      <c r="H55" s="1">
        <f>VLOOKUP(Table7[[#This Row],[Student_ID]],student_internships[],2,0)</f>
        <v>2</v>
      </c>
      <c r="I55" s="1">
        <f>VLOOKUP(Table7[[#This Row],[Student_ID]],Placements!A55:E1054,5,0)</f>
        <v>3.95</v>
      </c>
      <c r="J55" s="1" t="str">
        <f>IF(VLOOKUP(Table7[[#This Row],[Student_ID]],student_data[#All],5,0)&gt;8,"HIGH",IF(VLOOKUP(Table7[[#This Row],[Student_ID]],student_data[#All],5,0)&lt;6.5,"LOW","MEDIUM"))</f>
        <v>HIGH</v>
      </c>
    </row>
    <row r="56" spans="1:10" x14ac:dyDescent="0.2">
      <c r="A56" s="1" t="s">
        <v>65</v>
      </c>
      <c r="B56" s="1" t="str">
        <f>VLOOKUP(Table7[[#This Row],[Student_ID]],student_data[#All],2,0)</f>
        <v>Civil</v>
      </c>
      <c r="C56" s="1">
        <f>(VLOOKUP(Table7[[#This Row],[Student_ID]],student_data[],5,0)*5)+(VLOOKUP(Table7[[#This Row],[Student_ID]],student_data[],6,0)*3)+(VLOOKUP(Table7[[#This Row],[Student_ID]],student_skills[],6,0)*2)+(VLOOKUP(Table7[[#This Row],[Student_ID]],student_internships[],2,0)*5)</f>
        <v>64.900000000000006</v>
      </c>
      <c r="D56" s="1">
        <f>AVERAGE(VLOOKUP(Table7[[#This Row],[Student_ID]],student_skills[],3,0),VLOOKUP(Table7[[#This Row],[Student_ID]],student_skills[],4,0),VLOOKUP(Table7[[#This Row],[Student_ID]],student_skills[],5,0),VLOOKUP(Table7[[#This Row],[Student_ID]],student_skills[],6,0))</f>
        <v>4</v>
      </c>
      <c r="E56" s="1" t="str">
        <f>IF(VLOOKUP(Table7[[#This Row],[Student_ID]],student_internships[#All],2,0)&gt;1,"EXPERIENCED",IF(VLOOKUP(Table7[[#This Row],[Student_ID]],student_internships[#All],2,0)=1,"BEGINNER","NOT EXPERIENCED"))</f>
        <v>EXPERIENCED</v>
      </c>
      <c r="F56" s="1">
        <f>VLOOKUP(Table7[[#This Row],[Student_ID]],student_data[],5,0)</f>
        <v>7.38</v>
      </c>
      <c r="G56" s="1">
        <f>VLOOKUP(Table7[[#This Row],[Student_ID]],student_data[#All],6,0)</f>
        <v>3</v>
      </c>
      <c r="H56" s="1">
        <f>VLOOKUP(Table7[[#This Row],[Student_ID]],student_internships[],2,0)</f>
        <v>3</v>
      </c>
      <c r="I56" s="1">
        <f>VLOOKUP(Table7[[#This Row],[Student_ID]],Placements!A56:E1055,5,0)</f>
        <v>4.16</v>
      </c>
      <c r="J56" s="1" t="str">
        <f>IF(VLOOKUP(Table7[[#This Row],[Student_ID]],student_data[#All],5,0)&gt;8,"HIGH",IF(VLOOKUP(Table7[[#This Row],[Student_ID]],student_data[#All],5,0)&lt;6.5,"LOW","MEDIUM"))</f>
        <v>MEDIUM</v>
      </c>
    </row>
    <row r="57" spans="1:10" x14ac:dyDescent="0.2">
      <c r="A57" s="1" t="s">
        <v>66</v>
      </c>
      <c r="B57" s="1" t="str">
        <f>VLOOKUP(Table7[[#This Row],[Student_ID]],student_data[#All],2,0)</f>
        <v>Information Technology</v>
      </c>
      <c r="C57" s="1">
        <f>(VLOOKUP(Table7[[#This Row],[Student_ID]],student_data[],5,0)*5)+(VLOOKUP(Table7[[#This Row],[Student_ID]],student_data[],6,0)*3)+(VLOOKUP(Table7[[#This Row],[Student_ID]],student_skills[],6,0)*2)+(VLOOKUP(Table7[[#This Row],[Student_ID]],student_internships[],2,0)*5)</f>
        <v>75.900000000000006</v>
      </c>
      <c r="D57" s="1">
        <f>AVERAGE(VLOOKUP(Table7[[#This Row],[Student_ID]],student_skills[],3,0),VLOOKUP(Table7[[#This Row],[Student_ID]],student_skills[],4,0),VLOOKUP(Table7[[#This Row],[Student_ID]],student_skills[],5,0),VLOOKUP(Table7[[#This Row],[Student_ID]],student_skills[],6,0))</f>
        <v>5</v>
      </c>
      <c r="E57" s="1" t="str">
        <f>IF(VLOOKUP(Table7[[#This Row],[Student_ID]],student_internships[#All],2,0)&gt;1,"EXPERIENCED",IF(VLOOKUP(Table7[[#This Row],[Student_ID]],student_internships[#All],2,0)=1,"BEGINNER","NOT EXPERIENCED"))</f>
        <v>EXPERIENCED</v>
      </c>
      <c r="F57" s="1">
        <f>VLOOKUP(Table7[[#This Row],[Student_ID]],student_data[],5,0)</f>
        <v>9.98</v>
      </c>
      <c r="G57" s="1">
        <f>VLOOKUP(Table7[[#This Row],[Student_ID]],student_data[#All],6,0)</f>
        <v>2</v>
      </c>
      <c r="H57" s="1">
        <f>VLOOKUP(Table7[[#This Row],[Student_ID]],student_internships[],2,0)</f>
        <v>2</v>
      </c>
      <c r="I57" s="1">
        <f>VLOOKUP(Table7[[#This Row],[Student_ID]],Placements!A57:E1056,5,0)</f>
        <v>4.22</v>
      </c>
      <c r="J57" s="1" t="str">
        <f>IF(VLOOKUP(Table7[[#This Row],[Student_ID]],student_data[#All],5,0)&gt;8,"HIGH",IF(VLOOKUP(Table7[[#This Row],[Student_ID]],student_data[#All],5,0)&lt;6.5,"LOW","MEDIUM"))</f>
        <v>HIGH</v>
      </c>
    </row>
    <row r="58" spans="1:10" x14ac:dyDescent="0.2">
      <c r="A58" s="1" t="s">
        <v>67</v>
      </c>
      <c r="B58" s="1" t="str">
        <f>VLOOKUP(Table7[[#This Row],[Student_ID]],student_data[#All],2,0)</f>
        <v>Mechanical</v>
      </c>
      <c r="C58" s="1">
        <f>(VLOOKUP(Table7[[#This Row],[Student_ID]],student_data[],5,0)*5)+(VLOOKUP(Table7[[#This Row],[Student_ID]],student_data[],6,0)*3)+(VLOOKUP(Table7[[#This Row],[Student_ID]],student_skills[],6,0)*2)+(VLOOKUP(Table7[[#This Row],[Student_ID]],student_internships[],2,0)*5)</f>
        <v>62.5</v>
      </c>
      <c r="D58" s="1">
        <f>AVERAGE(VLOOKUP(Table7[[#This Row],[Student_ID]],student_skills[],3,0),VLOOKUP(Table7[[#This Row],[Student_ID]],student_skills[],4,0),VLOOKUP(Table7[[#This Row],[Student_ID]],student_skills[],5,0),VLOOKUP(Table7[[#This Row],[Student_ID]],student_skills[],6,0))</f>
        <v>8.5</v>
      </c>
      <c r="E58" s="1" t="str">
        <f>IF(VLOOKUP(Table7[[#This Row],[Student_ID]],student_internships[#All],2,0)&gt;1,"EXPERIENCED",IF(VLOOKUP(Table7[[#This Row],[Student_ID]],student_internships[#All],2,0)=1,"BEGINNER","NOT EXPERIENCED"))</f>
        <v>BEGINNER</v>
      </c>
      <c r="F58" s="1">
        <f>VLOOKUP(Table7[[#This Row],[Student_ID]],student_data[],5,0)</f>
        <v>5.3</v>
      </c>
      <c r="G58" s="1">
        <f>VLOOKUP(Table7[[#This Row],[Student_ID]],student_data[#All],6,0)</f>
        <v>5</v>
      </c>
      <c r="H58" s="1">
        <f>VLOOKUP(Table7[[#This Row],[Student_ID]],student_internships[],2,0)</f>
        <v>1</v>
      </c>
      <c r="I58" s="1">
        <f>VLOOKUP(Table7[[#This Row],[Student_ID]],Placements!A58:E1057,5,0)</f>
        <v>9.2200000000000006</v>
      </c>
      <c r="J58" s="1" t="str">
        <f>IF(VLOOKUP(Table7[[#This Row],[Student_ID]],student_data[#All],5,0)&gt;8,"HIGH",IF(VLOOKUP(Table7[[#This Row],[Student_ID]],student_data[#All],5,0)&lt;6.5,"LOW","MEDIUM"))</f>
        <v>LOW</v>
      </c>
    </row>
    <row r="59" spans="1:10" x14ac:dyDescent="0.2">
      <c r="A59" s="1" t="s">
        <v>68</v>
      </c>
      <c r="B59" s="1" t="str">
        <f>VLOOKUP(Table7[[#This Row],[Student_ID]],student_data[#All],2,0)</f>
        <v>Computer Science</v>
      </c>
      <c r="C59" s="1">
        <f>(VLOOKUP(Table7[[#This Row],[Student_ID]],student_data[],5,0)*5)+(VLOOKUP(Table7[[#This Row],[Student_ID]],student_data[],6,0)*3)+(VLOOKUP(Table7[[#This Row],[Student_ID]],student_skills[],6,0)*2)+(VLOOKUP(Table7[[#This Row],[Student_ID]],student_internships[],2,0)*5)</f>
        <v>65.099999999999994</v>
      </c>
      <c r="D59" s="1">
        <f>AVERAGE(VLOOKUP(Table7[[#This Row],[Student_ID]],student_skills[],3,0),VLOOKUP(Table7[[#This Row],[Student_ID]],student_skills[],4,0),VLOOKUP(Table7[[#This Row],[Student_ID]],student_skills[],5,0),VLOOKUP(Table7[[#This Row],[Student_ID]],student_skills[],6,0))</f>
        <v>6.5</v>
      </c>
      <c r="E59" s="1" t="str">
        <f>IF(VLOOKUP(Table7[[#This Row],[Student_ID]],student_internships[#All],2,0)&gt;1,"EXPERIENCED",IF(VLOOKUP(Table7[[#This Row],[Student_ID]],student_internships[#All],2,0)=1,"BEGINNER","NOT EXPERIENCED"))</f>
        <v>EXPERIENCED</v>
      </c>
      <c r="F59" s="1">
        <f>VLOOKUP(Table7[[#This Row],[Student_ID]],student_data[],5,0)</f>
        <v>5.0199999999999996</v>
      </c>
      <c r="G59" s="1">
        <f>VLOOKUP(Table7[[#This Row],[Student_ID]],student_data[#All],6,0)</f>
        <v>3</v>
      </c>
      <c r="H59" s="1">
        <f>VLOOKUP(Table7[[#This Row],[Student_ID]],student_internships[],2,0)</f>
        <v>3</v>
      </c>
      <c r="I59" s="1">
        <f>VLOOKUP(Table7[[#This Row],[Student_ID]],Placements!A59:E1058,5,0)</f>
        <v>5.26</v>
      </c>
      <c r="J59" s="1" t="str">
        <f>IF(VLOOKUP(Table7[[#This Row],[Student_ID]],student_data[#All],5,0)&gt;8,"HIGH",IF(VLOOKUP(Table7[[#This Row],[Student_ID]],student_data[#All],5,0)&lt;6.5,"LOW","MEDIUM"))</f>
        <v>LOW</v>
      </c>
    </row>
    <row r="60" spans="1:10" x14ac:dyDescent="0.2">
      <c r="A60" s="1" t="s">
        <v>69</v>
      </c>
      <c r="B60" s="1" t="str">
        <f>VLOOKUP(Table7[[#This Row],[Student_ID]],student_data[#All],2,0)</f>
        <v>Civil</v>
      </c>
      <c r="C60" s="1">
        <f>(VLOOKUP(Table7[[#This Row],[Student_ID]],student_data[],5,0)*5)+(VLOOKUP(Table7[[#This Row],[Student_ID]],student_data[],6,0)*3)+(VLOOKUP(Table7[[#This Row],[Student_ID]],student_skills[],6,0)*2)+(VLOOKUP(Table7[[#This Row],[Student_ID]],student_internships[],2,0)*5)</f>
        <v>59</v>
      </c>
      <c r="D60" s="1">
        <f>AVERAGE(VLOOKUP(Table7[[#This Row],[Student_ID]],student_skills[],3,0),VLOOKUP(Table7[[#This Row],[Student_ID]],student_skills[],4,0),VLOOKUP(Table7[[#This Row],[Student_ID]],student_skills[],5,0),VLOOKUP(Table7[[#This Row],[Student_ID]],student_skills[],6,0))</f>
        <v>4.75</v>
      </c>
      <c r="E60" s="1" t="str">
        <f>IF(VLOOKUP(Table7[[#This Row],[Student_ID]],student_internships[#All],2,0)&gt;1,"EXPERIENCED",IF(VLOOKUP(Table7[[#This Row],[Student_ID]],student_internships[#All],2,0)=1,"BEGINNER","NOT EXPERIENCED"))</f>
        <v>NOT EXPERIENCED</v>
      </c>
      <c r="F60" s="1">
        <f>VLOOKUP(Table7[[#This Row],[Student_ID]],student_data[],5,0)</f>
        <v>8.1999999999999993</v>
      </c>
      <c r="G60" s="1">
        <f>VLOOKUP(Table7[[#This Row],[Student_ID]],student_data[#All],6,0)</f>
        <v>4</v>
      </c>
      <c r="H60" s="1">
        <f>VLOOKUP(Table7[[#This Row],[Student_ID]],student_internships[],2,0)</f>
        <v>0</v>
      </c>
      <c r="I60" s="1">
        <f>VLOOKUP(Table7[[#This Row],[Student_ID]],Placements!A60:E1059,5,0)</f>
        <v>5.85</v>
      </c>
      <c r="J60" s="1" t="str">
        <f>IF(VLOOKUP(Table7[[#This Row],[Student_ID]],student_data[#All],5,0)&gt;8,"HIGH",IF(VLOOKUP(Table7[[#This Row],[Student_ID]],student_data[#All],5,0)&lt;6.5,"LOW","MEDIUM"))</f>
        <v>HIGH</v>
      </c>
    </row>
    <row r="61" spans="1:10" x14ac:dyDescent="0.2">
      <c r="A61" s="1" t="s">
        <v>70</v>
      </c>
      <c r="B61" s="1" t="str">
        <f>VLOOKUP(Table7[[#This Row],[Student_ID]],student_data[#All],2,0)</f>
        <v>Electronics</v>
      </c>
      <c r="C61" s="1">
        <f>(VLOOKUP(Table7[[#This Row],[Student_ID]],student_data[],5,0)*5)+(VLOOKUP(Table7[[#This Row],[Student_ID]],student_data[],6,0)*3)+(VLOOKUP(Table7[[#This Row],[Student_ID]],student_skills[],6,0)*2)+(VLOOKUP(Table7[[#This Row],[Student_ID]],student_internships[],2,0)*5)</f>
        <v>43.45</v>
      </c>
      <c r="D61" s="1">
        <f>AVERAGE(VLOOKUP(Table7[[#This Row],[Student_ID]],student_skills[],3,0),VLOOKUP(Table7[[#This Row],[Student_ID]],student_skills[],4,0),VLOOKUP(Table7[[#This Row],[Student_ID]],student_skills[],5,0),VLOOKUP(Table7[[#This Row],[Student_ID]],student_skills[],6,0))</f>
        <v>6.25</v>
      </c>
      <c r="E61" s="1" t="str">
        <f>IF(VLOOKUP(Table7[[#This Row],[Student_ID]],student_internships[#All],2,0)&gt;1,"EXPERIENCED",IF(VLOOKUP(Table7[[#This Row],[Student_ID]],student_internships[#All],2,0)=1,"BEGINNER","NOT EXPERIENCED"))</f>
        <v>NOT EXPERIENCED</v>
      </c>
      <c r="F61" s="1">
        <f>VLOOKUP(Table7[[#This Row],[Student_ID]],student_data[],5,0)</f>
        <v>6.49</v>
      </c>
      <c r="G61" s="1">
        <f>VLOOKUP(Table7[[#This Row],[Student_ID]],student_data[#All],6,0)</f>
        <v>1</v>
      </c>
      <c r="H61" s="1">
        <f>VLOOKUP(Table7[[#This Row],[Student_ID]],student_internships[],2,0)</f>
        <v>0</v>
      </c>
      <c r="I61" s="1">
        <f>VLOOKUP(Table7[[#This Row],[Student_ID]],Placements!A61:E1060,5,0)</f>
        <v>10.63</v>
      </c>
      <c r="J61" s="1" t="str">
        <f>IF(VLOOKUP(Table7[[#This Row],[Student_ID]],student_data[#All],5,0)&gt;8,"HIGH",IF(VLOOKUP(Table7[[#This Row],[Student_ID]],student_data[#All],5,0)&lt;6.5,"LOW","MEDIUM"))</f>
        <v>LOW</v>
      </c>
    </row>
    <row r="62" spans="1:10" x14ac:dyDescent="0.2">
      <c r="A62" s="1" t="s">
        <v>71</v>
      </c>
      <c r="B62" s="1" t="str">
        <f>VLOOKUP(Table7[[#This Row],[Student_ID]],student_data[#All],2,0)</f>
        <v>Civil</v>
      </c>
      <c r="C62" s="1">
        <f>(VLOOKUP(Table7[[#This Row],[Student_ID]],student_data[],5,0)*5)+(VLOOKUP(Table7[[#This Row],[Student_ID]],student_data[],6,0)*3)+(VLOOKUP(Table7[[#This Row],[Student_ID]],student_skills[],6,0)*2)+(VLOOKUP(Table7[[#This Row],[Student_ID]],student_internships[],2,0)*5)</f>
        <v>66</v>
      </c>
      <c r="D62" s="1">
        <f>AVERAGE(VLOOKUP(Table7[[#This Row],[Student_ID]],student_skills[],3,0),VLOOKUP(Table7[[#This Row],[Student_ID]],student_skills[],4,0),VLOOKUP(Table7[[#This Row],[Student_ID]],student_skills[],5,0),VLOOKUP(Table7[[#This Row],[Student_ID]],student_skills[],6,0))</f>
        <v>7</v>
      </c>
      <c r="E62" s="1" t="str">
        <f>IF(VLOOKUP(Table7[[#This Row],[Student_ID]],student_internships[#All],2,0)&gt;1,"EXPERIENCED",IF(VLOOKUP(Table7[[#This Row],[Student_ID]],student_internships[#All],2,0)=1,"BEGINNER","NOT EXPERIENCED"))</f>
        <v>NOT EXPERIENCED</v>
      </c>
      <c r="F62" s="1">
        <f>VLOOKUP(Table7[[#This Row],[Student_ID]],student_data[],5,0)</f>
        <v>6.2</v>
      </c>
      <c r="G62" s="1">
        <f>VLOOKUP(Table7[[#This Row],[Student_ID]],student_data[#All],6,0)</f>
        <v>5</v>
      </c>
      <c r="H62" s="1">
        <f>VLOOKUP(Table7[[#This Row],[Student_ID]],student_internships[],2,0)</f>
        <v>0</v>
      </c>
      <c r="I62" s="1">
        <f>VLOOKUP(Table7[[#This Row],[Student_ID]],Placements!A62:E1061,5,0)</f>
        <v>6.34</v>
      </c>
      <c r="J62" s="1" t="str">
        <f>IF(VLOOKUP(Table7[[#This Row],[Student_ID]],student_data[#All],5,0)&gt;8,"HIGH",IF(VLOOKUP(Table7[[#This Row],[Student_ID]],student_data[#All],5,0)&lt;6.5,"LOW","MEDIUM"))</f>
        <v>LOW</v>
      </c>
    </row>
    <row r="63" spans="1:10" x14ac:dyDescent="0.2">
      <c r="A63" s="1" t="s">
        <v>72</v>
      </c>
      <c r="B63" s="1" t="str">
        <f>VLOOKUP(Table7[[#This Row],[Student_ID]],student_data[#All],2,0)</f>
        <v>Electronics</v>
      </c>
      <c r="C63" s="1">
        <f>(VLOOKUP(Table7[[#This Row],[Student_ID]],student_data[],5,0)*5)+(VLOOKUP(Table7[[#This Row],[Student_ID]],student_data[],6,0)*3)+(VLOOKUP(Table7[[#This Row],[Student_ID]],student_skills[],6,0)*2)+(VLOOKUP(Table7[[#This Row],[Student_ID]],student_internships[],2,0)*5)</f>
        <v>49.8</v>
      </c>
      <c r="D63" s="1">
        <f>AVERAGE(VLOOKUP(Table7[[#This Row],[Student_ID]],student_skills[],3,0),VLOOKUP(Table7[[#This Row],[Student_ID]],student_skills[],4,0),VLOOKUP(Table7[[#This Row],[Student_ID]],student_skills[],5,0),VLOOKUP(Table7[[#This Row],[Student_ID]],student_skills[],6,0))</f>
        <v>6.25</v>
      </c>
      <c r="E63" s="1" t="str">
        <f>IF(VLOOKUP(Table7[[#This Row],[Student_ID]],student_internships[#All],2,0)&gt;1,"EXPERIENCED",IF(VLOOKUP(Table7[[#This Row],[Student_ID]],student_internships[#All],2,0)=1,"BEGINNER","NOT EXPERIENCED"))</f>
        <v>BEGINNER</v>
      </c>
      <c r="F63" s="1">
        <f>VLOOKUP(Table7[[#This Row],[Student_ID]],student_data[],5,0)</f>
        <v>6.56</v>
      </c>
      <c r="G63" s="1">
        <f>VLOOKUP(Table7[[#This Row],[Student_ID]],student_data[#All],6,0)</f>
        <v>0</v>
      </c>
      <c r="H63" s="1">
        <f>VLOOKUP(Table7[[#This Row],[Student_ID]],student_internships[],2,0)</f>
        <v>1</v>
      </c>
      <c r="I63" s="1">
        <f>VLOOKUP(Table7[[#This Row],[Student_ID]],Placements!A63:E1062,5,0)</f>
        <v>0</v>
      </c>
      <c r="J63" s="1" t="str">
        <f>IF(VLOOKUP(Table7[[#This Row],[Student_ID]],student_data[#All],5,0)&gt;8,"HIGH",IF(VLOOKUP(Table7[[#This Row],[Student_ID]],student_data[#All],5,0)&lt;6.5,"LOW","MEDIUM"))</f>
        <v>MEDIUM</v>
      </c>
    </row>
    <row r="64" spans="1:10" x14ac:dyDescent="0.2">
      <c r="A64" s="1" t="s">
        <v>73</v>
      </c>
      <c r="B64" s="1" t="str">
        <f>VLOOKUP(Table7[[#This Row],[Student_ID]],student_data[#All],2,0)</f>
        <v>Electronics</v>
      </c>
      <c r="C64" s="1">
        <f>(VLOOKUP(Table7[[#This Row],[Student_ID]],student_data[],5,0)*5)+(VLOOKUP(Table7[[#This Row],[Student_ID]],student_data[],6,0)*3)+(VLOOKUP(Table7[[#This Row],[Student_ID]],student_skills[],6,0)*2)+(VLOOKUP(Table7[[#This Row],[Student_ID]],student_internships[],2,0)*5)</f>
        <v>65.400000000000006</v>
      </c>
      <c r="D64" s="1">
        <f>AVERAGE(VLOOKUP(Table7[[#This Row],[Student_ID]],student_skills[],3,0),VLOOKUP(Table7[[#This Row],[Student_ID]],student_skills[],4,0),VLOOKUP(Table7[[#This Row],[Student_ID]],student_skills[],5,0),VLOOKUP(Table7[[#This Row],[Student_ID]],student_skills[],6,0))</f>
        <v>5.75</v>
      </c>
      <c r="E64" s="1" t="str">
        <f>IF(VLOOKUP(Table7[[#This Row],[Student_ID]],student_internships[#All],2,0)&gt;1,"EXPERIENCED",IF(VLOOKUP(Table7[[#This Row],[Student_ID]],student_internships[#All],2,0)=1,"BEGINNER","NOT EXPERIENCED"))</f>
        <v>BEGINNER</v>
      </c>
      <c r="F64" s="1">
        <f>VLOOKUP(Table7[[#This Row],[Student_ID]],student_data[],5,0)</f>
        <v>6.28</v>
      </c>
      <c r="G64" s="1">
        <f>VLOOKUP(Table7[[#This Row],[Student_ID]],student_data[#All],6,0)</f>
        <v>3</v>
      </c>
      <c r="H64" s="1">
        <f>VLOOKUP(Table7[[#This Row],[Student_ID]],student_internships[],2,0)</f>
        <v>1</v>
      </c>
      <c r="I64" s="1">
        <f>VLOOKUP(Table7[[#This Row],[Student_ID]],Placements!A64:E1063,5,0)</f>
        <v>4.72</v>
      </c>
      <c r="J64" s="1" t="str">
        <f>IF(VLOOKUP(Table7[[#This Row],[Student_ID]],student_data[#All],5,0)&gt;8,"HIGH",IF(VLOOKUP(Table7[[#This Row],[Student_ID]],student_data[#All],5,0)&lt;6.5,"LOW","MEDIUM"))</f>
        <v>LOW</v>
      </c>
    </row>
    <row r="65" spans="1:10" x14ac:dyDescent="0.2">
      <c r="A65" s="1" t="s">
        <v>74</v>
      </c>
      <c r="B65" s="1" t="str">
        <f>VLOOKUP(Table7[[#This Row],[Student_ID]],student_data[#All],2,0)</f>
        <v>Civil</v>
      </c>
      <c r="C65" s="1">
        <f>(VLOOKUP(Table7[[#This Row],[Student_ID]],student_data[],5,0)*5)+(VLOOKUP(Table7[[#This Row],[Student_ID]],student_data[],6,0)*3)+(VLOOKUP(Table7[[#This Row],[Student_ID]],student_skills[],6,0)*2)+(VLOOKUP(Table7[[#This Row],[Student_ID]],student_internships[],2,0)*5)</f>
        <v>40.75</v>
      </c>
      <c r="D65" s="1">
        <f>AVERAGE(VLOOKUP(Table7[[#This Row],[Student_ID]],student_skills[],3,0),VLOOKUP(Table7[[#This Row],[Student_ID]],student_skills[],4,0),VLOOKUP(Table7[[#This Row],[Student_ID]],student_skills[],5,0),VLOOKUP(Table7[[#This Row],[Student_ID]],student_skills[],6,0))</f>
        <v>3.5</v>
      </c>
      <c r="E65" s="1" t="str">
        <f>IF(VLOOKUP(Table7[[#This Row],[Student_ID]],student_internships[#All],2,0)&gt;1,"EXPERIENCED",IF(VLOOKUP(Table7[[#This Row],[Student_ID]],student_internships[#All],2,0)=1,"BEGINNER","NOT EXPERIENCED"))</f>
        <v>NOT EXPERIENCED</v>
      </c>
      <c r="F65" s="1">
        <f>VLOOKUP(Table7[[#This Row],[Student_ID]],student_data[],5,0)</f>
        <v>5.15</v>
      </c>
      <c r="G65" s="1">
        <f>VLOOKUP(Table7[[#This Row],[Student_ID]],student_data[#All],6,0)</f>
        <v>3</v>
      </c>
      <c r="H65" s="1">
        <f>VLOOKUP(Table7[[#This Row],[Student_ID]],student_internships[],2,0)</f>
        <v>0</v>
      </c>
      <c r="I65" s="1">
        <f>VLOOKUP(Table7[[#This Row],[Student_ID]],Placements!A65:E1064,5,0)</f>
        <v>0</v>
      </c>
      <c r="J65" s="1" t="str">
        <f>IF(VLOOKUP(Table7[[#This Row],[Student_ID]],student_data[#All],5,0)&gt;8,"HIGH",IF(VLOOKUP(Table7[[#This Row],[Student_ID]],student_data[#All],5,0)&lt;6.5,"LOW","MEDIUM"))</f>
        <v>LOW</v>
      </c>
    </row>
    <row r="66" spans="1:10" x14ac:dyDescent="0.2">
      <c r="A66" s="1" t="s">
        <v>75</v>
      </c>
      <c r="B66" s="1" t="str">
        <f>VLOOKUP(Table7[[#This Row],[Student_ID]],student_data[#All],2,0)</f>
        <v>Information Technology</v>
      </c>
      <c r="C66" s="1">
        <f>(VLOOKUP(Table7[[#This Row],[Student_ID]],student_data[],5,0)*5)+(VLOOKUP(Table7[[#This Row],[Student_ID]],student_data[],6,0)*3)+(VLOOKUP(Table7[[#This Row],[Student_ID]],student_skills[],6,0)*2)+(VLOOKUP(Table7[[#This Row],[Student_ID]],student_internships[],2,0)*5)</f>
        <v>78.3</v>
      </c>
      <c r="D66" s="1">
        <f>AVERAGE(VLOOKUP(Table7[[#This Row],[Student_ID]],student_skills[],3,0),VLOOKUP(Table7[[#This Row],[Student_ID]],student_skills[],4,0),VLOOKUP(Table7[[#This Row],[Student_ID]],student_skills[],5,0),VLOOKUP(Table7[[#This Row],[Student_ID]],student_skills[],6,0))</f>
        <v>3.25</v>
      </c>
      <c r="E66" s="1" t="str">
        <f>IF(VLOOKUP(Table7[[#This Row],[Student_ID]],student_internships[#All],2,0)&gt;1,"EXPERIENCED",IF(VLOOKUP(Table7[[#This Row],[Student_ID]],student_internships[#All],2,0)=1,"BEGINNER","NOT EXPERIENCED"))</f>
        <v>EXPERIENCED</v>
      </c>
      <c r="F66" s="1">
        <f>VLOOKUP(Table7[[#This Row],[Student_ID]],student_data[],5,0)</f>
        <v>9.86</v>
      </c>
      <c r="G66" s="1">
        <f>VLOOKUP(Table7[[#This Row],[Student_ID]],student_data[#All],6,0)</f>
        <v>5</v>
      </c>
      <c r="H66" s="1">
        <f>VLOOKUP(Table7[[#This Row],[Student_ID]],student_internships[],2,0)</f>
        <v>2</v>
      </c>
      <c r="I66" s="1">
        <f>VLOOKUP(Table7[[#This Row],[Student_ID]],Placements!A66:E1065,5,0)</f>
        <v>6.15</v>
      </c>
      <c r="J66" s="1" t="str">
        <f>IF(VLOOKUP(Table7[[#This Row],[Student_ID]],student_data[#All],5,0)&gt;8,"HIGH",IF(VLOOKUP(Table7[[#This Row],[Student_ID]],student_data[#All],5,0)&lt;6.5,"LOW","MEDIUM"))</f>
        <v>HIGH</v>
      </c>
    </row>
    <row r="67" spans="1:10" x14ac:dyDescent="0.2">
      <c r="A67" s="1" t="s">
        <v>76</v>
      </c>
      <c r="B67" s="1" t="str">
        <f>VLOOKUP(Table7[[#This Row],[Student_ID]],student_data[#All],2,0)</f>
        <v>Electronics</v>
      </c>
      <c r="C67" s="1">
        <f>(VLOOKUP(Table7[[#This Row],[Student_ID]],student_data[],5,0)*5)+(VLOOKUP(Table7[[#This Row],[Student_ID]],student_data[],6,0)*3)+(VLOOKUP(Table7[[#This Row],[Student_ID]],student_skills[],6,0)*2)+(VLOOKUP(Table7[[#This Row],[Student_ID]],student_internships[],2,0)*5)</f>
        <v>62.5</v>
      </c>
      <c r="D67" s="1">
        <f>AVERAGE(VLOOKUP(Table7[[#This Row],[Student_ID]],student_skills[],3,0),VLOOKUP(Table7[[#This Row],[Student_ID]],student_skills[],4,0),VLOOKUP(Table7[[#This Row],[Student_ID]],student_skills[],5,0),VLOOKUP(Table7[[#This Row],[Student_ID]],student_skills[],6,0))</f>
        <v>8.25</v>
      </c>
      <c r="E67" s="1" t="str">
        <f>IF(VLOOKUP(Table7[[#This Row],[Student_ID]],student_internships[#All],2,0)&gt;1,"EXPERIENCED",IF(VLOOKUP(Table7[[#This Row],[Student_ID]],student_internships[#All],2,0)=1,"BEGINNER","NOT EXPERIENCED"))</f>
        <v>BEGINNER</v>
      </c>
      <c r="F67" s="1">
        <f>VLOOKUP(Table7[[#This Row],[Student_ID]],student_data[],5,0)</f>
        <v>6.1</v>
      </c>
      <c r="G67" s="1">
        <f>VLOOKUP(Table7[[#This Row],[Student_ID]],student_data[#All],6,0)</f>
        <v>5</v>
      </c>
      <c r="H67" s="1">
        <f>VLOOKUP(Table7[[#This Row],[Student_ID]],student_internships[],2,0)</f>
        <v>1</v>
      </c>
      <c r="I67" s="1">
        <f>VLOOKUP(Table7[[#This Row],[Student_ID]],Placements!A67:E1066,5,0)</f>
        <v>5.43</v>
      </c>
      <c r="J67" s="1" t="str">
        <f>IF(VLOOKUP(Table7[[#This Row],[Student_ID]],student_data[#All],5,0)&gt;8,"HIGH",IF(VLOOKUP(Table7[[#This Row],[Student_ID]],student_data[#All],5,0)&lt;6.5,"LOW","MEDIUM"))</f>
        <v>LOW</v>
      </c>
    </row>
    <row r="68" spans="1:10" x14ac:dyDescent="0.2">
      <c r="A68" s="1" t="s">
        <v>77</v>
      </c>
      <c r="B68" s="1" t="str">
        <f>VLOOKUP(Table7[[#This Row],[Student_ID]],student_data[#All],2,0)</f>
        <v>Electronics</v>
      </c>
      <c r="C68" s="1">
        <f>(VLOOKUP(Table7[[#This Row],[Student_ID]],student_data[],5,0)*5)+(VLOOKUP(Table7[[#This Row],[Student_ID]],student_data[],6,0)*3)+(VLOOKUP(Table7[[#This Row],[Student_ID]],student_skills[],6,0)*2)+(VLOOKUP(Table7[[#This Row],[Student_ID]],student_internships[],2,0)*5)</f>
        <v>59.35</v>
      </c>
      <c r="D68" s="1">
        <f>AVERAGE(VLOOKUP(Table7[[#This Row],[Student_ID]],student_skills[],3,0),VLOOKUP(Table7[[#This Row],[Student_ID]],student_skills[],4,0),VLOOKUP(Table7[[#This Row],[Student_ID]],student_skills[],5,0),VLOOKUP(Table7[[#This Row],[Student_ID]],student_skills[],6,0))</f>
        <v>3</v>
      </c>
      <c r="E68" s="1" t="str">
        <f>IF(VLOOKUP(Table7[[#This Row],[Student_ID]],student_internships[#All],2,0)&gt;1,"EXPERIENCED",IF(VLOOKUP(Table7[[#This Row],[Student_ID]],student_internships[#All],2,0)=1,"BEGINNER","NOT EXPERIENCED"))</f>
        <v>NOT EXPERIENCED</v>
      </c>
      <c r="F68" s="1">
        <f>VLOOKUP(Table7[[#This Row],[Student_ID]],student_data[],5,0)</f>
        <v>8.67</v>
      </c>
      <c r="G68" s="1">
        <f>VLOOKUP(Table7[[#This Row],[Student_ID]],student_data[#All],6,0)</f>
        <v>2</v>
      </c>
      <c r="H68" s="1">
        <f>VLOOKUP(Table7[[#This Row],[Student_ID]],student_internships[],2,0)</f>
        <v>0</v>
      </c>
      <c r="I68" s="1">
        <f>VLOOKUP(Table7[[#This Row],[Student_ID]],Placements!A68:E1067,5,0)</f>
        <v>0</v>
      </c>
      <c r="J68" s="1" t="str">
        <f>IF(VLOOKUP(Table7[[#This Row],[Student_ID]],student_data[#All],5,0)&gt;8,"HIGH",IF(VLOOKUP(Table7[[#This Row],[Student_ID]],student_data[#All],5,0)&lt;6.5,"LOW","MEDIUM"))</f>
        <v>HIGH</v>
      </c>
    </row>
    <row r="69" spans="1:10" x14ac:dyDescent="0.2">
      <c r="A69" s="1" t="s">
        <v>78</v>
      </c>
      <c r="B69" s="1" t="str">
        <f>VLOOKUP(Table7[[#This Row],[Student_ID]],student_data[#All],2,0)</f>
        <v>Civil</v>
      </c>
      <c r="C69" s="1">
        <f>(VLOOKUP(Table7[[#This Row],[Student_ID]],student_data[],5,0)*5)+(VLOOKUP(Table7[[#This Row],[Student_ID]],student_data[],6,0)*3)+(VLOOKUP(Table7[[#This Row],[Student_ID]],student_skills[],6,0)*2)+(VLOOKUP(Table7[[#This Row],[Student_ID]],student_internships[],2,0)*5)</f>
        <v>81.050000000000011</v>
      </c>
      <c r="D69" s="1">
        <f>AVERAGE(VLOOKUP(Table7[[#This Row],[Student_ID]],student_skills[],3,0),VLOOKUP(Table7[[#This Row],[Student_ID]],student_skills[],4,0),VLOOKUP(Table7[[#This Row],[Student_ID]],student_skills[],5,0),VLOOKUP(Table7[[#This Row],[Student_ID]],student_skills[],6,0))</f>
        <v>8.25</v>
      </c>
      <c r="E69" s="1" t="str">
        <f>IF(VLOOKUP(Table7[[#This Row],[Student_ID]],student_internships[#All],2,0)&gt;1,"EXPERIENCED",IF(VLOOKUP(Table7[[#This Row],[Student_ID]],student_internships[#All],2,0)=1,"BEGINNER","NOT EXPERIENCED"))</f>
        <v>BEGINNER</v>
      </c>
      <c r="F69" s="1">
        <f>VLOOKUP(Table7[[#This Row],[Student_ID]],student_data[],5,0)</f>
        <v>8.81</v>
      </c>
      <c r="G69" s="1">
        <f>VLOOKUP(Table7[[#This Row],[Student_ID]],student_data[#All],6,0)</f>
        <v>4</v>
      </c>
      <c r="H69" s="1">
        <f>VLOOKUP(Table7[[#This Row],[Student_ID]],student_internships[],2,0)</f>
        <v>1</v>
      </c>
      <c r="I69" s="1">
        <f>VLOOKUP(Table7[[#This Row],[Student_ID]],Placements!A69:E1068,5,0)</f>
        <v>5.15</v>
      </c>
      <c r="J69" s="1" t="str">
        <f>IF(VLOOKUP(Table7[[#This Row],[Student_ID]],student_data[#All],5,0)&gt;8,"HIGH",IF(VLOOKUP(Table7[[#This Row],[Student_ID]],student_data[#All],5,0)&lt;6.5,"LOW","MEDIUM"))</f>
        <v>HIGH</v>
      </c>
    </row>
    <row r="70" spans="1:10" x14ac:dyDescent="0.2">
      <c r="A70" s="1" t="s">
        <v>79</v>
      </c>
      <c r="B70" s="1" t="str">
        <f>VLOOKUP(Table7[[#This Row],[Student_ID]],student_data[#All],2,0)</f>
        <v>Electronics</v>
      </c>
      <c r="C70" s="1">
        <f>(VLOOKUP(Table7[[#This Row],[Student_ID]],student_data[],5,0)*5)+(VLOOKUP(Table7[[#This Row],[Student_ID]],student_data[],6,0)*3)+(VLOOKUP(Table7[[#This Row],[Student_ID]],student_skills[],6,0)*2)+(VLOOKUP(Table7[[#This Row],[Student_ID]],student_internships[],2,0)*5)</f>
        <v>64.25</v>
      </c>
      <c r="D70" s="1">
        <f>AVERAGE(VLOOKUP(Table7[[#This Row],[Student_ID]],student_skills[],3,0),VLOOKUP(Table7[[#This Row],[Student_ID]],student_skills[],4,0),VLOOKUP(Table7[[#This Row],[Student_ID]],student_skills[],5,0),VLOOKUP(Table7[[#This Row],[Student_ID]],student_skills[],6,0))</f>
        <v>4</v>
      </c>
      <c r="E70" s="1" t="str">
        <f>IF(VLOOKUP(Table7[[#This Row],[Student_ID]],student_internships[#All],2,0)&gt;1,"EXPERIENCED",IF(VLOOKUP(Table7[[#This Row],[Student_ID]],student_internships[#All],2,0)=1,"BEGINNER","NOT EXPERIENCED"))</f>
        <v>NOT EXPERIENCED</v>
      </c>
      <c r="F70" s="1">
        <f>VLOOKUP(Table7[[#This Row],[Student_ID]],student_data[],5,0)</f>
        <v>9.65</v>
      </c>
      <c r="G70" s="1">
        <f>VLOOKUP(Table7[[#This Row],[Student_ID]],student_data[#All],6,0)</f>
        <v>2</v>
      </c>
      <c r="H70" s="1">
        <f>VLOOKUP(Table7[[#This Row],[Student_ID]],student_internships[],2,0)</f>
        <v>0</v>
      </c>
      <c r="I70" s="1">
        <f>VLOOKUP(Table7[[#This Row],[Student_ID]],Placements!A70:E1069,5,0)</f>
        <v>6.03</v>
      </c>
      <c r="J70" s="1" t="str">
        <f>IF(VLOOKUP(Table7[[#This Row],[Student_ID]],student_data[#All],5,0)&gt;8,"HIGH",IF(VLOOKUP(Table7[[#This Row],[Student_ID]],student_data[#All],5,0)&lt;6.5,"LOW","MEDIUM"))</f>
        <v>HIGH</v>
      </c>
    </row>
    <row r="71" spans="1:10" x14ac:dyDescent="0.2">
      <c r="A71" s="1" t="s">
        <v>80</v>
      </c>
      <c r="B71" s="1" t="str">
        <f>VLOOKUP(Table7[[#This Row],[Student_ID]],student_data[#All],2,0)</f>
        <v>Electronics</v>
      </c>
      <c r="C71" s="1">
        <f>(VLOOKUP(Table7[[#This Row],[Student_ID]],student_data[],5,0)*5)+(VLOOKUP(Table7[[#This Row],[Student_ID]],student_data[],6,0)*3)+(VLOOKUP(Table7[[#This Row],[Student_ID]],student_skills[],6,0)*2)+(VLOOKUP(Table7[[#This Row],[Student_ID]],student_internships[],2,0)*5)</f>
        <v>61.75</v>
      </c>
      <c r="D71" s="1">
        <f>AVERAGE(VLOOKUP(Table7[[#This Row],[Student_ID]],student_skills[],3,0),VLOOKUP(Table7[[#This Row],[Student_ID]],student_skills[],4,0),VLOOKUP(Table7[[#This Row],[Student_ID]],student_skills[],5,0),VLOOKUP(Table7[[#This Row],[Student_ID]],student_skills[],6,0))</f>
        <v>7.5</v>
      </c>
      <c r="E71" s="1" t="str">
        <f>IF(VLOOKUP(Table7[[#This Row],[Student_ID]],student_internships[#All],2,0)&gt;1,"EXPERIENCED",IF(VLOOKUP(Table7[[#This Row],[Student_ID]],student_internships[#All],2,0)=1,"BEGINNER","NOT EXPERIENCED"))</f>
        <v>EXPERIENCED</v>
      </c>
      <c r="F71" s="1">
        <f>VLOOKUP(Table7[[#This Row],[Student_ID]],student_data[],5,0)</f>
        <v>5.15</v>
      </c>
      <c r="G71" s="1">
        <f>VLOOKUP(Table7[[#This Row],[Student_ID]],student_data[#All],6,0)</f>
        <v>2</v>
      </c>
      <c r="H71" s="1">
        <f>VLOOKUP(Table7[[#This Row],[Student_ID]],student_internships[],2,0)</f>
        <v>2</v>
      </c>
      <c r="I71" s="1">
        <f>VLOOKUP(Table7[[#This Row],[Student_ID]],Placements!A71:E1070,5,0)</f>
        <v>8.4700000000000006</v>
      </c>
      <c r="J71" s="1" t="str">
        <f>IF(VLOOKUP(Table7[[#This Row],[Student_ID]],student_data[#All],5,0)&gt;8,"HIGH",IF(VLOOKUP(Table7[[#This Row],[Student_ID]],student_data[#All],5,0)&lt;6.5,"LOW","MEDIUM"))</f>
        <v>LOW</v>
      </c>
    </row>
    <row r="72" spans="1:10" x14ac:dyDescent="0.2">
      <c r="A72" s="1" t="s">
        <v>81</v>
      </c>
      <c r="B72" s="1" t="str">
        <f>VLOOKUP(Table7[[#This Row],[Student_ID]],student_data[#All],2,0)</f>
        <v>Civil</v>
      </c>
      <c r="C72" s="1">
        <f>(VLOOKUP(Table7[[#This Row],[Student_ID]],student_data[],5,0)*5)+(VLOOKUP(Table7[[#This Row],[Student_ID]],student_data[],6,0)*3)+(VLOOKUP(Table7[[#This Row],[Student_ID]],student_skills[],6,0)*2)+(VLOOKUP(Table7[[#This Row],[Student_ID]],student_internships[],2,0)*5)</f>
        <v>68.8</v>
      </c>
      <c r="D72" s="1">
        <f>AVERAGE(VLOOKUP(Table7[[#This Row],[Student_ID]],student_skills[],3,0),VLOOKUP(Table7[[#This Row],[Student_ID]],student_skills[],4,0),VLOOKUP(Table7[[#This Row],[Student_ID]],student_skills[],5,0),VLOOKUP(Table7[[#This Row],[Student_ID]],student_skills[],6,0))</f>
        <v>4.25</v>
      </c>
      <c r="E72" s="1" t="str">
        <f>IF(VLOOKUP(Table7[[#This Row],[Student_ID]],student_internships[#All],2,0)&gt;1,"EXPERIENCED",IF(VLOOKUP(Table7[[#This Row],[Student_ID]],student_internships[#All],2,0)=1,"BEGINNER","NOT EXPERIENCED"))</f>
        <v>NOT EXPERIENCED</v>
      </c>
      <c r="F72" s="1">
        <f>VLOOKUP(Table7[[#This Row],[Student_ID]],student_data[],5,0)</f>
        <v>9.36</v>
      </c>
      <c r="G72" s="1">
        <f>VLOOKUP(Table7[[#This Row],[Student_ID]],student_data[#All],6,0)</f>
        <v>4</v>
      </c>
      <c r="H72" s="1">
        <f>VLOOKUP(Table7[[#This Row],[Student_ID]],student_internships[],2,0)</f>
        <v>0</v>
      </c>
      <c r="I72" s="1">
        <f>VLOOKUP(Table7[[#This Row],[Student_ID]],Placements!A72:E1071,5,0)</f>
        <v>8.2200000000000006</v>
      </c>
      <c r="J72" s="1" t="str">
        <f>IF(VLOOKUP(Table7[[#This Row],[Student_ID]],student_data[#All],5,0)&gt;8,"HIGH",IF(VLOOKUP(Table7[[#This Row],[Student_ID]],student_data[#All],5,0)&lt;6.5,"LOW","MEDIUM"))</f>
        <v>HIGH</v>
      </c>
    </row>
    <row r="73" spans="1:10" x14ac:dyDescent="0.2">
      <c r="A73" s="1" t="s">
        <v>82</v>
      </c>
      <c r="B73" s="1" t="str">
        <f>VLOOKUP(Table7[[#This Row],[Student_ID]],student_data[#All],2,0)</f>
        <v>Civil</v>
      </c>
      <c r="C73" s="1">
        <f>(VLOOKUP(Table7[[#This Row],[Student_ID]],student_data[],5,0)*5)+(VLOOKUP(Table7[[#This Row],[Student_ID]],student_data[],6,0)*3)+(VLOOKUP(Table7[[#This Row],[Student_ID]],student_skills[],6,0)*2)+(VLOOKUP(Table7[[#This Row],[Student_ID]],student_internships[],2,0)*5)</f>
        <v>73.199999999999989</v>
      </c>
      <c r="D73" s="1">
        <f>AVERAGE(VLOOKUP(Table7[[#This Row],[Student_ID]],student_skills[],3,0),VLOOKUP(Table7[[#This Row],[Student_ID]],student_skills[],4,0),VLOOKUP(Table7[[#This Row],[Student_ID]],student_skills[],5,0),VLOOKUP(Table7[[#This Row],[Student_ID]],student_skills[],6,0))</f>
        <v>7.75</v>
      </c>
      <c r="E73" s="1" t="str">
        <f>IF(VLOOKUP(Table7[[#This Row],[Student_ID]],student_internships[#All],2,0)&gt;1,"EXPERIENCED",IF(VLOOKUP(Table7[[#This Row],[Student_ID]],student_internships[#All],2,0)=1,"BEGINNER","NOT EXPERIENCED"))</f>
        <v>EXPERIENCED</v>
      </c>
      <c r="F73" s="1">
        <f>VLOOKUP(Table7[[#This Row],[Student_ID]],student_data[],5,0)</f>
        <v>7.64</v>
      </c>
      <c r="G73" s="1">
        <f>VLOOKUP(Table7[[#This Row],[Student_ID]],student_data[#All],6,0)</f>
        <v>0</v>
      </c>
      <c r="H73" s="1">
        <f>VLOOKUP(Table7[[#This Row],[Student_ID]],student_internships[],2,0)</f>
        <v>3</v>
      </c>
      <c r="I73" s="1">
        <f>VLOOKUP(Table7[[#This Row],[Student_ID]],Placements!A73:E1072,5,0)</f>
        <v>4.96</v>
      </c>
      <c r="J73" s="1" t="str">
        <f>IF(VLOOKUP(Table7[[#This Row],[Student_ID]],student_data[#All],5,0)&gt;8,"HIGH",IF(VLOOKUP(Table7[[#This Row],[Student_ID]],student_data[#All],5,0)&lt;6.5,"LOW","MEDIUM"))</f>
        <v>MEDIUM</v>
      </c>
    </row>
    <row r="74" spans="1:10" x14ac:dyDescent="0.2">
      <c r="A74" s="1" t="s">
        <v>83</v>
      </c>
      <c r="B74" s="1" t="str">
        <f>VLOOKUP(Table7[[#This Row],[Student_ID]],student_data[#All],2,0)</f>
        <v>Computer Science</v>
      </c>
      <c r="C74" s="1">
        <f>(VLOOKUP(Table7[[#This Row],[Student_ID]],student_data[],5,0)*5)+(VLOOKUP(Table7[[#This Row],[Student_ID]],student_data[],6,0)*3)+(VLOOKUP(Table7[[#This Row],[Student_ID]],student_skills[],6,0)*2)+(VLOOKUP(Table7[[#This Row],[Student_ID]],student_internships[],2,0)*5)</f>
        <v>66.8</v>
      </c>
      <c r="D74" s="1">
        <f>AVERAGE(VLOOKUP(Table7[[#This Row],[Student_ID]],student_skills[],3,0),VLOOKUP(Table7[[#This Row],[Student_ID]],student_skills[],4,0),VLOOKUP(Table7[[#This Row],[Student_ID]],student_skills[],5,0),VLOOKUP(Table7[[#This Row],[Student_ID]],student_skills[],6,0))</f>
        <v>7.5</v>
      </c>
      <c r="E74" s="1" t="str">
        <f>IF(VLOOKUP(Table7[[#This Row],[Student_ID]],student_internships[#All],2,0)&gt;1,"EXPERIENCED",IF(VLOOKUP(Table7[[#This Row],[Student_ID]],student_internships[#All],2,0)=1,"BEGINNER","NOT EXPERIENCED"))</f>
        <v>EXPERIENCED</v>
      </c>
      <c r="F74" s="1">
        <f>VLOOKUP(Table7[[#This Row],[Student_ID]],student_data[],5,0)</f>
        <v>8.16</v>
      </c>
      <c r="G74" s="1">
        <f>VLOOKUP(Table7[[#This Row],[Student_ID]],student_data[#All],6,0)</f>
        <v>2</v>
      </c>
      <c r="H74" s="1">
        <f>VLOOKUP(Table7[[#This Row],[Student_ID]],student_internships[],2,0)</f>
        <v>2</v>
      </c>
      <c r="I74" s="1">
        <f>VLOOKUP(Table7[[#This Row],[Student_ID]],Placements!A74:E1073,5,0)</f>
        <v>0</v>
      </c>
      <c r="J74" s="1" t="str">
        <f>IF(VLOOKUP(Table7[[#This Row],[Student_ID]],student_data[#All],5,0)&gt;8,"HIGH",IF(VLOOKUP(Table7[[#This Row],[Student_ID]],student_data[#All],5,0)&lt;6.5,"LOW","MEDIUM"))</f>
        <v>HIGH</v>
      </c>
    </row>
    <row r="75" spans="1:10" x14ac:dyDescent="0.2">
      <c r="A75" s="1" t="s">
        <v>84</v>
      </c>
      <c r="B75" s="1" t="str">
        <f>VLOOKUP(Table7[[#This Row],[Student_ID]],student_data[#All],2,0)</f>
        <v>Information Technology</v>
      </c>
      <c r="C75" s="1">
        <f>(VLOOKUP(Table7[[#This Row],[Student_ID]],student_data[],5,0)*5)+(VLOOKUP(Table7[[#This Row],[Student_ID]],student_data[],6,0)*3)+(VLOOKUP(Table7[[#This Row],[Student_ID]],student_skills[],6,0)*2)+(VLOOKUP(Table7[[#This Row],[Student_ID]],student_internships[],2,0)*5)</f>
        <v>53.1</v>
      </c>
      <c r="D75" s="1">
        <f>AVERAGE(VLOOKUP(Table7[[#This Row],[Student_ID]],student_skills[],3,0),VLOOKUP(Table7[[#This Row],[Student_ID]],student_skills[],4,0),VLOOKUP(Table7[[#This Row],[Student_ID]],student_skills[],5,0),VLOOKUP(Table7[[#This Row],[Student_ID]],student_skills[],6,0))</f>
        <v>2.5</v>
      </c>
      <c r="E75" s="1" t="str">
        <f>IF(VLOOKUP(Table7[[#This Row],[Student_ID]],student_internships[#All],2,0)&gt;1,"EXPERIENCED",IF(VLOOKUP(Table7[[#This Row],[Student_ID]],student_internships[#All],2,0)=1,"BEGINNER","NOT EXPERIENCED"))</f>
        <v>NOT EXPERIENCED</v>
      </c>
      <c r="F75" s="1">
        <f>VLOOKUP(Table7[[#This Row],[Student_ID]],student_data[],5,0)</f>
        <v>8.2200000000000006</v>
      </c>
      <c r="G75" s="1">
        <f>VLOOKUP(Table7[[#This Row],[Student_ID]],student_data[#All],6,0)</f>
        <v>2</v>
      </c>
      <c r="H75" s="1">
        <f>VLOOKUP(Table7[[#This Row],[Student_ID]],student_internships[],2,0)</f>
        <v>0</v>
      </c>
      <c r="I75" s="1">
        <f>VLOOKUP(Table7[[#This Row],[Student_ID]],Placements!A75:E1074,5,0)</f>
        <v>4.8600000000000003</v>
      </c>
      <c r="J75" s="1" t="str">
        <f>IF(VLOOKUP(Table7[[#This Row],[Student_ID]],student_data[#All],5,0)&gt;8,"HIGH",IF(VLOOKUP(Table7[[#This Row],[Student_ID]],student_data[#All],5,0)&lt;6.5,"LOW","MEDIUM"))</f>
        <v>HIGH</v>
      </c>
    </row>
    <row r="76" spans="1:10" x14ac:dyDescent="0.2">
      <c r="A76" s="1" t="s">
        <v>85</v>
      </c>
      <c r="B76" s="1" t="str">
        <f>VLOOKUP(Table7[[#This Row],[Student_ID]],student_data[#All],2,0)</f>
        <v>Information Technology</v>
      </c>
      <c r="C76" s="1">
        <f>(VLOOKUP(Table7[[#This Row],[Student_ID]],student_data[],5,0)*5)+(VLOOKUP(Table7[[#This Row],[Student_ID]],student_data[],6,0)*3)+(VLOOKUP(Table7[[#This Row],[Student_ID]],student_skills[],6,0)*2)+(VLOOKUP(Table7[[#This Row],[Student_ID]],student_internships[],2,0)*5)</f>
        <v>68.5</v>
      </c>
      <c r="D76" s="1">
        <f>AVERAGE(VLOOKUP(Table7[[#This Row],[Student_ID]],student_skills[],3,0),VLOOKUP(Table7[[#This Row],[Student_ID]],student_skills[],4,0),VLOOKUP(Table7[[#This Row],[Student_ID]],student_skills[],5,0),VLOOKUP(Table7[[#This Row],[Student_ID]],student_skills[],6,0))</f>
        <v>5.5</v>
      </c>
      <c r="E76" s="1" t="str">
        <f>IF(VLOOKUP(Table7[[#This Row],[Student_ID]],student_internships[#All],2,0)&gt;1,"EXPERIENCED",IF(VLOOKUP(Table7[[#This Row],[Student_ID]],student_internships[#All],2,0)=1,"BEGINNER","NOT EXPERIENCED"))</f>
        <v>NOT EXPERIENCED</v>
      </c>
      <c r="F76" s="1">
        <f>VLOOKUP(Table7[[#This Row],[Student_ID]],student_data[],5,0)</f>
        <v>9.1</v>
      </c>
      <c r="G76" s="1">
        <f>VLOOKUP(Table7[[#This Row],[Student_ID]],student_data[#All],6,0)</f>
        <v>3</v>
      </c>
      <c r="H76" s="1">
        <f>VLOOKUP(Table7[[#This Row],[Student_ID]],student_internships[],2,0)</f>
        <v>0</v>
      </c>
      <c r="I76" s="1">
        <f>VLOOKUP(Table7[[#This Row],[Student_ID]],Placements!A76:E1075,5,0)</f>
        <v>0</v>
      </c>
      <c r="J76" s="1" t="str">
        <f>IF(VLOOKUP(Table7[[#This Row],[Student_ID]],student_data[#All],5,0)&gt;8,"HIGH",IF(VLOOKUP(Table7[[#This Row],[Student_ID]],student_data[#All],5,0)&lt;6.5,"LOW","MEDIUM"))</f>
        <v>HIGH</v>
      </c>
    </row>
    <row r="77" spans="1:10" x14ac:dyDescent="0.2">
      <c r="A77" s="1" t="s">
        <v>86</v>
      </c>
      <c r="B77" s="1" t="str">
        <f>VLOOKUP(Table7[[#This Row],[Student_ID]],student_data[#All],2,0)</f>
        <v>Electronics</v>
      </c>
      <c r="C77" s="1">
        <f>(VLOOKUP(Table7[[#This Row],[Student_ID]],student_data[],5,0)*5)+(VLOOKUP(Table7[[#This Row],[Student_ID]],student_data[],6,0)*3)+(VLOOKUP(Table7[[#This Row],[Student_ID]],student_skills[],6,0)*2)+(VLOOKUP(Table7[[#This Row],[Student_ID]],student_internships[],2,0)*5)</f>
        <v>67.349999999999994</v>
      </c>
      <c r="D77" s="1">
        <f>AVERAGE(VLOOKUP(Table7[[#This Row],[Student_ID]],student_skills[],3,0),VLOOKUP(Table7[[#This Row],[Student_ID]],student_skills[],4,0),VLOOKUP(Table7[[#This Row],[Student_ID]],student_skills[],5,0),VLOOKUP(Table7[[#This Row],[Student_ID]],student_skills[],6,0))</f>
        <v>5.5</v>
      </c>
      <c r="E77" s="1" t="str">
        <f>IF(VLOOKUP(Table7[[#This Row],[Student_ID]],student_internships[#All],2,0)&gt;1,"EXPERIENCED",IF(VLOOKUP(Table7[[#This Row],[Student_ID]],student_internships[#All],2,0)=1,"BEGINNER","NOT EXPERIENCED"))</f>
        <v>EXPERIENCED</v>
      </c>
      <c r="F77" s="1">
        <f>VLOOKUP(Table7[[#This Row],[Student_ID]],student_data[],5,0)</f>
        <v>6.67</v>
      </c>
      <c r="G77" s="1">
        <f>VLOOKUP(Table7[[#This Row],[Student_ID]],student_data[#All],6,0)</f>
        <v>4</v>
      </c>
      <c r="H77" s="1">
        <f>VLOOKUP(Table7[[#This Row],[Student_ID]],student_internships[],2,0)</f>
        <v>2</v>
      </c>
      <c r="I77" s="1">
        <f>VLOOKUP(Table7[[#This Row],[Student_ID]],Placements!A77:E1076,5,0)</f>
        <v>4.51</v>
      </c>
      <c r="J77" s="1" t="str">
        <f>IF(VLOOKUP(Table7[[#This Row],[Student_ID]],student_data[#All],5,0)&gt;8,"HIGH",IF(VLOOKUP(Table7[[#This Row],[Student_ID]],student_data[#All],5,0)&lt;6.5,"LOW","MEDIUM"))</f>
        <v>MEDIUM</v>
      </c>
    </row>
    <row r="78" spans="1:10" x14ac:dyDescent="0.2">
      <c r="A78" s="1" t="s">
        <v>87</v>
      </c>
      <c r="B78" s="1" t="str">
        <f>VLOOKUP(Table7[[#This Row],[Student_ID]],student_data[#All],2,0)</f>
        <v>Information Technology</v>
      </c>
      <c r="C78" s="1">
        <f>(VLOOKUP(Table7[[#This Row],[Student_ID]],student_data[],5,0)*5)+(VLOOKUP(Table7[[#This Row],[Student_ID]],student_data[],6,0)*3)+(VLOOKUP(Table7[[#This Row],[Student_ID]],student_skills[],6,0)*2)+(VLOOKUP(Table7[[#This Row],[Student_ID]],student_internships[],2,0)*5)</f>
        <v>64.349999999999994</v>
      </c>
      <c r="D78" s="1">
        <f>AVERAGE(VLOOKUP(Table7[[#This Row],[Student_ID]],student_skills[],3,0),VLOOKUP(Table7[[#This Row],[Student_ID]],student_skills[],4,0),VLOOKUP(Table7[[#This Row],[Student_ID]],student_skills[],5,0),VLOOKUP(Table7[[#This Row],[Student_ID]],student_skills[],6,0))</f>
        <v>5.5</v>
      </c>
      <c r="E78" s="1" t="str">
        <f>IF(VLOOKUP(Table7[[#This Row],[Student_ID]],student_internships[#All],2,0)&gt;1,"EXPERIENCED",IF(VLOOKUP(Table7[[#This Row],[Student_ID]],student_internships[#All],2,0)=1,"BEGINNER","NOT EXPERIENCED"))</f>
        <v>EXPERIENCED</v>
      </c>
      <c r="F78" s="1">
        <f>VLOOKUP(Table7[[#This Row],[Student_ID]],student_data[],5,0)</f>
        <v>8.67</v>
      </c>
      <c r="G78" s="1">
        <f>VLOOKUP(Table7[[#This Row],[Student_ID]],student_data[#All],6,0)</f>
        <v>1</v>
      </c>
      <c r="H78" s="1">
        <f>VLOOKUP(Table7[[#This Row],[Student_ID]],student_internships[],2,0)</f>
        <v>2</v>
      </c>
      <c r="I78" s="1">
        <f>VLOOKUP(Table7[[#This Row],[Student_ID]],Placements!A78:E1077,5,0)</f>
        <v>5.49</v>
      </c>
      <c r="J78" s="1" t="str">
        <f>IF(VLOOKUP(Table7[[#This Row],[Student_ID]],student_data[#All],5,0)&gt;8,"HIGH",IF(VLOOKUP(Table7[[#This Row],[Student_ID]],student_data[#All],5,0)&lt;6.5,"LOW","MEDIUM"))</f>
        <v>HIGH</v>
      </c>
    </row>
    <row r="79" spans="1:10" x14ac:dyDescent="0.2">
      <c r="A79" s="1" t="s">
        <v>88</v>
      </c>
      <c r="B79" s="1" t="str">
        <f>VLOOKUP(Table7[[#This Row],[Student_ID]],student_data[#All],2,0)</f>
        <v>Electronics</v>
      </c>
      <c r="C79" s="1">
        <f>(VLOOKUP(Table7[[#This Row],[Student_ID]],student_data[],5,0)*5)+(VLOOKUP(Table7[[#This Row],[Student_ID]],student_data[],6,0)*3)+(VLOOKUP(Table7[[#This Row],[Student_ID]],student_skills[],6,0)*2)+(VLOOKUP(Table7[[#This Row],[Student_ID]],student_internships[],2,0)*5)</f>
        <v>52.199999999999996</v>
      </c>
      <c r="D79" s="1">
        <f>AVERAGE(VLOOKUP(Table7[[#This Row],[Student_ID]],student_skills[],3,0),VLOOKUP(Table7[[#This Row],[Student_ID]],student_skills[],4,0),VLOOKUP(Table7[[#This Row],[Student_ID]],student_skills[],5,0),VLOOKUP(Table7[[#This Row],[Student_ID]],student_skills[],6,0))</f>
        <v>6.5</v>
      </c>
      <c r="E79" s="1" t="str">
        <f>IF(VLOOKUP(Table7[[#This Row],[Student_ID]],student_internships[#All],2,0)&gt;1,"EXPERIENCED",IF(VLOOKUP(Table7[[#This Row],[Student_ID]],student_internships[#All],2,0)=1,"BEGINNER","NOT EXPERIENCED"))</f>
        <v>EXPERIENCED</v>
      </c>
      <c r="F79" s="1">
        <f>VLOOKUP(Table7[[#This Row],[Student_ID]],student_data[],5,0)</f>
        <v>7.64</v>
      </c>
      <c r="G79" s="1">
        <f>VLOOKUP(Table7[[#This Row],[Student_ID]],student_data[#All],6,0)</f>
        <v>0</v>
      </c>
      <c r="H79" s="1">
        <f>VLOOKUP(Table7[[#This Row],[Student_ID]],student_internships[],2,0)</f>
        <v>2</v>
      </c>
      <c r="I79" s="1">
        <f>VLOOKUP(Table7[[#This Row],[Student_ID]],Placements!A79:E1078,5,0)</f>
        <v>13.79</v>
      </c>
      <c r="J79" s="1" t="str">
        <f>IF(VLOOKUP(Table7[[#This Row],[Student_ID]],student_data[#All],5,0)&gt;8,"HIGH",IF(VLOOKUP(Table7[[#This Row],[Student_ID]],student_data[#All],5,0)&lt;6.5,"LOW","MEDIUM"))</f>
        <v>MEDIUM</v>
      </c>
    </row>
    <row r="80" spans="1:10" x14ac:dyDescent="0.2">
      <c r="A80" s="1" t="s">
        <v>89</v>
      </c>
      <c r="B80" s="1" t="str">
        <f>VLOOKUP(Table7[[#This Row],[Student_ID]],student_data[#All],2,0)</f>
        <v>Computer Science</v>
      </c>
      <c r="C80" s="1">
        <f>(VLOOKUP(Table7[[#This Row],[Student_ID]],student_data[],5,0)*5)+(VLOOKUP(Table7[[#This Row],[Student_ID]],student_data[],6,0)*3)+(VLOOKUP(Table7[[#This Row],[Student_ID]],student_skills[],6,0)*2)+(VLOOKUP(Table7[[#This Row],[Student_ID]],student_internships[],2,0)*5)</f>
        <v>72.849999999999994</v>
      </c>
      <c r="D80" s="1">
        <f>AVERAGE(VLOOKUP(Table7[[#This Row],[Student_ID]],student_skills[],3,0),VLOOKUP(Table7[[#This Row],[Student_ID]],student_skills[],4,0),VLOOKUP(Table7[[#This Row],[Student_ID]],student_skills[],5,0),VLOOKUP(Table7[[#This Row],[Student_ID]],student_skills[],6,0))</f>
        <v>6.25</v>
      </c>
      <c r="E80" s="1" t="str">
        <f>IF(VLOOKUP(Table7[[#This Row],[Student_ID]],student_internships[#All],2,0)&gt;1,"EXPERIENCED",IF(VLOOKUP(Table7[[#This Row],[Student_ID]],student_internships[#All],2,0)=1,"BEGINNER","NOT EXPERIENCED"))</f>
        <v>EXPERIENCED</v>
      </c>
      <c r="F80" s="1">
        <f>VLOOKUP(Table7[[#This Row],[Student_ID]],student_data[],5,0)</f>
        <v>8.9700000000000006</v>
      </c>
      <c r="G80" s="1">
        <f>VLOOKUP(Table7[[#This Row],[Student_ID]],student_data[#All],6,0)</f>
        <v>0</v>
      </c>
      <c r="H80" s="1">
        <f>VLOOKUP(Table7[[#This Row],[Student_ID]],student_internships[],2,0)</f>
        <v>2</v>
      </c>
      <c r="I80" s="1">
        <f>VLOOKUP(Table7[[#This Row],[Student_ID]],Placements!A80:E1079,5,0)</f>
        <v>6.92</v>
      </c>
      <c r="J80" s="1" t="str">
        <f>IF(VLOOKUP(Table7[[#This Row],[Student_ID]],student_data[#All],5,0)&gt;8,"HIGH",IF(VLOOKUP(Table7[[#This Row],[Student_ID]],student_data[#All],5,0)&lt;6.5,"LOW","MEDIUM"))</f>
        <v>HIGH</v>
      </c>
    </row>
    <row r="81" spans="1:10" x14ac:dyDescent="0.2">
      <c r="A81" s="1" t="s">
        <v>90</v>
      </c>
      <c r="B81" s="1" t="str">
        <f>VLOOKUP(Table7[[#This Row],[Student_ID]],student_data[#All],2,0)</f>
        <v>Civil</v>
      </c>
      <c r="C81" s="1">
        <f>(VLOOKUP(Table7[[#This Row],[Student_ID]],student_data[],5,0)*5)+(VLOOKUP(Table7[[#This Row],[Student_ID]],student_data[],6,0)*3)+(VLOOKUP(Table7[[#This Row],[Student_ID]],student_skills[],6,0)*2)+(VLOOKUP(Table7[[#This Row],[Student_ID]],student_internships[],2,0)*5)</f>
        <v>63.75</v>
      </c>
      <c r="D81" s="1">
        <f>AVERAGE(VLOOKUP(Table7[[#This Row],[Student_ID]],student_skills[],3,0),VLOOKUP(Table7[[#This Row],[Student_ID]],student_skills[],4,0),VLOOKUP(Table7[[#This Row],[Student_ID]],student_skills[],5,0),VLOOKUP(Table7[[#This Row],[Student_ID]],student_skills[],6,0))</f>
        <v>4.75</v>
      </c>
      <c r="E81" s="1" t="str">
        <f>IF(VLOOKUP(Table7[[#This Row],[Student_ID]],student_internships[#All],2,0)&gt;1,"EXPERIENCED",IF(VLOOKUP(Table7[[#This Row],[Student_ID]],student_internships[#All],2,0)=1,"BEGINNER","NOT EXPERIENCED"))</f>
        <v>NOT EXPERIENCED</v>
      </c>
      <c r="F81" s="1">
        <f>VLOOKUP(Table7[[#This Row],[Student_ID]],student_data[],5,0)</f>
        <v>9.9499999999999993</v>
      </c>
      <c r="G81" s="1">
        <f>VLOOKUP(Table7[[#This Row],[Student_ID]],student_data[#All],6,0)</f>
        <v>4</v>
      </c>
      <c r="H81" s="1">
        <f>VLOOKUP(Table7[[#This Row],[Student_ID]],student_internships[],2,0)</f>
        <v>0</v>
      </c>
      <c r="I81" s="1">
        <f>VLOOKUP(Table7[[#This Row],[Student_ID]],Placements!A81:E1080,5,0)</f>
        <v>4.59</v>
      </c>
      <c r="J81" s="1" t="str">
        <f>IF(VLOOKUP(Table7[[#This Row],[Student_ID]],student_data[#All],5,0)&gt;8,"HIGH",IF(VLOOKUP(Table7[[#This Row],[Student_ID]],student_data[#All],5,0)&lt;6.5,"LOW","MEDIUM"))</f>
        <v>HIGH</v>
      </c>
    </row>
    <row r="82" spans="1:10" x14ac:dyDescent="0.2">
      <c r="A82" s="1" t="s">
        <v>91</v>
      </c>
      <c r="B82" s="1" t="str">
        <f>VLOOKUP(Table7[[#This Row],[Student_ID]],student_data[#All],2,0)</f>
        <v>Civil</v>
      </c>
      <c r="C82" s="1">
        <f>(VLOOKUP(Table7[[#This Row],[Student_ID]],student_data[],5,0)*5)+(VLOOKUP(Table7[[#This Row],[Student_ID]],student_data[],6,0)*3)+(VLOOKUP(Table7[[#This Row],[Student_ID]],student_skills[],6,0)*2)+(VLOOKUP(Table7[[#This Row],[Student_ID]],student_internships[],2,0)*5)</f>
        <v>58</v>
      </c>
      <c r="D82" s="1">
        <f>AVERAGE(VLOOKUP(Table7[[#This Row],[Student_ID]],student_skills[],3,0),VLOOKUP(Table7[[#This Row],[Student_ID]],student_skills[],4,0),VLOOKUP(Table7[[#This Row],[Student_ID]],student_skills[],5,0),VLOOKUP(Table7[[#This Row],[Student_ID]],student_skills[],6,0))</f>
        <v>3.5</v>
      </c>
      <c r="E82" s="1" t="str">
        <f>IF(VLOOKUP(Table7[[#This Row],[Student_ID]],student_internships[#All],2,0)&gt;1,"EXPERIENCED",IF(VLOOKUP(Table7[[#This Row],[Student_ID]],student_internships[#All],2,0)=1,"BEGINNER","NOT EXPERIENCED"))</f>
        <v>BEGINNER</v>
      </c>
      <c r="F82" s="1">
        <f>VLOOKUP(Table7[[#This Row],[Student_ID]],student_data[],5,0)</f>
        <v>6</v>
      </c>
      <c r="G82" s="1">
        <f>VLOOKUP(Table7[[#This Row],[Student_ID]],student_data[#All],6,0)</f>
        <v>5</v>
      </c>
      <c r="H82" s="1">
        <f>VLOOKUP(Table7[[#This Row],[Student_ID]],student_internships[],2,0)</f>
        <v>1</v>
      </c>
      <c r="I82" s="1">
        <f>VLOOKUP(Table7[[#This Row],[Student_ID]],Placements!A82:E1081,5,0)</f>
        <v>0</v>
      </c>
      <c r="J82" s="1" t="str">
        <f>IF(VLOOKUP(Table7[[#This Row],[Student_ID]],student_data[#All],5,0)&gt;8,"HIGH",IF(VLOOKUP(Table7[[#This Row],[Student_ID]],student_data[#All],5,0)&lt;6.5,"LOW","MEDIUM"))</f>
        <v>LOW</v>
      </c>
    </row>
    <row r="83" spans="1:10" x14ac:dyDescent="0.2">
      <c r="A83" s="1" t="s">
        <v>92</v>
      </c>
      <c r="B83" s="1" t="str">
        <f>VLOOKUP(Table7[[#This Row],[Student_ID]],student_data[#All],2,0)</f>
        <v>Civil</v>
      </c>
      <c r="C83" s="1">
        <f>(VLOOKUP(Table7[[#This Row],[Student_ID]],student_data[],5,0)*5)+(VLOOKUP(Table7[[#This Row],[Student_ID]],student_data[],6,0)*3)+(VLOOKUP(Table7[[#This Row],[Student_ID]],student_skills[],6,0)*2)+(VLOOKUP(Table7[[#This Row],[Student_ID]],student_internships[],2,0)*5)</f>
        <v>66.849999999999994</v>
      </c>
      <c r="D83" s="1">
        <f>AVERAGE(VLOOKUP(Table7[[#This Row],[Student_ID]],student_skills[],3,0),VLOOKUP(Table7[[#This Row],[Student_ID]],student_skills[],4,0),VLOOKUP(Table7[[#This Row],[Student_ID]],student_skills[],5,0),VLOOKUP(Table7[[#This Row],[Student_ID]],student_skills[],6,0))</f>
        <v>6</v>
      </c>
      <c r="E83" s="1" t="str">
        <f>IF(VLOOKUP(Table7[[#This Row],[Student_ID]],student_internships[#All],2,0)&gt;1,"EXPERIENCED",IF(VLOOKUP(Table7[[#This Row],[Student_ID]],student_internships[#All],2,0)=1,"BEGINNER","NOT EXPERIENCED"))</f>
        <v>NOT EXPERIENCED</v>
      </c>
      <c r="F83" s="1">
        <f>VLOOKUP(Table7[[#This Row],[Student_ID]],student_data[],5,0)</f>
        <v>9.9700000000000006</v>
      </c>
      <c r="G83" s="1">
        <f>VLOOKUP(Table7[[#This Row],[Student_ID]],student_data[#All],6,0)</f>
        <v>5</v>
      </c>
      <c r="H83" s="1">
        <f>VLOOKUP(Table7[[#This Row],[Student_ID]],student_internships[],2,0)</f>
        <v>0</v>
      </c>
      <c r="I83" s="1">
        <f>VLOOKUP(Table7[[#This Row],[Student_ID]],Placements!A83:E1082,5,0)</f>
        <v>11.23</v>
      </c>
      <c r="J83" s="1" t="str">
        <f>IF(VLOOKUP(Table7[[#This Row],[Student_ID]],student_data[#All],5,0)&gt;8,"HIGH",IF(VLOOKUP(Table7[[#This Row],[Student_ID]],student_data[#All],5,0)&lt;6.5,"LOW","MEDIUM"))</f>
        <v>HIGH</v>
      </c>
    </row>
    <row r="84" spans="1:10" x14ac:dyDescent="0.2">
      <c r="A84" s="1" t="s">
        <v>93</v>
      </c>
      <c r="B84" s="1" t="str">
        <f>VLOOKUP(Table7[[#This Row],[Student_ID]],student_data[#All],2,0)</f>
        <v>Information Technology</v>
      </c>
      <c r="C84" s="1">
        <f>(VLOOKUP(Table7[[#This Row],[Student_ID]],student_data[],5,0)*5)+(VLOOKUP(Table7[[#This Row],[Student_ID]],student_data[],6,0)*3)+(VLOOKUP(Table7[[#This Row],[Student_ID]],student_skills[],6,0)*2)+(VLOOKUP(Table7[[#This Row],[Student_ID]],student_internships[],2,0)*5)</f>
        <v>58.25</v>
      </c>
      <c r="D84" s="1">
        <f>AVERAGE(VLOOKUP(Table7[[#This Row],[Student_ID]],student_skills[],3,0),VLOOKUP(Table7[[#This Row],[Student_ID]],student_skills[],4,0),VLOOKUP(Table7[[#This Row],[Student_ID]],student_skills[],5,0),VLOOKUP(Table7[[#This Row],[Student_ID]],student_skills[],6,0))</f>
        <v>4.25</v>
      </c>
      <c r="E84" s="1" t="str">
        <f>IF(VLOOKUP(Table7[[#This Row],[Student_ID]],student_internships[#All],2,0)&gt;1,"EXPERIENCED",IF(VLOOKUP(Table7[[#This Row],[Student_ID]],student_internships[#All],2,0)=1,"BEGINNER","NOT EXPERIENCED"))</f>
        <v>EXPERIENCED</v>
      </c>
      <c r="F84" s="1">
        <f>VLOOKUP(Table7[[#This Row],[Student_ID]],student_data[],5,0)</f>
        <v>5.45</v>
      </c>
      <c r="G84" s="1">
        <f>VLOOKUP(Table7[[#This Row],[Student_ID]],student_data[#All],6,0)</f>
        <v>3</v>
      </c>
      <c r="H84" s="1">
        <f>VLOOKUP(Table7[[#This Row],[Student_ID]],student_internships[],2,0)</f>
        <v>2</v>
      </c>
      <c r="I84" s="1">
        <f>VLOOKUP(Table7[[#This Row],[Student_ID]],Placements!A84:E1083,5,0)</f>
        <v>6.16</v>
      </c>
      <c r="J84" s="1" t="str">
        <f>IF(VLOOKUP(Table7[[#This Row],[Student_ID]],student_data[#All],5,0)&gt;8,"HIGH",IF(VLOOKUP(Table7[[#This Row],[Student_ID]],student_data[#All],5,0)&lt;6.5,"LOW","MEDIUM"))</f>
        <v>LOW</v>
      </c>
    </row>
    <row r="85" spans="1:10" x14ac:dyDescent="0.2">
      <c r="A85" s="1" t="s">
        <v>94</v>
      </c>
      <c r="B85" s="1" t="str">
        <f>VLOOKUP(Table7[[#This Row],[Student_ID]],student_data[#All],2,0)</f>
        <v>Computer Science</v>
      </c>
      <c r="C85" s="1">
        <f>(VLOOKUP(Table7[[#This Row],[Student_ID]],student_data[],5,0)*5)+(VLOOKUP(Table7[[#This Row],[Student_ID]],student_data[],6,0)*3)+(VLOOKUP(Table7[[#This Row],[Student_ID]],student_skills[],6,0)*2)+(VLOOKUP(Table7[[#This Row],[Student_ID]],student_internships[],2,0)*5)</f>
        <v>47.05</v>
      </c>
      <c r="D85" s="1">
        <f>AVERAGE(VLOOKUP(Table7[[#This Row],[Student_ID]],student_skills[],3,0),VLOOKUP(Table7[[#This Row],[Student_ID]],student_skills[],4,0),VLOOKUP(Table7[[#This Row],[Student_ID]],student_skills[],5,0),VLOOKUP(Table7[[#This Row],[Student_ID]],student_skills[],6,0))</f>
        <v>6.5</v>
      </c>
      <c r="E85" s="1" t="str">
        <f>IF(VLOOKUP(Table7[[#This Row],[Student_ID]],student_internships[#All],2,0)&gt;1,"EXPERIENCED",IF(VLOOKUP(Table7[[#This Row],[Student_ID]],student_internships[#All],2,0)=1,"BEGINNER","NOT EXPERIENCED"))</f>
        <v>BEGINNER</v>
      </c>
      <c r="F85" s="1">
        <f>VLOOKUP(Table7[[#This Row],[Student_ID]],student_data[],5,0)</f>
        <v>5.01</v>
      </c>
      <c r="G85" s="1">
        <f>VLOOKUP(Table7[[#This Row],[Student_ID]],student_data[#All],6,0)</f>
        <v>3</v>
      </c>
      <c r="H85" s="1">
        <f>VLOOKUP(Table7[[#This Row],[Student_ID]],student_internships[],2,0)</f>
        <v>1</v>
      </c>
      <c r="I85" s="1">
        <f>VLOOKUP(Table7[[#This Row],[Student_ID]],Placements!A85:E1084,5,0)</f>
        <v>5.65</v>
      </c>
      <c r="J85" s="1" t="str">
        <f>IF(VLOOKUP(Table7[[#This Row],[Student_ID]],student_data[#All],5,0)&gt;8,"HIGH",IF(VLOOKUP(Table7[[#This Row],[Student_ID]],student_data[#All],5,0)&lt;6.5,"LOW","MEDIUM"))</f>
        <v>LOW</v>
      </c>
    </row>
    <row r="86" spans="1:10" x14ac:dyDescent="0.2">
      <c r="A86" s="1" t="s">
        <v>95</v>
      </c>
      <c r="B86" s="1" t="str">
        <f>VLOOKUP(Table7[[#This Row],[Student_ID]],student_data[#All],2,0)</f>
        <v>Information Technology</v>
      </c>
      <c r="C86" s="1">
        <f>(VLOOKUP(Table7[[#This Row],[Student_ID]],student_data[],5,0)*5)+(VLOOKUP(Table7[[#This Row],[Student_ID]],student_data[],6,0)*3)+(VLOOKUP(Table7[[#This Row],[Student_ID]],student_skills[],6,0)*2)+(VLOOKUP(Table7[[#This Row],[Student_ID]],student_internships[],2,0)*5)</f>
        <v>53.099999999999994</v>
      </c>
      <c r="D86" s="1">
        <f>AVERAGE(VLOOKUP(Table7[[#This Row],[Student_ID]],student_skills[],3,0),VLOOKUP(Table7[[#This Row],[Student_ID]],student_skills[],4,0),VLOOKUP(Table7[[#This Row],[Student_ID]],student_skills[],5,0),VLOOKUP(Table7[[#This Row],[Student_ID]],student_skills[],6,0))</f>
        <v>5.5</v>
      </c>
      <c r="E86" s="1" t="str">
        <f>IF(VLOOKUP(Table7[[#This Row],[Student_ID]],student_internships[#All],2,0)&gt;1,"EXPERIENCED",IF(VLOOKUP(Table7[[#This Row],[Student_ID]],student_internships[#All],2,0)=1,"BEGINNER","NOT EXPERIENCED"))</f>
        <v>BEGINNER</v>
      </c>
      <c r="F86" s="1">
        <f>VLOOKUP(Table7[[#This Row],[Student_ID]],student_data[],5,0)</f>
        <v>5.22</v>
      </c>
      <c r="G86" s="1">
        <f>VLOOKUP(Table7[[#This Row],[Student_ID]],student_data[#All],6,0)</f>
        <v>4</v>
      </c>
      <c r="H86" s="1">
        <f>VLOOKUP(Table7[[#This Row],[Student_ID]],student_internships[],2,0)</f>
        <v>1</v>
      </c>
      <c r="I86" s="1">
        <f>VLOOKUP(Table7[[#This Row],[Student_ID]],Placements!A86:E1085,5,0)</f>
        <v>4.18</v>
      </c>
      <c r="J86" s="1" t="str">
        <f>IF(VLOOKUP(Table7[[#This Row],[Student_ID]],student_data[#All],5,0)&gt;8,"HIGH",IF(VLOOKUP(Table7[[#This Row],[Student_ID]],student_data[#All],5,0)&lt;6.5,"LOW","MEDIUM"))</f>
        <v>LOW</v>
      </c>
    </row>
    <row r="87" spans="1:10" x14ac:dyDescent="0.2">
      <c r="A87" s="1" t="s">
        <v>96</v>
      </c>
      <c r="B87" s="1" t="str">
        <f>VLOOKUP(Table7[[#This Row],[Student_ID]],student_data[#All],2,0)</f>
        <v>Information Technology</v>
      </c>
      <c r="C87" s="1">
        <f>(VLOOKUP(Table7[[#This Row],[Student_ID]],student_data[],5,0)*5)+(VLOOKUP(Table7[[#This Row],[Student_ID]],student_data[],6,0)*3)+(VLOOKUP(Table7[[#This Row],[Student_ID]],student_skills[],6,0)*2)+(VLOOKUP(Table7[[#This Row],[Student_ID]],student_internships[],2,0)*5)</f>
        <v>52.55</v>
      </c>
      <c r="D87" s="1">
        <f>AVERAGE(VLOOKUP(Table7[[#This Row],[Student_ID]],student_skills[],3,0),VLOOKUP(Table7[[#This Row],[Student_ID]],student_skills[],4,0),VLOOKUP(Table7[[#This Row],[Student_ID]],student_skills[],5,0),VLOOKUP(Table7[[#This Row],[Student_ID]],student_skills[],6,0))</f>
        <v>2.75</v>
      </c>
      <c r="E87" s="1" t="str">
        <f>IF(VLOOKUP(Table7[[#This Row],[Student_ID]],student_internships[#All],2,0)&gt;1,"EXPERIENCED",IF(VLOOKUP(Table7[[#This Row],[Student_ID]],student_internships[#All],2,0)=1,"BEGINNER","NOT EXPERIENCED"))</f>
        <v>NOT EXPERIENCED</v>
      </c>
      <c r="F87" s="1">
        <f>VLOOKUP(Table7[[#This Row],[Student_ID]],student_data[],5,0)</f>
        <v>6.71</v>
      </c>
      <c r="G87" s="1">
        <f>VLOOKUP(Table7[[#This Row],[Student_ID]],student_data[#All],6,0)</f>
        <v>3</v>
      </c>
      <c r="H87" s="1">
        <f>VLOOKUP(Table7[[#This Row],[Student_ID]],student_internships[],2,0)</f>
        <v>0</v>
      </c>
      <c r="I87" s="1">
        <f>VLOOKUP(Table7[[#This Row],[Student_ID]],Placements!A87:E1086,5,0)</f>
        <v>4.5999999999999996</v>
      </c>
      <c r="J87" s="1" t="str">
        <f>IF(VLOOKUP(Table7[[#This Row],[Student_ID]],student_data[#All],5,0)&gt;8,"HIGH",IF(VLOOKUP(Table7[[#This Row],[Student_ID]],student_data[#All],5,0)&lt;6.5,"LOW","MEDIUM"))</f>
        <v>MEDIUM</v>
      </c>
    </row>
    <row r="88" spans="1:10" x14ac:dyDescent="0.2">
      <c r="A88" s="1" t="s">
        <v>97</v>
      </c>
      <c r="B88" s="1" t="str">
        <f>VLOOKUP(Table7[[#This Row],[Student_ID]],student_data[#All],2,0)</f>
        <v>Computer Science</v>
      </c>
      <c r="C88" s="1">
        <f>(VLOOKUP(Table7[[#This Row],[Student_ID]],student_data[],5,0)*5)+(VLOOKUP(Table7[[#This Row],[Student_ID]],student_data[],6,0)*3)+(VLOOKUP(Table7[[#This Row],[Student_ID]],student_skills[],6,0)*2)+(VLOOKUP(Table7[[#This Row],[Student_ID]],student_internships[],2,0)*5)</f>
        <v>63.8</v>
      </c>
      <c r="D88" s="1">
        <f>AVERAGE(VLOOKUP(Table7[[#This Row],[Student_ID]],student_skills[],3,0),VLOOKUP(Table7[[#This Row],[Student_ID]],student_skills[],4,0),VLOOKUP(Table7[[#This Row],[Student_ID]],student_skills[],5,0),VLOOKUP(Table7[[#This Row],[Student_ID]],student_skills[],6,0))</f>
        <v>6.75</v>
      </c>
      <c r="E88" s="1" t="str">
        <f>IF(VLOOKUP(Table7[[#This Row],[Student_ID]],student_internships[#All],2,0)&gt;1,"EXPERIENCED",IF(VLOOKUP(Table7[[#This Row],[Student_ID]],student_internships[#All],2,0)=1,"BEGINNER","NOT EXPERIENCED"))</f>
        <v>BEGINNER</v>
      </c>
      <c r="F88" s="1">
        <f>VLOOKUP(Table7[[#This Row],[Student_ID]],student_data[],5,0)</f>
        <v>8.16</v>
      </c>
      <c r="G88" s="1">
        <f>VLOOKUP(Table7[[#This Row],[Student_ID]],student_data[#All],6,0)</f>
        <v>0</v>
      </c>
      <c r="H88" s="1">
        <f>VLOOKUP(Table7[[#This Row],[Student_ID]],student_internships[],2,0)</f>
        <v>1</v>
      </c>
      <c r="I88" s="1">
        <f>VLOOKUP(Table7[[#This Row],[Student_ID]],Placements!A88:E1087,5,0)</f>
        <v>4.22</v>
      </c>
      <c r="J88" s="1" t="str">
        <f>IF(VLOOKUP(Table7[[#This Row],[Student_ID]],student_data[#All],5,0)&gt;8,"HIGH",IF(VLOOKUP(Table7[[#This Row],[Student_ID]],student_data[#All],5,0)&lt;6.5,"LOW","MEDIUM"))</f>
        <v>HIGH</v>
      </c>
    </row>
    <row r="89" spans="1:10" x14ac:dyDescent="0.2">
      <c r="A89" s="1" t="s">
        <v>98</v>
      </c>
      <c r="B89" s="1" t="str">
        <f>VLOOKUP(Table7[[#This Row],[Student_ID]],student_data[#All],2,0)</f>
        <v>Computer Science</v>
      </c>
      <c r="C89" s="1">
        <f>(VLOOKUP(Table7[[#This Row],[Student_ID]],student_data[],5,0)*5)+(VLOOKUP(Table7[[#This Row],[Student_ID]],student_data[],6,0)*3)+(VLOOKUP(Table7[[#This Row],[Student_ID]],student_skills[],6,0)*2)+(VLOOKUP(Table7[[#This Row],[Student_ID]],student_internships[],2,0)*5)</f>
        <v>33.75</v>
      </c>
      <c r="D89" s="1">
        <f>AVERAGE(VLOOKUP(Table7[[#This Row],[Student_ID]],student_skills[],3,0),VLOOKUP(Table7[[#This Row],[Student_ID]],student_skills[],4,0),VLOOKUP(Table7[[#This Row],[Student_ID]],student_skills[],5,0),VLOOKUP(Table7[[#This Row],[Student_ID]],student_skills[],6,0))</f>
        <v>4</v>
      </c>
      <c r="E89" s="1" t="str">
        <f>IF(VLOOKUP(Table7[[#This Row],[Student_ID]],student_internships[#All],2,0)&gt;1,"EXPERIENCED",IF(VLOOKUP(Table7[[#This Row],[Student_ID]],student_internships[#All],2,0)=1,"BEGINNER","NOT EXPERIENCED"))</f>
        <v>BEGINNER</v>
      </c>
      <c r="F89" s="1">
        <f>VLOOKUP(Table7[[#This Row],[Student_ID]],student_data[],5,0)</f>
        <v>5.35</v>
      </c>
      <c r="G89" s="1">
        <f>VLOOKUP(Table7[[#This Row],[Student_ID]],student_data[#All],6,0)</f>
        <v>0</v>
      </c>
      <c r="H89" s="1">
        <f>VLOOKUP(Table7[[#This Row],[Student_ID]],student_internships[],2,0)</f>
        <v>1</v>
      </c>
      <c r="I89" s="1">
        <f>VLOOKUP(Table7[[#This Row],[Student_ID]],Placements!A89:E1088,5,0)</f>
        <v>0</v>
      </c>
      <c r="J89" s="1" t="str">
        <f>IF(VLOOKUP(Table7[[#This Row],[Student_ID]],student_data[#All],5,0)&gt;8,"HIGH",IF(VLOOKUP(Table7[[#This Row],[Student_ID]],student_data[#All],5,0)&lt;6.5,"LOW","MEDIUM"))</f>
        <v>LOW</v>
      </c>
    </row>
    <row r="90" spans="1:10" x14ac:dyDescent="0.2">
      <c r="A90" s="1" t="s">
        <v>99</v>
      </c>
      <c r="B90" s="1" t="str">
        <f>VLOOKUP(Table7[[#This Row],[Student_ID]],student_data[#All],2,0)</f>
        <v>Computer Science</v>
      </c>
      <c r="C90" s="1">
        <f>(VLOOKUP(Table7[[#This Row],[Student_ID]],student_data[],5,0)*5)+(VLOOKUP(Table7[[#This Row],[Student_ID]],student_data[],6,0)*3)+(VLOOKUP(Table7[[#This Row],[Student_ID]],student_skills[],6,0)*2)+(VLOOKUP(Table7[[#This Row],[Student_ID]],student_internships[],2,0)*5)</f>
        <v>42.150000000000006</v>
      </c>
      <c r="D90" s="1">
        <f>AVERAGE(VLOOKUP(Table7[[#This Row],[Student_ID]],student_skills[],3,0),VLOOKUP(Table7[[#This Row],[Student_ID]],student_skills[],4,0),VLOOKUP(Table7[[#This Row],[Student_ID]],student_skills[],5,0),VLOOKUP(Table7[[#This Row],[Student_ID]],student_skills[],6,0))</f>
        <v>2</v>
      </c>
      <c r="E90" s="1" t="str">
        <f>IF(VLOOKUP(Table7[[#This Row],[Student_ID]],student_internships[#All],2,0)&gt;1,"EXPERIENCED",IF(VLOOKUP(Table7[[#This Row],[Student_ID]],student_internships[#All],2,0)=1,"BEGINNER","NOT EXPERIENCED"))</f>
        <v>EXPERIENCED</v>
      </c>
      <c r="F90" s="1">
        <f>VLOOKUP(Table7[[#This Row],[Student_ID]],student_data[],5,0)</f>
        <v>5.03</v>
      </c>
      <c r="G90" s="1">
        <f>VLOOKUP(Table7[[#This Row],[Student_ID]],student_data[#All],6,0)</f>
        <v>1</v>
      </c>
      <c r="H90" s="1">
        <f>VLOOKUP(Table7[[#This Row],[Student_ID]],student_internships[],2,0)</f>
        <v>2</v>
      </c>
      <c r="I90" s="1">
        <f>VLOOKUP(Table7[[#This Row],[Student_ID]],Placements!A90:E1089,5,0)</f>
        <v>6.32</v>
      </c>
      <c r="J90" s="1" t="str">
        <f>IF(VLOOKUP(Table7[[#This Row],[Student_ID]],student_data[#All],5,0)&gt;8,"HIGH",IF(VLOOKUP(Table7[[#This Row],[Student_ID]],student_data[#All],5,0)&lt;6.5,"LOW","MEDIUM"))</f>
        <v>LOW</v>
      </c>
    </row>
    <row r="91" spans="1:10" x14ac:dyDescent="0.2">
      <c r="A91" s="1" t="s">
        <v>100</v>
      </c>
      <c r="B91" s="1" t="str">
        <f>VLOOKUP(Table7[[#This Row],[Student_ID]],student_data[#All],2,0)</f>
        <v>Computer Science</v>
      </c>
      <c r="C91" s="1">
        <f>(VLOOKUP(Table7[[#This Row],[Student_ID]],student_data[],5,0)*5)+(VLOOKUP(Table7[[#This Row],[Student_ID]],student_data[],6,0)*3)+(VLOOKUP(Table7[[#This Row],[Student_ID]],student_skills[],6,0)*2)+(VLOOKUP(Table7[[#This Row],[Student_ID]],student_internships[],2,0)*5)</f>
        <v>80.449999999999989</v>
      </c>
      <c r="D91" s="1">
        <f>AVERAGE(VLOOKUP(Table7[[#This Row],[Student_ID]],student_skills[],3,0),VLOOKUP(Table7[[#This Row],[Student_ID]],student_skills[],4,0),VLOOKUP(Table7[[#This Row],[Student_ID]],student_skills[],5,0),VLOOKUP(Table7[[#This Row],[Student_ID]],student_skills[],6,0))</f>
        <v>3.75</v>
      </c>
      <c r="E91" s="1" t="str">
        <f>IF(VLOOKUP(Table7[[#This Row],[Student_ID]],student_internships[#All],2,0)&gt;1,"EXPERIENCED",IF(VLOOKUP(Table7[[#This Row],[Student_ID]],student_internships[#All],2,0)=1,"BEGINNER","NOT EXPERIENCED"))</f>
        <v>BEGINNER</v>
      </c>
      <c r="F91" s="1">
        <f>VLOOKUP(Table7[[#This Row],[Student_ID]],student_data[],5,0)</f>
        <v>9.69</v>
      </c>
      <c r="G91" s="1">
        <f>VLOOKUP(Table7[[#This Row],[Student_ID]],student_data[#All],6,0)</f>
        <v>5</v>
      </c>
      <c r="H91" s="1">
        <f>VLOOKUP(Table7[[#This Row],[Student_ID]],student_internships[],2,0)</f>
        <v>1</v>
      </c>
      <c r="I91" s="1">
        <f>VLOOKUP(Table7[[#This Row],[Student_ID]],Placements!A91:E1090,5,0)</f>
        <v>4.3</v>
      </c>
      <c r="J91" s="1" t="str">
        <f>IF(VLOOKUP(Table7[[#This Row],[Student_ID]],student_data[#All],5,0)&gt;8,"HIGH",IF(VLOOKUP(Table7[[#This Row],[Student_ID]],student_data[#All],5,0)&lt;6.5,"LOW","MEDIUM"))</f>
        <v>HIGH</v>
      </c>
    </row>
    <row r="92" spans="1:10" x14ac:dyDescent="0.2">
      <c r="A92" s="1" t="s">
        <v>101</v>
      </c>
      <c r="B92" s="1" t="str">
        <f>VLOOKUP(Table7[[#This Row],[Student_ID]],student_data[#All],2,0)</f>
        <v>Civil</v>
      </c>
      <c r="C92" s="1">
        <f>(VLOOKUP(Table7[[#This Row],[Student_ID]],student_data[],5,0)*5)+(VLOOKUP(Table7[[#This Row],[Student_ID]],student_data[],6,0)*3)+(VLOOKUP(Table7[[#This Row],[Student_ID]],student_skills[],6,0)*2)+(VLOOKUP(Table7[[#This Row],[Student_ID]],student_internships[],2,0)*5)</f>
        <v>77.55</v>
      </c>
      <c r="D92" s="1">
        <f>AVERAGE(VLOOKUP(Table7[[#This Row],[Student_ID]],student_skills[],3,0),VLOOKUP(Table7[[#This Row],[Student_ID]],student_skills[],4,0),VLOOKUP(Table7[[#This Row],[Student_ID]],student_skills[],5,0),VLOOKUP(Table7[[#This Row],[Student_ID]],student_skills[],6,0))</f>
        <v>4.5</v>
      </c>
      <c r="E92" s="1" t="str">
        <f>IF(VLOOKUP(Table7[[#This Row],[Student_ID]],student_internships[#All],2,0)&gt;1,"EXPERIENCED",IF(VLOOKUP(Table7[[#This Row],[Student_ID]],student_internships[#All],2,0)=1,"BEGINNER","NOT EXPERIENCED"))</f>
        <v>EXPERIENCED</v>
      </c>
      <c r="F92" s="1">
        <f>VLOOKUP(Table7[[#This Row],[Student_ID]],student_data[],5,0)</f>
        <v>9.11</v>
      </c>
      <c r="G92" s="1">
        <f>VLOOKUP(Table7[[#This Row],[Student_ID]],student_data[#All],6,0)</f>
        <v>4</v>
      </c>
      <c r="H92" s="1">
        <f>VLOOKUP(Table7[[#This Row],[Student_ID]],student_internships[],2,0)</f>
        <v>2</v>
      </c>
      <c r="I92" s="1">
        <f>VLOOKUP(Table7[[#This Row],[Student_ID]],Placements!A92:E1091,5,0)</f>
        <v>4.33</v>
      </c>
      <c r="J92" s="1" t="str">
        <f>IF(VLOOKUP(Table7[[#This Row],[Student_ID]],student_data[#All],5,0)&gt;8,"HIGH",IF(VLOOKUP(Table7[[#This Row],[Student_ID]],student_data[#All],5,0)&lt;6.5,"LOW","MEDIUM"))</f>
        <v>HIGH</v>
      </c>
    </row>
    <row r="93" spans="1:10" x14ac:dyDescent="0.2">
      <c r="A93" s="1" t="s">
        <v>102</v>
      </c>
      <c r="B93" s="1" t="str">
        <f>VLOOKUP(Table7[[#This Row],[Student_ID]],student_data[#All],2,0)</f>
        <v>Mechanical</v>
      </c>
      <c r="C93" s="1">
        <f>(VLOOKUP(Table7[[#This Row],[Student_ID]],student_data[],5,0)*5)+(VLOOKUP(Table7[[#This Row],[Student_ID]],student_data[],6,0)*3)+(VLOOKUP(Table7[[#This Row],[Student_ID]],student_skills[],6,0)*2)+(VLOOKUP(Table7[[#This Row],[Student_ID]],student_internships[],2,0)*5)</f>
        <v>70.25</v>
      </c>
      <c r="D93" s="1">
        <f>AVERAGE(VLOOKUP(Table7[[#This Row],[Student_ID]],student_skills[],3,0),VLOOKUP(Table7[[#This Row],[Student_ID]],student_skills[],4,0),VLOOKUP(Table7[[#This Row],[Student_ID]],student_skills[],5,0),VLOOKUP(Table7[[#This Row],[Student_ID]],student_skills[],6,0))</f>
        <v>3.5</v>
      </c>
      <c r="E93" s="1" t="str">
        <f>IF(VLOOKUP(Table7[[#This Row],[Student_ID]],student_internships[#All],2,0)&gt;1,"EXPERIENCED",IF(VLOOKUP(Table7[[#This Row],[Student_ID]],student_internships[#All],2,0)=1,"BEGINNER","NOT EXPERIENCED"))</f>
        <v>BEGINNER</v>
      </c>
      <c r="F93" s="1">
        <f>VLOOKUP(Table7[[#This Row],[Student_ID]],student_data[],5,0)</f>
        <v>9.0500000000000007</v>
      </c>
      <c r="G93" s="1">
        <f>VLOOKUP(Table7[[#This Row],[Student_ID]],student_data[#All],6,0)</f>
        <v>2</v>
      </c>
      <c r="H93" s="1">
        <f>VLOOKUP(Table7[[#This Row],[Student_ID]],student_internships[],2,0)</f>
        <v>1</v>
      </c>
      <c r="I93" s="1">
        <f>VLOOKUP(Table7[[#This Row],[Student_ID]],Placements!A93:E1092,5,0)</f>
        <v>5.98</v>
      </c>
      <c r="J93" s="1" t="str">
        <f>IF(VLOOKUP(Table7[[#This Row],[Student_ID]],student_data[#All],5,0)&gt;8,"HIGH",IF(VLOOKUP(Table7[[#This Row],[Student_ID]],student_data[#All],5,0)&lt;6.5,"LOW","MEDIUM"))</f>
        <v>HIGH</v>
      </c>
    </row>
    <row r="94" spans="1:10" x14ac:dyDescent="0.2">
      <c r="A94" s="1" t="s">
        <v>103</v>
      </c>
      <c r="B94" s="1" t="str">
        <f>VLOOKUP(Table7[[#This Row],[Student_ID]],student_data[#All],2,0)</f>
        <v>Mechanical</v>
      </c>
      <c r="C94" s="1">
        <f>(VLOOKUP(Table7[[#This Row],[Student_ID]],student_data[],5,0)*5)+(VLOOKUP(Table7[[#This Row],[Student_ID]],student_data[],6,0)*3)+(VLOOKUP(Table7[[#This Row],[Student_ID]],student_skills[],6,0)*2)+(VLOOKUP(Table7[[#This Row],[Student_ID]],student_internships[],2,0)*5)</f>
        <v>68.099999999999994</v>
      </c>
      <c r="D94" s="1">
        <f>AVERAGE(VLOOKUP(Table7[[#This Row],[Student_ID]],student_skills[],3,0),VLOOKUP(Table7[[#This Row],[Student_ID]],student_skills[],4,0),VLOOKUP(Table7[[#This Row],[Student_ID]],student_skills[],5,0),VLOOKUP(Table7[[#This Row],[Student_ID]],student_skills[],6,0))</f>
        <v>4.25</v>
      </c>
      <c r="E94" s="1" t="str">
        <f>IF(VLOOKUP(Table7[[#This Row],[Student_ID]],student_internships[#All],2,0)&gt;1,"EXPERIENCED",IF(VLOOKUP(Table7[[#This Row],[Student_ID]],student_internships[#All],2,0)=1,"BEGINNER","NOT EXPERIENCED"))</f>
        <v>NOT EXPERIENCED</v>
      </c>
      <c r="F94" s="1">
        <f>VLOOKUP(Table7[[#This Row],[Student_ID]],student_data[],5,0)</f>
        <v>9.42</v>
      </c>
      <c r="G94" s="1">
        <f>VLOOKUP(Table7[[#This Row],[Student_ID]],student_data[#All],6,0)</f>
        <v>5</v>
      </c>
      <c r="H94" s="1">
        <f>VLOOKUP(Table7[[#This Row],[Student_ID]],student_internships[],2,0)</f>
        <v>0</v>
      </c>
      <c r="I94" s="1">
        <f>VLOOKUP(Table7[[#This Row],[Student_ID]],Placements!A94:E1093,5,0)</f>
        <v>5.55</v>
      </c>
      <c r="J94" s="1" t="str">
        <f>IF(VLOOKUP(Table7[[#This Row],[Student_ID]],student_data[#All],5,0)&gt;8,"HIGH",IF(VLOOKUP(Table7[[#This Row],[Student_ID]],student_data[#All],5,0)&lt;6.5,"LOW","MEDIUM"))</f>
        <v>HIGH</v>
      </c>
    </row>
    <row r="95" spans="1:10" x14ac:dyDescent="0.2">
      <c r="A95" s="1" t="s">
        <v>104</v>
      </c>
      <c r="B95" s="1" t="str">
        <f>VLOOKUP(Table7[[#This Row],[Student_ID]],student_data[#All],2,0)</f>
        <v>Computer Science</v>
      </c>
      <c r="C95" s="1">
        <f>(VLOOKUP(Table7[[#This Row],[Student_ID]],student_data[],5,0)*5)+(VLOOKUP(Table7[[#This Row],[Student_ID]],student_data[],6,0)*3)+(VLOOKUP(Table7[[#This Row],[Student_ID]],student_skills[],6,0)*2)+(VLOOKUP(Table7[[#This Row],[Student_ID]],student_internships[],2,0)*5)</f>
        <v>64.5</v>
      </c>
      <c r="D95" s="1">
        <f>AVERAGE(VLOOKUP(Table7[[#This Row],[Student_ID]],student_skills[],3,0),VLOOKUP(Table7[[#This Row],[Student_ID]],student_skills[],4,0),VLOOKUP(Table7[[#This Row],[Student_ID]],student_skills[],5,0),VLOOKUP(Table7[[#This Row],[Student_ID]],student_skills[],6,0))</f>
        <v>3.75</v>
      </c>
      <c r="E95" s="1" t="str">
        <f>IF(VLOOKUP(Table7[[#This Row],[Student_ID]],student_internships[#All],2,0)&gt;1,"EXPERIENCED",IF(VLOOKUP(Table7[[#This Row],[Student_ID]],student_internships[#All],2,0)=1,"BEGINNER","NOT EXPERIENCED"))</f>
        <v>EXPERIENCED</v>
      </c>
      <c r="F95" s="1">
        <f>VLOOKUP(Table7[[#This Row],[Student_ID]],student_data[],5,0)</f>
        <v>8.5</v>
      </c>
      <c r="G95" s="1">
        <f>VLOOKUP(Table7[[#This Row],[Student_ID]],student_data[#All],6,0)</f>
        <v>2</v>
      </c>
      <c r="H95" s="1">
        <f>VLOOKUP(Table7[[#This Row],[Student_ID]],student_internships[],2,0)</f>
        <v>2</v>
      </c>
      <c r="I95" s="1">
        <f>VLOOKUP(Table7[[#This Row],[Student_ID]],Placements!A95:E1094,5,0)</f>
        <v>3.92</v>
      </c>
      <c r="J95" s="1" t="str">
        <f>IF(VLOOKUP(Table7[[#This Row],[Student_ID]],student_data[#All],5,0)&gt;8,"HIGH",IF(VLOOKUP(Table7[[#This Row],[Student_ID]],student_data[#All],5,0)&lt;6.5,"LOW","MEDIUM"))</f>
        <v>HIGH</v>
      </c>
    </row>
    <row r="96" spans="1:10" x14ac:dyDescent="0.2">
      <c r="A96" s="1" t="s">
        <v>105</v>
      </c>
      <c r="B96" s="1" t="str">
        <f>VLOOKUP(Table7[[#This Row],[Student_ID]],student_data[#All],2,0)</f>
        <v>Mechanical</v>
      </c>
      <c r="C96" s="1">
        <f>(VLOOKUP(Table7[[#This Row],[Student_ID]],student_data[],5,0)*5)+(VLOOKUP(Table7[[#This Row],[Student_ID]],student_data[],6,0)*3)+(VLOOKUP(Table7[[#This Row],[Student_ID]],student_skills[],6,0)*2)+(VLOOKUP(Table7[[#This Row],[Student_ID]],student_internships[],2,0)*5)</f>
        <v>60.599999999999994</v>
      </c>
      <c r="D96" s="1">
        <f>AVERAGE(VLOOKUP(Table7[[#This Row],[Student_ID]],student_skills[],3,0),VLOOKUP(Table7[[#This Row],[Student_ID]],student_skills[],4,0),VLOOKUP(Table7[[#This Row],[Student_ID]],student_skills[],5,0),VLOOKUP(Table7[[#This Row],[Student_ID]],student_skills[],6,0))</f>
        <v>4.5</v>
      </c>
      <c r="E96" s="1" t="str">
        <f>IF(VLOOKUP(Table7[[#This Row],[Student_ID]],student_internships[#All],2,0)&gt;1,"EXPERIENCED",IF(VLOOKUP(Table7[[#This Row],[Student_ID]],student_internships[#All],2,0)=1,"BEGINNER","NOT EXPERIENCED"))</f>
        <v>EXPERIENCED</v>
      </c>
      <c r="F96" s="1">
        <f>VLOOKUP(Table7[[#This Row],[Student_ID]],student_data[],5,0)</f>
        <v>5.52</v>
      </c>
      <c r="G96" s="1">
        <f>VLOOKUP(Table7[[#This Row],[Student_ID]],student_data[#All],6,0)</f>
        <v>1</v>
      </c>
      <c r="H96" s="1">
        <f>VLOOKUP(Table7[[#This Row],[Student_ID]],student_internships[],2,0)</f>
        <v>2</v>
      </c>
      <c r="I96" s="1">
        <f>VLOOKUP(Table7[[#This Row],[Student_ID]],Placements!A96:E1095,5,0)</f>
        <v>5.1100000000000003</v>
      </c>
      <c r="J96" s="1" t="str">
        <f>IF(VLOOKUP(Table7[[#This Row],[Student_ID]],student_data[#All],5,0)&gt;8,"HIGH",IF(VLOOKUP(Table7[[#This Row],[Student_ID]],student_data[#All],5,0)&lt;6.5,"LOW","MEDIUM"))</f>
        <v>LOW</v>
      </c>
    </row>
    <row r="97" spans="1:10" x14ac:dyDescent="0.2">
      <c r="A97" s="1" t="s">
        <v>106</v>
      </c>
      <c r="B97" s="1" t="str">
        <f>VLOOKUP(Table7[[#This Row],[Student_ID]],student_data[#All],2,0)</f>
        <v>Mechanical</v>
      </c>
      <c r="C97" s="1">
        <f>(VLOOKUP(Table7[[#This Row],[Student_ID]],student_data[],5,0)*5)+(VLOOKUP(Table7[[#This Row],[Student_ID]],student_data[],6,0)*3)+(VLOOKUP(Table7[[#This Row],[Student_ID]],student_skills[],6,0)*2)+(VLOOKUP(Table7[[#This Row],[Student_ID]],student_internships[],2,0)*5)</f>
        <v>47</v>
      </c>
      <c r="D97" s="1">
        <f>AVERAGE(VLOOKUP(Table7[[#This Row],[Student_ID]],student_skills[],3,0),VLOOKUP(Table7[[#This Row],[Student_ID]],student_skills[],4,0),VLOOKUP(Table7[[#This Row],[Student_ID]],student_skills[],5,0),VLOOKUP(Table7[[#This Row],[Student_ID]],student_skills[],6,0))</f>
        <v>5.75</v>
      </c>
      <c r="E97" s="1" t="str">
        <f>IF(VLOOKUP(Table7[[#This Row],[Student_ID]],student_internships[#All],2,0)&gt;1,"EXPERIENCED",IF(VLOOKUP(Table7[[#This Row],[Student_ID]],student_internships[#All],2,0)=1,"BEGINNER","NOT EXPERIENCED"))</f>
        <v>BEGINNER</v>
      </c>
      <c r="F97" s="1">
        <f>VLOOKUP(Table7[[#This Row],[Student_ID]],student_data[],5,0)</f>
        <v>7</v>
      </c>
      <c r="G97" s="1">
        <f>VLOOKUP(Table7[[#This Row],[Student_ID]],student_data[#All],6,0)</f>
        <v>1</v>
      </c>
      <c r="H97" s="1">
        <f>VLOOKUP(Table7[[#This Row],[Student_ID]],student_internships[],2,0)</f>
        <v>1</v>
      </c>
      <c r="I97" s="1">
        <f>VLOOKUP(Table7[[#This Row],[Student_ID]],Placements!A97:E1096,5,0)</f>
        <v>12.72</v>
      </c>
      <c r="J97" s="1" t="str">
        <f>IF(VLOOKUP(Table7[[#This Row],[Student_ID]],student_data[#All],5,0)&gt;8,"HIGH",IF(VLOOKUP(Table7[[#This Row],[Student_ID]],student_data[#All],5,0)&lt;6.5,"LOW","MEDIUM"))</f>
        <v>MEDIUM</v>
      </c>
    </row>
    <row r="98" spans="1:10" x14ac:dyDescent="0.2">
      <c r="A98" s="1" t="s">
        <v>107</v>
      </c>
      <c r="B98" s="1" t="str">
        <f>VLOOKUP(Table7[[#This Row],[Student_ID]],student_data[#All],2,0)</f>
        <v>Computer Science</v>
      </c>
      <c r="C98" s="1">
        <f>(VLOOKUP(Table7[[#This Row],[Student_ID]],student_data[],5,0)*5)+(VLOOKUP(Table7[[#This Row],[Student_ID]],student_data[],6,0)*3)+(VLOOKUP(Table7[[#This Row],[Student_ID]],student_skills[],6,0)*2)+(VLOOKUP(Table7[[#This Row],[Student_ID]],student_internships[],2,0)*5)</f>
        <v>68.099999999999994</v>
      </c>
      <c r="D98" s="1">
        <f>AVERAGE(VLOOKUP(Table7[[#This Row],[Student_ID]],student_skills[],3,0),VLOOKUP(Table7[[#This Row],[Student_ID]],student_skills[],4,0),VLOOKUP(Table7[[#This Row],[Student_ID]],student_skills[],5,0),VLOOKUP(Table7[[#This Row],[Student_ID]],student_skills[],6,0))</f>
        <v>6.25</v>
      </c>
      <c r="E98" s="1" t="str">
        <f>IF(VLOOKUP(Table7[[#This Row],[Student_ID]],student_internships[#All],2,0)&gt;1,"EXPERIENCED",IF(VLOOKUP(Table7[[#This Row],[Student_ID]],student_internships[#All],2,0)=1,"BEGINNER","NOT EXPERIENCED"))</f>
        <v>EXPERIENCED</v>
      </c>
      <c r="F98" s="1">
        <f>VLOOKUP(Table7[[#This Row],[Student_ID]],student_data[],5,0)</f>
        <v>8.6199999999999992</v>
      </c>
      <c r="G98" s="1">
        <f>VLOOKUP(Table7[[#This Row],[Student_ID]],student_data[#All],6,0)</f>
        <v>3</v>
      </c>
      <c r="H98" s="1">
        <f>VLOOKUP(Table7[[#This Row],[Student_ID]],student_internships[],2,0)</f>
        <v>2</v>
      </c>
      <c r="I98" s="1">
        <f>VLOOKUP(Table7[[#This Row],[Student_ID]],Placements!A98:E1097,5,0)</f>
        <v>11.59</v>
      </c>
      <c r="J98" s="1" t="str">
        <f>IF(VLOOKUP(Table7[[#This Row],[Student_ID]],student_data[#All],5,0)&gt;8,"HIGH",IF(VLOOKUP(Table7[[#This Row],[Student_ID]],student_data[#All],5,0)&lt;6.5,"LOW","MEDIUM"))</f>
        <v>HIGH</v>
      </c>
    </row>
    <row r="99" spans="1:10" x14ac:dyDescent="0.2">
      <c r="A99" s="1" t="s">
        <v>108</v>
      </c>
      <c r="B99" s="1" t="str">
        <f>VLOOKUP(Table7[[#This Row],[Student_ID]],student_data[#All],2,0)</f>
        <v>Mechanical</v>
      </c>
      <c r="C99" s="1">
        <f>(VLOOKUP(Table7[[#This Row],[Student_ID]],student_data[],5,0)*5)+(VLOOKUP(Table7[[#This Row],[Student_ID]],student_data[],6,0)*3)+(VLOOKUP(Table7[[#This Row],[Student_ID]],student_skills[],6,0)*2)+(VLOOKUP(Table7[[#This Row],[Student_ID]],student_internships[],2,0)*5)</f>
        <v>60</v>
      </c>
      <c r="D99" s="1">
        <f>AVERAGE(VLOOKUP(Table7[[#This Row],[Student_ID]],student_skills[],3,0),VLOOKUP(Table7[[#This Row],[Student_ID]],student_skills[],4,0),VLOOKUP(Table7[[#This Row],[Student_ID]],student_skills[],5,0),VLOOKUP(Table7[[#This Row],[Student_ID]],student_skills[],6,0))</f>
        <v>6</v>
      </c>
      <c r="E99" s="1" t="str">
        <f>IF(VLOOKUP(Table7[[#This Row],[Student_ID]],student_internships[#All],2,0)&gt;1,"EXPERIENCED",IF(VLOOKUP(Table7[[#This Row],[Student_ID]],student_internships[#All],2,0)=1,"BEGINNER","NOT EXPERIENCED"))</f>
        <v>BEGINNER</v>
      </c>
      <c r="F99" s="1">
        <f>VLOOKUP(Table7[[#This Row],[Student_ID]],student_data[],5,0)</f>
        <v>6.4</v>
      </c>
      <c r="G99" s="1">
        <f>VLOOKUP(Table7[[#This Row],[Student_ID]],student_data[#All],6,0)</f>
        <v>1</v>
      </c>
      <c r="H99" s="1">
        <f>VLOOKUP(Table7[[#This Row],[Student_ID]],student_internships[],2,0)</f>
        <v>1</v>
      </c>
      <c r="I99" s="1">
        <f>VLOOKUP(Table7[[#This Row],[Student_ID]],Placements!A99:E1098,5,0)</f>
        <v>4.58</v>
      </c>
      <c r="J99" s="1" t="str">
        <f>IF(VLOOKUP(Table7[[#This Row],[Student_ID]],student_data[#All],5,0)&gt;8,"HIGH",IF(VLOOKUP(Table7[[#This Row],[Student_ID]],student_data[#All],5,0)&lt;6.5,"LOW","MEDIUM"))</f>
        <v>LOW</v>
      </c>
    </row>
    <row r="100" spans="1:10" x14ac:dyDescent="0.2">
      <c r="A100" s="1" t="s">
        <v>109</v>
      </c>
      <c r="B100" s="1" t="str">
        <f>VLOOKUP(Table7[[#This Row],[Student_ID]],student_data[#All],2,0)</f>
        <v>Information Technology</v>
      </c>
      <c r="C100" s="1">
        <f>(VLOOKUP(Table7[[#This Row],[Student_ID]],student_data[],5,0)*5)+(VLOOKUP(Table7[[#This Row],[Student_ID]],student_data[],6,0)*3)+(VLOOKUP(Table7[[#This Row],[Student_ID]],student_skills[],6,0)*2)+(VLOOKUP(Table7[[#This Row],[Student_ID]],student_internships[],2,0)*5)</f>
        <v>52.199999999999996</v>
      </c>
      <c r="D100" s="1">
        <f>AVERAGE(VLOOKUP(Table7[[#This Row],[Student_ID]],student_skills[],3,0),VLOOKUP(Table7[[#This Row],[Student_ID]],student_skills[],4,0),VLOOKUP(Table7[[#This Row],[Student_ID]],student_skills[],5,0),VLOOKUP(Table7[[#This Row],[Student_ID]],student_skills[],6,0))</f>
        <v>4.25</v>
      </c>
      <c r="E100" s="1" t="str">
        <f>IF(VLOOKUP(Table7[[#This Row],[Student_ID]],student_internships[#All],2,0)&gt;1,"EXPERIENCED",IF(VLOOKUP(Table7[[#This Row],[Student_ID]],student_internships[#All],2,0)=1,"BEGINNER","NOT EXPERIENCED"))</f>
        <v>BEGINNER</v>
      </c>
      <c r="F100" s="1">
        <f>VLOOKUP(Table7[[#This Row],[Student_ID]],student_data[],5,0)</f>
        <v>8.44</v>
      </c>
      <c r="G100" s="1">
        <f>VLOOKUP(Table7[[#This Row],[Student_ID]],student_data[#All],6,0)</f>
        <v>1</v>
      </c>
      <c r="H100" s="1">
        <f>VLOOKUP(Table7[[#This Row],[Student_ID]],student_internships[],2,0)</f>
        <v>1</v>
      </c>
      <c r="I100" s="1">
        <f>VLOOKUP(Table7[[#This Row],[Student_ID]],Placements!A100:E1099,5,0)</f>
        <v>5.27</v>
      </c>
      <c r="J100" s="1" t="str">
        <f>IF(VLOOKUP(Table7[[#This Row],[Student_ID]],student_data[#All],5,0)&gt;8,"HIGH",IF(VLOOKUP(Table7[[#This Row],[Student_ID]],student_data[#All],5,0)&lt;6.5,"LOW","MEDIUM"))</f>
        <v>HIGH</v>
      </c>
    </row>
    <row r="101" spans="1:10" x14ac:dyDescent="0.2">
      <c r="A101" s="1" t="s">
        <v>110</v>
      </c>
      <c r="B101" s="1" t="str">
        <f>VLOOKUP(Table7[[#This Row],[Student_ID]],student_data[#All],2,0)</f>
        <v>Electronics</v>
      </c>
      <c r="C101" s="1">
        <f>(VLOOKUP(Table7[[#This Row],[Student_ID]],student_data[],5,0)*5)+(VLOOKUP(Table7[[#This Row],[Student_ID]],student_data[],6,0)*3)+(VLOOKUP(Table7[[#This Row],[Student_ID]],student_skills[],6,0)*2)+(VLOOKUP(Table7[[#This Row],[Student_ID]],student_internships[],2,0)*5)</f>
        <v>46.6</v>
      </c>
      <c r="D101" s="1">
        <f>AVERAGE(VLOOKUP(Table7[[#This Row],[Student_ID]],student_skills[],3,0),VLOOKUP(Table7[[#This Row],[Student_ID]],student_skills[],4,0),VLOOKUP(Table7[[#This Row],[Student_ID]],student_skills[],5,0),VLOOKUP(Table7[[#This Row],[Student_ID]],student_skills[],6,0))</f>
        <v>4.25</v>
      </c>
      <c r="E101" s="1" t="str">
        <f>IF(VLOOKUP(Table7[[#This Row],[Student_ID]],student_internships[#All],2,0)&gt;1,"EXPERIENCED",IF(VLOOKUP(Table7[[#This Row],[Student_ID]],student_internships[#All],2,0)=1,"BEGINNER","NOT EXPERIENCED"))</f>
        <v>BEGINNER</v>
      </c>
      <c r="F101" s="1">
        <f>VLOOKUP(Table7[[#This Row],[Student_ID]],student_data[],5,0)</f>
        <v>5.12</v>
      </c>
      <c r="G101" s="1">
        <f>VLOOKUP(Table7[[#This Row],[Student_ID]],student_data[#All],6,0)</f>
        <v>2</v>
      </c>
      <c r="H101" s="1">
        <f>VLOOKUP(Table7[[#This Row],[Student_ID]],student_internships[],2,0)</f>
        <v>1</v>
      </c>
      <c r="I101" s="1">
        <f>VLOOKUP(Table7[[#This Row],[Student_ID]],Placements!A101:E1100,5,0)</f>
        <v>5.32</v>
      </c>
      <c r="J101" s="1" t="str">
        <f>IF(VLOOKUP(Table7[[#This Row],[Student_ID]],student_data[#All],5,0)&gt;8,"HIGH",IF(VLOOKUP(Table7[[#This Row],[Student_ID]],student_data[#All],5,0)&lt;6.5,"LOW","MEDIUM"))</f>
        <v>LOW</v>
      </c>
    </row>
    <row r="102" spans="1:10" x14ac:dyDescent="0.2">
      <c r="A102" s="1" t="s">
        <v>111</v>
      </c>
      <c r="B102" s="1" t="str">
        <f>VLOOKUP(Table7[[#This Row],[Student_ID]],student_data[#All],2,0)</f>
        <v>Electronics</v>
      </c>
      <c r="C102" s="1">
        <f>(VLOOKUP(Table7[[#This Row],[Student_ID]],student_data[],5,0)*5)+(VLOOKUP(Table7[[#This Row],[Student_ID]],student_data[],6,0)*3)+(VLOOKUP(Table7[[#This Row],[Student_ID]],student_skills[],6,0)*2)+(VLOOKUP(Table7[[#This Row],[Student_ID]],student_internships[],2,0)*5)</f>
        <v>51.65</v>
      </c>
      <c r="D102" s="1">
        <f>AVERAGE(VLOOKUP(Table7[[#This Row],[Student_ID]],student_skills[],3,0),VLOOKUP(Table7[[#This Row],[Student_ID]],student_skills[],4,0),VLOOKUP(Table7[[#This Row],[Student_ID]],student_skills[],5,0),VLOOKUP(Table7[[#This Row],[Student_ID]],student_skills[],6,0))</f>
        <v>7.25</v>
      </c>
      <c r="E102" s="1" t="str">
        <f>IF(VLOOKUP(Table7[[#This Row],[Student_ID]],student_internships[#All],2,0)&gt;1,"EXPERIENCED",IF(VLOOKUP(Table7[[#This Row],[Student_ID]],student_internships[#All],2,0)=1,"BEGINNER","NOT EXPERIENCED"))</f>
        <v>NOT EXPERIENCED</v>
      </c>
      <c r="F102" s="1">
        <f>VLOOKUP(Table7[[#This Row],[Student_ID]],student_data[],5,0)</f>
        <v>6.53</v>
      </c>
      <c r="G102" s="1">
        <f>VLOOKUP(Table7[[#This Row],[Student_ID]],student_data[#All],6,0)</f>
        <v>3</v>
      </c>
      <c r="H102" s="1">
        <f>VLOOKUP(Table7[[#This Row],[Student_ID]],student_internships[],2,0)</f>
        <v>0</v>
      </c>
      <c r="I102" s="1">
        <f>VLOOKUP(Table7[[#This Row],[Student_ID]],Placements!A102:E1101,5,0)</f>
        <v>14.61</v>
      </c>
      <c r="J102" s="1" t="str">
        <f>IF(VLOOKUP(Table7[[#This Row],[Student_ID]],student_data[#All],5,0)&gt;8,"HIGH",IF(VLOOKUP(Table7[[#This Row],[Student_ID]],student_data[#All],5,0)&lt;6.5,"LOW","MEDIUM"))</f>
        <v>MEDIUM</v>
      </c>
    </row>
    <row r="103" spans="1:10" x14ac:dyDescent="0.2">
      <c r="A103" s="1" t="s">
        <v>112</v>
      </c>
      <c r="B103" s="1" t="str">
        <f>VLOOKUP(Table7[[#This Row],[Student_ID]],student_data[#All],2,0)</f>
        <v>Computer Science</v>
      </c>
      <c r="C103" s="1">
        <f>(VLOOKUP(Table7[[#This Row],[Student_ID]],student_data[],5,0)*5)+(VLOOKUP(Table7[[#This Row],[Student_ID]],student_data[],6,0)*3)+(VLOOKUP(Table7[[#This Row],[Student_ID]],student_skills[],6,0)*2)+(VLOOKUP(Table7[[#This Row],[Student_ID]],student_internships[],2,0)*5)</f>
        <v>55.75</v>
      </c>
      <c r="D103" s="1">
        <f>AVERAGE(VLOOKUP(Table7[[#This Row],[Student_ID]],student_skills[],3,0),VLOOKUP(Table7[[#This Row],[Student_ID]],student_skills[],4,0),VLOOKUP(Table7[[#This Row],[Student_ID]],student_skills[],5,0),VLOOKUP(Table7[[#This Row],[Student_ID]],student_skills[],6,0))</f>
        <v>8</v>
      </c>
      <c r="E103" s="1" t="str">
        <f>IF(VLOOKUP(Table7[[#This Row],[Student_ID]],student_internships[#All],2,0)&gt;1,"EXPERIENCED",IF(VLOOKUP(Table7[[#This Row],[Student_ID]],student_internships[#All],2,0)=1,"BEGINNER","NOT EXPERIENCED"))</f>
        <v>NOT EXPERIENCED</v>
      </c>
      <c r="F103" s="1">
        <f>VLOOKUP(Table7[[#This Row],[Student_ID]],student_data[],5,0)</f>
        <v>7.75</v>
      </c>
      <c r="G103" s="1">
        <f>VLOOKUP(Table7[[#This Row],[Student_ID]],student_data[#All],6,0)</f>
        <v>1</v>
      </c>
      <c r="H103" s="1">
        <f>VLOOKUP(Table7[[#This Row],[Student_ID]],student_internships[],2,0)</f>
        <v>0</v>
      </c>
      <c r="I103" s="1">
        <f>VLOOKUP(Table7[[#This Row],[Student_ID]],Placements!A103:E1102,5,0)</f>
        <v>6.62</v>
      </c>
      <c r="J103" s="1" t="str">
        <f>IF(VLOOKUP(Table7[[#This Row],[Student_ID]],student_data[#All],5,0)&gt;8,"HIGH",IF(VLOOKUP(Table7[[#This Row],[Student_ID]],student_data[#All],5,0)&lt;6.5,"LOW","MEDIUM"))</f>
        <v>MEDIUM</v>
      </c>
    </row>
    <row r="104" spans="1:10" x14ac:dyDescent="0.2">
      <c r="A104" s="1" t="s">
        <v>113</v>
      </c>
      <c r="B104" s="1" t="str">
        <f>VLOOKUP(Table7[[#This Row],[Student_ID]],student_data[#All],2,0)</f>
        <v>Civil</v>
      </c>
      <c r="C104" s="1">
        <f>(VLOOKUP(Table7[[#This Row],[Student_ID]],student_data[],5,0)*5)+(VLOOKUP(Table7[[#This Row],[Student_ID]],student_data[],6,0)*3)+(VLOOKUP(Table7[[#This Row],[Student_ID]],student_skills[],6,0)*2)+(VLOOKUP(Table7[[#This Row],[Student_ID]],student_internships[],2,0)*5)</f>
        <v>63.8</v>
      </c>
      <c r="D104" s="1">
        <f>AVERAGE(VLOOKUP(Table7[[#This Row],[Student_ID]],student_skills[],3,0),VLOOKUP(Table7[[#This Row],[Student_ID]],student_skills[],4,0),VLOOKUP(Table7[[#This Row],[Student_ID]],student_skills[],5,0),VLOOKUP(Table7[[#This Row],[Student_ID]],student_skills[],6,0))</f>
        <v>4.25</v>
      </c>
      <c r="E104" s="1" t="str">
        <f>IF(VLOOKUP(Table7[[#This Row],[Student_ID]],student_internships[#All],2,0)&gt;1,"EXPERIENCED",IF(VLOOKUP(Table7[[#This Row],[Student_ID]],student_internships[#All],2,0)=1,"BEGINNER","NOT EXPERIENCED"))</f>
        <v>NOT EXPERIENCED</v>
      </c>
      <c r="F104" s="1">
        <f>VLOOKUP(Table7[[#This Row],[Student_ID]],student_data[],5,0)</f>
        <v>8.16</v>
      </c>
      <c r="G104" s="1">
        <f>VLOOKUP(Table7[[#This Row],[Student_ID]],student_data[#All],6,0)</f>
        <v>5</v>
      </c>
      <c r="H104" s="1">
        <f>VLOOKUP(Table7[[#This Row],[Student_ID]],student_internships[],2,0)</f>
        <v>0</v>
      </c>
      <c r="I104" s="1">
        <f>VLOOKUP(Table7[[#This Row],[Student_ID]],Placements!A104:E1103,5,0)</f>
        <v>0</v>
      </c>
      <c r="J104" s="1" t="str">
        <f>IF(VLOOKUP(Table7[[#This Row],[Student_ID]],student_data[#All],5,0)&gt;8,"HIGH",IF(VLOOKUP(Table7[[#This Row],[Student_ID]],student_data[#All],5,0)&lt;6.5,"LOW","MEDIUM"))</f>
        <v>HIGH</v>
      </c>
    </row>
    <row r="105" spans="1:10" x14ac:dyDescent="0.2">
      <c r="A105" s="1" t="s">
        <v>114</v>
      </c>
      <c r="B105" s="1" t="str">
        <f>VLOOKUP(Table7[[#This Row],[Student_ID]],student_data[#All],2,0)</f>
        <v>Computer Science</v>
      </c>
      <c r="C105" s="1">
        <f>(VLOOKUP(Table7[[#This Row],[Student_ID]],student_data[],5,0)*5)+(VLOOKUP(Table7[[#This Row],[Student_ID]],student_data[],6,0)*3)+(VLOOKUP(Table7[[#This Row],[Student_ID]],student_skills[],6,0)*2)+(VLOOKUP(Table7[[#This Row],[Student_ID]],student_internships[],2,0)*5)</f>
        <v>53.449999999999996</v>
      </c>
      <c r="D105" s="1">
        <f>AVERAGE(VLOOKUP(Table7[[#This Row],[Student_ID]],student_skills[],3,0),VLOOKUP(Table7[[#This Row],[Student_ID]],student_skills[],4,0),VLOOKUP(Table7[[#This Row],[Student_ID]],student_skills[],5,0),VLOOKUP(Table7[[#This Row],[Student_ID]],student_skills[],6,0))</f>
        <v>2.25</v>
      </c>
      <c r="E105" s="1" t="str">
        <f>IF(VLOOKUP(Table7[[#This Row],[Student_ID]],student_internships[#All],2,0)&gt;1,"EXPERIENCED",IF(VLOOKUP(Table7[[#This Row],[Student_ID]],student_internships[#All],2,0)=1,"BEGINNER","NOT EXPERIENCED"))</f>
        <v>BEGINNER</v>
      </c>
      <c r="F105" s="1">
        <f>VLOOKUP(Table7[[#This Row],[Student_ID]],student_data[],5,0)</f>
        <v>7.89</v>
      </c>
      <c r="G105" s="1">
        <f>VLOOKUP(Table7[[#This Row],[Student_ID]],student_data[#All],6,0)</f>
        <v>1</v>
      </c>
      <c r="H105" s="1">
        <f>VLOOKUP(Table7[[#This Row],[Student_ID]],student_internships[],2,0)</f>
        <v>1</v>
      </c>
      <c r="I105" s="1">
        <f>VLOOKUP(Table7[[#This Row],[Student_ID]],Placements!A105:E1104,5,0)</f>
        <v>6.96</v>
      </c>
      <c r="J105" s="1" t="str">
        <f>IF(VLOOKUP(Table7[[#This Row],[Student_ID]],student_data[#All],5,0)&gt;8,"HIGH",IF(VLOOKUP(Table7[[#This Row],[Student_ID]],student_data[#All],5,0)&lt;6.5,"LOW","MEDIUM"))</f>
        <v>MEDIUM</v>
      </c>
    </row>
    <row r="106" spans="1:10" x14ac:dyDescent="0.2">
      <c r="A106" s="1" t="s">
        <v>115</v>
      </c>
      <c r="B106" s="1" t="str">
        <f>VLOOKUP(Table7[[#This Row],[Student_ID]],student_data[#All],2,0)</f>
        <v>Civil</v>
      </c>
      <c r="C106" s="1">
        <f>(VLOOKUP(Table7[[#This Row],[Student_ID]],student_data[],5,0)*5)+(VLOOKUP(Table7[[#This Row],[Student_ID]],student_data[],6,0)*3)+(VLOOKUP(Table7[[#This Row],[Student_ID]],student_skills[],6,0)*2)+(VLOOKUP(Table7[[#This Row],[Student_ID]],student_internships[],2,0)*5)</f>
        <v>58.45</v>
      </c>
      <c r="D106" s="1">
        <f>AVERAGE(VLOOKUP(Table7[[#This Row],[Student_ID]],student_skills[],3,0),VLOOKUP(Table7[[#This Row],[Student_ID]],student_skills[],4,0),VLOOKUP(Table7[[#This Row],[Student_ID]],student_skills[],5,0),VLOOKUP(Table7[[#This Row],[Student_ID]],student_skills[],6,0))</f>
        <v>6.25</v>
      </c>
      <c r="E106" s="1" t="str">
        <f>IF(VLOOKUP(Table7[[#This Row],[Student_ID]],student_internships[#All],2,0)&gt;1,"EXPERIENCED",IF(VLOOKUP(Table7[[#This Row],[Student_ID]],student_internships[#All],2,0)=1,"BEGINNER","NOT EXPERIENCED"))</f>
        <v>BEGINNER</v>
      </c>
      <c r="F106" s="1">
        <f>VLOOKUP(Table7[[#This Row],[Student_ID]],student_data[],5,0)</f>
        <v>8.49</v>
      </c>
      <c r="G106" s="1">
        <f>VLOOKUP(Table7[[#This Row],[Student_ID]],student_data[#All],6,0)</f>
        <v>3</v>
      </c>
      <c r="H106" s="1">
        <f>VLOOKUP(Table7[[#This Row],[Student_ID]],student_internships[],2,0)</f>
        <v>1</v>
      </c>
      <c r="I106" s="1">
        <f>VLOOKUP(Table7[[#This Row],[Student_ID]],Placements!A106:E1105,5,0)</f>
        <v>5.41</v>
      </c>
      <c r="J106" s="1" t="str">
        <f>IF(VLOOKUP(Table7[[#This Row],[Student_ID]],student_data[#All],5,0)&gt;8,"HIGH",IF(VLOOKUP(Table7[[#This Row],[Student_ID]],student_data[#All],5,0)&lt;6.5,"LOW","MEDIUM"))</f>
        <v>HIGH</v>
      </c>
    </row>
    <row r="107" spans="1:10" x14ac:dyDescent="0.2">
      <c r="A107" s="1" t="s">
        <v>116</v>
      </c>
      <c r="B107" s="1" t="str">
        <f>VLOOKUP(Table7[[#This Row],[Student_ID]],student_data[#All],2,0)</f>
        <v>Electronics</v>
      </c>
      <c r="C107" s="1">
        <f>(VLOOKUP(Table7[[#This Row],[Student_ID]],student_data[],5,0)*5)+(VLOOKUP(Table7[[#This Row],[Student_ID]],student_data[],6,0)*3)+(VLOOKUP(Table7[[#This Row],[Student_ID]],student_skills[],6,0)*2)+(VLOOKUP(Table7[[#This Row],[Student_ID]],student_internships[],2,0)*5)</f>
        <v>58.150000000000006</v>
      </c>
      <c r="D107" s="1">
        <f>AVERAGE(VLOOKUP(Table7[[#This Row],[Student_ID]],student_skills[],3,0),VLOOKUP(Table7[[#This Row],[Student_ID]],student_skills[],4,0),VLOOKUP(Table7[[#This Row],[Student_ID]],student_skills[],5,0),VLOOKUP(Table7[[#This Row],[Student_ID]],student_skills[],6,0))</f>
        <v>7.75</v>
      </c>
      <c r="E107" s="1" t="str">
        <f>IF(VLOOKUP(Table7[[#This Row],[Student_ID]],student_internships[#All],2,0)&gt;1,"EXPERIENCED",IF(VLOOKUP(Table7[[#This Row],[Student_ID]],student_internships[#All],2,0)=1,"BEGINNER","NOT EXPERIENCED"))</f>
        <v>BEGINNER</v>
      </c>
      <c r="F107" s="1">
        <f>VLOOKUP(Table7[[#This Row],[Student_ID]],student_data[],5,0)</f>
        <v>5.03</v>
      </c>
      <c r="G107" s="1">
        <f>VLOOKUP(Table7[[#This Row],[Student_ID]],student_data[#All],6,0)</f>
        <v>4</v>
      </c>
      <c r="H107" s="1">
        <f>VLOOKUP(Table7[[#This Row],[Student_ID]],student_internships[],2,0)</f>
        <v>1</v>
      </c>
      <c r="I107" s="1">
        <f>VLOOKUP(Table7[[#This Row],[Student_ID]],Placements!A107:E1106,5,0)</f>
        <v>0</v>
      </c>
      <c r="J107" s="1" t="str">
        <f>IF(VLOOKUP(Table7[[#This Row],[Student_ID]],student_data[#All],5,0)&gt;8,"HIGH",IF(VLOOKUP(Table7[[#This Row],[Student_ID]],student_data[#All],5,0)&lt;6.5,"LOW","MEDIUM"))</f>
        <v>LOW</v>
      </c>
    </row>
    <row r="108" spans="1:10" x14ac:dyDescent="0.2">
      <c r="A108" s="1" t="s">
        <v>117</v>
      </c>
      <c r="B108" s="1" t="str">
        <f>VLOOKUP(Table7[[#This Row],[Student_ID]],student_data[#All],2,0)</f>
        <v>Computer Science</v>
      </c>
      <c r="C108" s="1">
        <f>(VLOOKUP(Table7[[#This Row],[Student_ID]],student_data[],5,0)*5)+(VLOOKUP(Table7[[#This Row],[Student_ID]],student_data[],6,0)*3)+(VLOOKUP(Table7[[#This Row],[Student_ID]],student_skills[],6,0)*2)+(VLOOKUP(Table7[[#This Row],[Student_ID]],student_internships[],2,0)*5)</f>
        <v>57.5</v>
      </c>
      <c r="D108" s="1">
        <f>AVERAGE(VLOOKUP(Table7[[#This Row],[Student_ID]],student_skills[],3,0),VLOOKUP(Table7[[#This Row],[Student_ID]],student_skills[],4,0),VLOOKUP(Table7[[#This Row],[Student_ID]],student_skills[],5,0),VLOOKUP(Table7[[#This Row],[Student_ID]],student_skills[],6,0))</f>
        <v>4.25</v>
      </c>
      <c r="E108" s="1" t="str">
        <f>IF(VLOOKUP(Table7[[#This Row],[Student_ID]],student_internships[#All],2,0)&gt;1,"EXPERIENCED",IF(VLOOKUP(Table7[[#This Row],[Student_ID]],student_internships[#All],2,0)=1,"BEGINNER","NOT EXPERIENCED"))</f>
        <v>EXPERIENCED</v>
      </c>
      <c r="F108" s="1">
        <f>VLOOKUP(Table7[[#This Row],[Student_ID]],student_data[],5,0)</f>
        <v>5.5</v>
      </c>
      <c r="G108" s="1">
        <f>VLOOKUP(Table7[[#This Row],[Student_ID]],student_data[#All],6,0)</f>
        <v>3</v>
      </c>
      <c r="H108" s="1">
        <f>VLOOKUP(Table7[[#This Row],[Student_ID]],student_internships[],2,0)</f>
        <v>3</v>
      </c>
      <c r="I108" s="1">
        <f>VLOOKUP(Table7[[#This Row],[Student_ID]],Placements!A108:E1107,5,0)</f>
        <v>4.3499999999999996</v>
      </c>
      <c r="J108" s="1" t="str">
        <f>IF(VLOOKUP(Table7[[#This Row],[Student_ID]],student_data[#All],5,0)&gt;8,"HIGH",IF(VLOOKUP(Table7[[#This Row],[Student_ID]],student_data[#All],5,0)&lt;6.5,"LOW","MEDIUM"))</f>
        <v>LOW</v>
      </c>
    </row>
    <row r="109" spans="1:10" x14ac:dyDescent="0.2">
      <c r="A109" s="1" t="s">
        <v>118</v>
      </c>
      <c r="B109" s="1" t="str">
        <f>VLOOKUP(Table7[[#This Row],[Student_ID]],student_data[#All],2,0)</f>
        <v>Information Technology</v>
      </c>
      <c r="C109" s="1">
        <f>(VLOOKUP(Table7[[#This Row],[Student_ID]],student_data[],5,0)*5)+(VLOOKUP(Table7[[#This Row],[Student_ID]],student_data[],6,0)*3)+(VLOOKUP(Table7[[#This Row],[Student_ID]],student_skills[],6,0)*2)+(VLOOKUP(Table7[[#This Row],[Student_ID]],student_internships[],2,0)*5)</f>
        <v>56.7</v>
      </c>
      <c r="D109" s="1">
        <f>AVERAGE(VLOOKUP(Table7[[#This Row],[Student_ID]],student_skills[],3,0),VLOOKUP(Table7[[#This Row],[Student_ID]],student_skills[],4,0),VLOOKUP(Table7[[#This Row],[Student_ID]],student_skills[],5,0),VLOOKUP(Table7[[#This Row],[Student_ID]],student_skills[],6,0))</f>
        <v>3.75</v>
      </c>
      <c r="E109" s="1" t="str">
        <f>IF(VLOOKUP(Table7[[#This Row],[Student_ID]],student_internships[#All],2,0)&gt;1,"EXPERIENCED",IF(VLOOKUP(Table7[[#This Row],[Student_ID]],student_internships[#All],2,0)=1,"BEGINNER","NOT EXPERIENCED"))</f>
        <v>NOT EXPERIENCED</v>
      </c>
      <c r="F109" s="1">
        <f>VLOOKUP(Table7[[#This Row],[Student_ID]],student_data[],5,0)</f>
        <v>9.34</v>
      </c>
      <c r="G109" s="1">
        <f>VLOOKUP(Table7[[#This Row],[Student_ID]],student_data[#All],6,0)</f>
        <v>2</v>
      </c>
      <c r="H109" s="1">
        <f>VLOOKUP(Table7[[#This Row],[Student_ID]],student_internships[],2,0)</f>
        <v>0</v>
      </c>
      <c r="I109" s="1">
        <f>VLOOKUP(Table7[[#This Row],[Student_ID]],Placements!A109:E1108,5,0)</f>
        <v>6.09</v>
      </c>
      <c r="J109" s="1" t="str">
        <f>IF(VLOOKUP(Table7[[#This Row],[Student_ID]],student_data[#All],5,0)&gt;8,"HIGH",IF(VLOOKUP(Table7[[#This Row],[Student_ID]],student_data[#All],5,0)&lt;6.5,"LOW","MEDIUM"))</f>
        <v>HIGH</v>
      </c>
    </row>
    <row r="110" spans="1:10" x14ac:dyDescent="0.2">
      <c r="A110" s="1" t="s">
        <v>119</v>
      </c>
      <c r="B110" s="1" t="str">
        <f>VLOOKUP(Table7[[#This Row],[Student_ID]],student_data[#All],2,0)</f>
        <v>Mechanical</v>
      </c>
      <c r="C110" s="1">
        <f>(VLOOKUP(Table7[[#This Row],[Student_ID]],student_data[],5,0)*5)+(VLOOKUP(Table7[[#This Row],[Student_ID]],student_data[],6,0)*3)+(VLOOKUP(Table7[[#This Row],[Student_ID]],student_skills[],6,0)*2)+(VLOOKUP(Table7[[#This Row],[Student_ID]],student_internships[],2,0)*5)</f>
        <v>67.05</v>
      </c>
      <c r="D110" s="1">
        <f>AVERAGE(VLOOKUP(Table7[[#This Row],[Student_ID]],student_skills[],3,0),VLOOKUP(Table7[[#This Row],[Student_ID]],student_skills[],4,0),VLOOKUP(Table7[[#This Row],[Student_ID]],student_skills[],5,0),VLOOKUP(Table7[[#This Row],[Student_ID]],student_skills[],6,0))</f>
        <v>3.5</v>
      </c>
      <c r="E110" s="1" t="str">
        <f>IF(VLOOKUP(Table7[[#This Row],[Student_ID]],student_internships[#All],2,0)&gt;1,"EXPERIENCED",IF(VLOOKUP(Table7[[#This Row],[Student_ID]],student_internships[#All],2,0)=1,"BEGINNER","NOT EXPERIENCED"))</f>
        <v>BEGINNER</v>
      </c>
      <c r="F110" s="1">
        <f>VLOOKUP(Table7[[#This Row],[Student_ID]],student_data[],5,0)</f>
        <v>8.41</v>
      </c>
      <c r="G110" s="1">
        <f>VLOOKUP(Table7[[#This Row],[Student_ID]],student_data[#All],6,0)</f>
        <v>4</v>
      </c>
      <c r="H110" s="1">
        <f>VLOOKUP(Table7[[#This Row],[Student_ID]],student_internships[],2,0)</f>
        <v>1</v>
      </c>
      <c r="I110" s="1">
        <f>VLOOKUP(Table7[[#This Row],[Student_ID]],Placements!A110:E1109,5,0)</f>
        <v>6.88</v>
      </c>
      <c r="J110" s="1" t="str">
        <f>IF(VLOOKUP(Table7[[#This Row],[Student_ID]],student_data[#All],5,0)&gt;8,"HIGH",IF(VLOOKUP(Table7[[#This Row],[Student_ID]],student_data[#All],5,0)&lt;6.5,"LOW","MEDIUM"))</f>
        <v>HIGH</v>
      </c>
    </row>
    <row r="111" spans="1:10" x14ac:dyDescent="0.2">
      <c r="A111" s="1" t="s">
        <v>120</v>
      </c>
      <c r="B111" s="1" t="str">
        <f>VLOOKUP(Table7[[#This Row],[Student_ID]],student_data[#All],2,0)</f>
        <v>Civil</v>
      </c>
      <c r="C111" s="1">
        <f>(VLOOKUP(Table7[[#This Row],[Student_ID]],student_data[],5,0)*5)+(VLOOKUP(Table7[[#This Row],[Student_ID]],student_data[],6,0)*3)+(VLOOKUP(Table7[[#This Row],[Student_ID]],student_skills[],6,0)*2)+(VLOOKUP(Table7[[#This Row],[Student_ID]],student_internships[],2,0)*5)</f>
        <v>58.8</v>
      </c>
      <c r="D111" s="1">
        <f>AVERAGE(VLOOKUP(Table7[[#This Row],[Student_ID]],student_skills[],3,0),VLOOKUP(Table7[[#This Row],[Student_ID]],student_skills[],4,0),VLOOKUP(Table7[[#This Row],[Student_ID]],student_skills[],5,0),VLOOKUP(Table7[[#This Row],[Student_ID]],student_skills[],6,0))</f>
        <v>5.75</v>
      </c>
      <c r="E111" s="1" t="str">
        <f>IF(VLOOKUP(Table7[[#This Row],[Student_ID]],student_internships[#All],2,0)&gt;1,"EXPERIENCED",IF(VLOOKUP(Table7[[#This Row],[Student_ID]],student_internships[#All],2,0)=1,"BEGINNER","NOT EXPERIENCED"))</f>
        <v>EXPERIENCED</v>
      </c>
      <c r="F111" s="1">
        <f>VLOOKUP(Table7[[#This Row],[Student_ID]],student_data[],5,0)</f>
        <v>5.56</v>
      </c>
      <c r="G111" s="1">
        <f>VLOOKUP(Table7[[#This Row],[Student_ID]],student_data[#All],6,0)</f>
        <v>5</v>
      </c>
      <c r="H111" s="1">
        <f>VLOOKUP(Table7[[#This Row],[Student_ID]],student_internships[],2,0)</f>
        <v>2</v>
      </c>
      <c r="I111" s="1">
        <f>VLOOKUP(Table7[[#This Row],[Student_ID]],Placements!A111:E1110,5,0)</f>
        <v>5.87</v>
      </c>
      <c r="J111" s="1" t="str">
        <f>IF(VLOOKUP(Table7[[#This Row],[Student_ID]],student_data[#All],5,0)&gt;8,"HIGH",IF(VLOOKUP(Table7[[#This Row],[Student_ID]],student_data[#All],5,0)&lt;6.5,"LOW","MEDIUM"))</f>
        <v>LOW</v>
      </c>
    </row>
    <row r="112" spans="1:10" x14ac:dyDescent="0.2">
      <c r="A112" s="1" t="s">
        <v>121</v>
      </c>
      <c r="B112" s="1" t="str">
        <f>VLOOKUP(Table7[[#This Row],[Student_ID]],student_data[#All],2,0)</f>
        <v>Mechanical</v>
      </c>
      <c r="C112" s="1">
        <f>(VLOOKUP(Table7[[#This Row],[Student_ID]],student_data[],5,0)*5)+(VLOOKUP(Table7[[#This Row],[Student_ID]],student_data[],6,0)*3)+(VLOOKUP(Table7[[#This Row],[Student_ID]],student_skills[],6,0)*2)+(VLOOKUP(Table7[[#This Row],[Student_ID]],student_internships[],2,0)*5)</f>
        <v>48.050000000000004</v>
      </c>
      <c r="D112" s="1">
        <f>AVERAGE(VLOOKUP(Table7[[#This Row],[Student_ID]],student_skills[],3,0),VLOOKUP(Table7[[#This Row],[Student_ID]],student_skills[],4,0),VLOOKUP(Table7[[#This Row],[Student_ID]],student_skills[],5,0),VLOOKUP(Table7[[#This Row],[Student_ID]],student_skills[],6,0))</f>
        <v>4.5</v>
      </c>
      <c r="E112" s="1" t="str">
        <f>IF(VLOOKUP(Table7[[#This Row],[Student_ID]],student_internships[#All],2,0)&gt;1,"EXPERIENCED",IF(VLOOKUP(Table7[[#This Row],[Student_ID]],student_internships[#All],2,0)=1,"BEGINNER","NOT EXPERIENCED"))</f>
        <v>NOT EXPERIENCED</v>
      </c>
      <c r="F112" s="1">
        <f>VLOOKUP(Table7[[#This Row],[Student_ID]],student_data[],5,0)</f>
        <v>9.2100000000000009</v>
      </c>
      <c r="G112" s="1">
        <f>VLOOKUP(Table7[[#This Row],[Student_ID]],student_data[#All],6,0)</f>
        <v>0</v>
      </c>
      <c r="H112" s="1">
        <f>VLOOKUP(Table7[[#This Row],[Student_ID]],student_internships[],2,0)</f>
        <v>0</v>
      </c>
      <c r="I112" s="1">
        <f>VLOOKUP(Table7[[#This Row],[Student_ID]],Placements!A112:E1111,5,0)</f>
        <v>4.54</v>
      </c>
      <c r="J112" s="1" t="str">
        <f>IF(VLOOKUP(Table7[[#This Row],[Student_ID]],student_data[#All],5,0)&gt;8,"HIGH",IF(VLOOKUP(Table7[[#This Row],[Student_ID]],student_data[#All],5,0)&lt;6.5,"LOW","MEDIUM"))</f>
        <v>HIGH</v>
      </c>
    </row>
    <row r="113" spans="1:10" x14ac:dyDescent="0.2">
      <c r="A113" s="1" t="s">
        <v>122</v>
      </c>
      <c r="B113" s="1" t="str">
        <f>VLOOKUP(Table7[[#This Row],[Student_ID]],student_data[#All],2,0)</f>
        <v>Mechanical</v>
      </c>
      <c r="C113" s="1">
        <f>(VLOOKUP(Table7[[#This Row],[Student_ID]],student_data[],5,0)*5)+(VLOOKUP(Table7[[#This Row],[Student_ID]],student_data[],6,0)*3)+(VLOOKUP(Table7[[#This Row],[Student_ID]],student_skills[],6,0)*2)+(VLOOKUP(Table7[[#This Row],[Student_ID]],student_internships[],2,0)*5)</f>
        <v>46.05</v>
      </c>
      <c r="D113" s="1">
        <f>AVERAGE(VLOOKUP(Table7[[#This Row],[Student_ID]],student_skills[],3,0),VLOOKUP(Table7[[#This Row],[Student_ID]],student_skills[],4,0),VLOOKUP(Table7[[#This Row],[Student_ID]],student_skills[],5,0),VLOOKUP(Table7[[#This Row],[Student_ID]],student_skills[],6,0))</f>
        <v>4.5</v>
      </c>
      <c r="E113" s="1" t="str">
        <f>IF(VLOOKUP(Table7[[#This Row],[Student_ID]],student_internships[#All],2,0)&gt;1,"EXPERIENCED",IF(VLOOKUP(Table7[[#This Row],[Student_ID]],student_internships[#All],2,0)=1,"BEGINNER","NOT EXPERIENCED"))</f>
        <v>NOT EXPERIENCED</v>
      </c>
      <c r="F113" s="1">
        <f>VLOOKUP(Table7[[#This Row],[Student_ID]],student_data[],5,0)</f>
        <v>6.21</v>
      </c>
      <c r="G113" s="1">
        <f>VLOOKUP(Table7[[#This Row],[Student_ID]],student_data[#All],6,0)</f>
        <v>3</v>
      </c>
      <c r="H113" s="1">
        <f>VLOOKUP(Table7[[#This Row],[Student_ID]],student_internships[],2,0)</f>
        <v>0</v>
      </c>
      <c r="I113" s="1">
        <f>VLOOKUP(Table7[[#This Row],[Student_ID]],Placements!A113:E1112,5,0)</f>
        <v>10.66</v>
      </c>
      <c r="J113" s="1" t="str">
        <f>IF(VLOOKUP(Table7[[#This Row],[Student_ID]],student_data[#All],5,0)&gt;8,"HIGH",IF(VLOOKUP(Table7[[#This Row],[Student_ID]],student_data[#All],5,0)&lt;6.5,"LOW","MEDIUM"))</f>
        <v>LOW</v>
      </c>
    </row>
    <row r="114" spans="1:10" x14ac:dyDescent="0.2">
      <c r="A114" s="1" t="s">
        <v>123</v>
      </c>
      <c r="B114" s="1" t="str">
        <f>VLOOKUP(Table7[[#This Row],[Student_ID]],student_data[#All],2,0)</f>
        <v>Computer Science</v>
      </c>
      <c r="C114" s="1">
        <f>(VLOOKUP(Table7[[#This Row],[Student_ID]],student_data[],5,0)*5)+(VLOOKUP(Table7[[#This Row],[Student_ID]],student_data[],6,0)*3)+(VLOOKUP(Table7[[#This Row],[Student_ID]],student_skills[],6,0)*2)+(VLOOKUP(Table7[[#This Row],[Student_ID]],student_internships[],2,0)*5)</f>
        <v>46.949999999999996</v>
      </c>
      <c r="D114" s="1">
        <f>AVERAGE(VLOOKUP(Table7[[#This Row],[Student_ID]],student_skills[],3,0),VLOOKUP(Table7[[#This Row],[Student_ID]],student_skills[],4,0),VLOOKUP(Table7[[#This Row],[Student_ID]],student_skills[],5,0),VLOOKUP(Table7[[#This Row],[Student_ID]],student_skills[],6,0))</f>
        <v>2.75</v>
      </c>
      <c r="E114" s="1" t="str">
        <f>IF(VLOOKUP(Table7[[#This Row],[Student_ID]],student_internships[#All],2,0)&gt;1,"EXPERIENCED",IF(VLOOKUP(Table7[[#This Row],[Student_ID]],student_internships[#All],2,0)=1,"BEGINNER","NOT EXPERIENCED"))</f>
        <v>NOT EXPERIENCED</v>
      </c>
      <c r="F114" s="1">
        <f>VLOOKUP(Table7[[#This Row],[Student_ID]],student_data[],5,0)</f>
        <v>7.39</v>
      </c>
      <c r="G114" s="1">
        <f>VLOOKUP(Table7[[#This Row],[Student_ID]],student_data[#All],6,0)</f>
        <v>2</v>
      </c>
      <c r="H114" s="1">
        <f>VLOOKUP(Table7[[#This Row],[Student_ID]],student_internships[],2,0)</f>
        <v>0</v>
      </c>
      <c r="I114" s="1">
        <f>VLOOKUP(Table7[[#This Row],[Student_ID]],Placements!A114:E1113,5,0)</f>
        <v>6.67</v>
      </c>
      <c r="J114" s="1" t="str">
        <f>IF(VLOOKUP(Table7[[#This Row],[Student_ID]],student_data[#All],5,0)&gt;8,"HIGH",IF(VLOOKUP(Table7[[#This Row],[Student_ID]],student_data[#All],5,0)&lt;6.5,"LOW","MEDIUM"))</f>
        <v>MEDIUM</v>
      </c>
    </row>
    <row r="115" spans="1:10" x14ac:dyDescent="0.2">
      <c r="A115" s="1" t="s">
        <v>124</v>
      </c>
      <c r="B115" s="1" t="str">
        <f>VLOOKUP(Table7[[#This Row],[Student_ID]],student_data[#All],2,0)</f>
        <v>Mechanical</v>
      </c>
      <c r="C115" s="1">
        <f>(VLOOKUP(Table7[[#This Row],[Student_ID]],student_data[],5,0)*5)+(VLOOKUP(Table7[[#This Row],[Student_ID]],student_data[],6,0)*3)+(VLOOKUP(Table7[[#This Row],[Student_ID]],student_skills[],6,0)*2)+(VLOOKUP(Table7[[#This Row],[Student_ID]],student_internships[],2,0)*5)</f>
        <v>59.650000000000006</v>
      </c>
      <c r="D115" s="1">
        <f>AVERAGE(VLOOKUP(Table7[[#This Row],[Student_ID]],student_skills[],3,0),VLOOKUP(Table7[[#This Row],[Student_ID]],student_skills[],4,0),VLOOKUP(Table7[[#This Row],[Student_ID]],student_skills[],5,0),VLOOKUP(Table7[[#This Row],[Student_ID]],student_skills[],6,0))</f>
        <v>7.25</v>
      </c>
      <c r="E115" s="1" t="str">
        <f>IF(VLOOKUP(Table7[[#This Row],[Student_ID]],student_internships[#All],2,0)&gt;1,"EXPERIENCED",IF(VLOOKUP(Table7[[#This Row],[Student_ID]],student_internships[#All],2,0)=1,"BEGINNER","NOT EXPERIENCED"))</f>
        <v>NOT EXPERIENCED</v>
      </c>
      <c r="F115" s="1">
        <f>VLOOKUP(Table7[[#This Row],[Student_ID]],student_data[],5,0)</f>
        <v>5.73</v>
      </c>
      <c r="G115" s="1">
        <f>VLOOKUP(Table7[[#This Row],[Student_ID]],student_data[#All],6,0)</f>
        <v>5</v>
      </c>
      <c r="H115" s="1">
        <f>VLOOKUP(Table7[[#This Row],[Student_ID]],student_internships[],2,0)</f>
        <v>0</v>
      </c>
      <c r="I115" s="1">
        <f>VLOOKUP(Table7[[#This Row],[Student_ID]],Placements!A115:E1114,5,0)</f>
        <v>0</v>
      </c>
      <c r="J115" s="1" t="str">
        <f>IF(VLOOKUP(Table7[[#This Row],[Student_ID]],student_data[#All],5,0)&gt;8,"HIGH",IF(VLOOKUP(Table7[[#This Row],[Student_ID]],student_data[#All],5,0)&lt;6.5,"LOW","MEDIUM"))</f>
        <v>LOW</v>
      </c>
    </row>
    <row r="116" spans="1:10" x14ac:dyDescent="0.2">
      <c r="A116" s="1" t="s">
        <v>125</v>
      </c>
      <c r="B116" s="1" t="str">
        <f>VLOOKUP(Table7[[#This Row],[Student_ID]],student_data[#All],2,0)</f>
        <v>Information Technology</v>
      </c>
      <c r="C116" s="1">
        <f>(VLOOKUP(Table7[[#This Row],[Student_ID]],student_data[],5,0)*5)+(VLOOKUP(Table7[[#This Row],[Student_ID]],student_data[],6,0)*3)+(VLOOKUP(Table7[[#This Row],[Student_ID]],student_skills[],6,0)*2)+(VLOOKUP(Table7[[#This Row],[Student_ID]],student_internships[],2,0)*5)</f>
        <v>81.75</v>
      </c>
      <c r="D116" s="1">
        <f>AVERAGE(VLOOKUP(Table7[[#This Row],[Student_ID]],student_skills[],3,0),VLOOKUP(Table7[[#This Row],[Student_ID]],student_skills[],4,0),VLOOKUP(Table7[[#This Row],[Student_ID]],student_skills[],5,0),VLOOKUP(Table7[[#This Row],[Student_ID]],student_skills[],6,0))</f>
        <v>4.5</v>
      </c>
      <c r="E116" s="1" t="str">
        <f>IF(VLOOKUP(Table7[[#This Row],[Student_ID]],student_internships[#All],2,0)&gt;1,"EXPERIENCED",IF(VLOOKUP(Table7[[#This Row],[Student_ID]],student_internships[#All],2,0)=1,"BEGINNER","NOT EXPERIENCED"))</f>
        <v>EXPERIENCED</v>
      </c>
      <c r="F116" s="1">
        <f>VLOOKUP(Table7[[#This Row],[Student_ID]],student_data[],5,0)</f>
        <v>8.5500000000000007</v>
      </c>
      <c r="G116" s="1">
        <f>VLOOKUP(Table7[[#This Row],[Student_ID]],student_data[#All],6,0)</f>
        <v>4</v>
      </c>
      <c r="H116" s="1">
        <f>VLOOKUP(Table7[[#This Row],[Student_ID]],student_internships[],2,0)</f>
        <v>3</v>
      </c>
      <c r="I116" s="1">
        <f>VLOOKUP(Table7[[#This Row],[Student_ID]],Placements!A116:E1115,5,0)</f>
        <v>5.08</v>
      </c>
      <c r="J116" s="1" t="str">
        <f>IF(VLOOKUP(Table7[[#This Row],[Student_ID]],student_data[#All],5,0)&gt;8,"HIGH",IF(VLOOKUP(Table7[[#This Row],[Student_ID]],student_data[#All],5,0)&lt;6.5,"LOW","MEDIUM"))</f>
        <v>HIGH</v>
      </c>
    </row>
    <row r="117" spans="1:10" x14ac:dyDescent="0.2">
      <c r="A117" s="1" t="s">
        <v>126</v>
      </c>
      <c r="B117" s="1" t="str">
        <f>VLOOKUP(Table7[[#This Row],[Student_ID]],student_data[#All],2,0)</f>
        <v>Mechanical</v>
      </c>
      <c r="C117" s="1">
        <f>(VLOOKUP(Table7[[#This Row],[Student_ID]],student_data[],5,0)*5)+(VLOOKUP(Table7[[#This Row],[Student_ID]],student_data[],6,0)*3)+(VLOOKUP(Table7[[#This Row],[Student_ID]],student_skills[],6,0)*2)+(VLOOKUP(Table7[[#This Row],[Student_ID]],student_internships[],2,0)*5)</f>
        <v>84.65</v>
      </c>
      <c r="D117" s="1">
        <f>AVERAGE(VLOOKUP(Table7[[#This Row],[Student_ID]],student_skills[],3,0),VLOOKUP(Table7[[#This Row],[Student_ID]],student_skills[],4,0),VLOOKUP(Table7[[#This Row],[Student_ID]],student_skills[],5,0),VLOOKUP(Table7[[#This Row],[Student_ID]],student_skills[],6,0))</f>
        <v>5.75</v>
      </c>
      <c r="E117" s="1" t="str">
        <f>IF(VLOOKUP(Table7[[#This Row],[Student_ID]],student_internships[#All],2,0)&gt;1,"EXPERIENCED",IF(VLOOKUP(Table7[[#This Row],[Student_ID]],student_internships[#All],2,0)=1,"BEGINNER","NOT EXPERIENCED"))</f>
        <v>EXPERIENCED</v>
      </c>
      <c r="F117" s="1">
        <f>VLOOKUP(Table7[[#This Row],[Student_ID]],student_data[],5,0)</f>
        <v>8.33</v>
      </c>
      <c r="G117" s="1">
        <f>VLOOKUP(Table7[[#This Row],[Student_ID]],student_data[#All],6,0)</f>
        <v>5</v>
      </c>
      <c r="H117" s="1">
        <f>VLOOKUP(Table7[[#This Row],[Student_ID]],student_internships[],2,0)</f>
        <v>2</v>
      </c>
      <c r="I117" s="1">
        <f>VLOOKUP(Table7[[#This Row],[Student_ID]],Placements!A117:E1116,5,0)</f>
        <v>4.28</v>
      </c>
      <c r="J117" s="1" t="str">
        <f>IF(VLOOKUP(Table7[[#This Row],[Student_ID]],student_data[#All],5,0)&gt;8,"HIGH",IF(VLOOKUP(Table7[[#This Row],[Student_ID]],student_data[#All],5,0)&lt;6.5,"LOW","MEDIUM"))</f>
        <v>HIGH</v>
      </c>
    </row>
    <row r="118" spans="1:10" x14ac:dyDescent="0.2">
      <c r="A118" s="1" t="s">
        <v>127</v>
      </c>
      <c r="B118" s="1" t="str">
        <f>VLOOKUP(Table7[[#This Row],[Student_ID]],student_data[#All],2,0)</f>
        <v>Computer Science</v>
      </c>
      <c r="C118" s="1">
        <f>(VLOOKUP(Table7[[#This Row],[Student_ID]],student_data[],5,0)*5)+(VLOOKUP(Table7[[#This Row],[Student_ID]],student_data[],6,0)*3)+(VLOOKUP(Table7[[#This Row],[Student_ID]],student_skills[],6,0)*2)+(VLOOKUP(Table7[[#This Row],[Student_ID]],student_internships[],2,0)*5)</f>
        <v>60.3</v>
      </c>
      <c r="D118" s="1">
        <f>AVERAGE(VLOOKUP(Table7[[#This Row],[Student_ID]],student_skills[],3,0),VLOOKUP(Table7[[#This Row],[Student_ID]],student_skills[],4,0),VLOOKUP(Table7[[#This Row],[Student_ID]],student_skills[],5,0),VLOOKUP(Table7[[#This Row],[Student_ID]],student_skills[],6,0))</f>
        <v>4.75</v>
      </c>
      <c r="E118" s="1" t="str">
        <f>IF(VLOOKUP(Table7[[#This Row],[Student_ID]],student_internships[#All],2,0)&gt;1,"EXPERIENCED",IF(VLOOKUP(Table7[[#This Row],[Student_ID]],student_internships[#All],2,0)=1,"BEGINNER","NOT EXPERIENCED"))</f>
        <v>BEGINNER</v>
      </c>
      <c r="F118" s="1">
        <f>VLOOKUP(Table7[[#This Row],[Student_ID]],student_data[],5,0)</f>
        <v>6.06</v>
      </c>
      <c r="G118" s="1">
        <f>VLOOKUP(Table7[[#This Row],[Student_ID]],student_data[#All],6,0)</f>
        <v>3</v>
      </c>
      <c r="H118" s="1">
        <f>VLOOKUP(Table7[[#This Row],[Student_ID]],student_internships[],2,0)</f>
        <v>1</v>
      </c>
      <c r="I118" s="1">
        <f>VLOOKUP(Table7[[#This Row],[Student_ID]],Placements!A118:E1117,5,0)</f>
        <v>4.8899999999999997</v>
      </c>
      <c r="J118" s="1" t="str">
        <f>IF(VLOOKUP(Table7[[#This Row],[Student_ID]],student_data[#All],5,0)&gt;8,"HIGH",IF(VLOOKUP(Table7[[#This Row],[Student_ID]],student_data[#All],5,0)&lt;6.5,"LOW","MEDIUM"))</f>
        <v>LOW</v>
      </c>
    </row>
    <row r="119" spans="1:10" x14ac:dyDescent="0.2">
      <c r="A119" s="1" t="s">
        <v>128</v>
      </c>
      <c r="B119" s="1" t="str">
        <f>VLOOKUP(Table7[[#This Row],[Student_ID]],student_data[#All],2,0)</f>
        <v>Information Technology</v>
      </c>
      <c r="C119" s="1">
        <f>(VLOOKUP(Table7[[#This Row],[Student_ID]],student_data[],5,0)*5)+(VLOOKUP(Table7[[#This Row],[Student_ID]],student_data[],6,0)*3)+(VLOOKUP(Table7[[#This Row],[Student_ID]],student_skills[],6,0)*2)+(VLOOKUP(Table7[[#This Row],[Student_ID]],student_internships[],2,0)*5)</f>
        <v>79.599999999999994</v>
      </c>
      <c r="D119" s="1">
        <f>AVERAGE(VLOOKUP(Table7[[#This Row],[Student_ID]],student_skills[],3,0),VLOOKUP(Table7[[#This Row],[Student_ID]],student_skills[],4,0),VLOOKUP(Table7[[#This Row],[Student_ID]],student_skills[],5,0),VLOOKUP(Table7[[#This Row],[Student_ID]],student_skills[],6,0))</f>
        <v>6.5</v>
      </c>
      <c r="E119" s="1" t="str">
        <f>IF(VLOOKUP(Table7[[#This Row],[Student_ID]],student_internships[#All],2,0)&gt;1,"EXPERIENCED",IF(VLOOKUP(Table7[[#This Row],[Student_ID]],student_internships[#All],2,0)=1,"BEGINNER","NOT EXPERIENCED"))</f>
        <v>EXPERIENCED</v>
      </c>
      <c r="F119" s="1">
        <f>VLOOKUP(Table7[[#This Row],[Student_ID]],student_data[],5,0)</f>
        <v>9.32</v>
      </c>
      <c r="G119" s="1">
        <f>VLOOKUP(Table7[[#This Row],[Student_ID]],student_data[#All],6,0)</f>
        <v>1</v>
      </c>
      <c r="H119" s="1">
        <f>VLOOKUP(Table7[[#This Row],[Student_ID]],student_internships[],2,0)</f>
        <v>2</v>
      </c>
      <c r="I119" s="1">
        <f>VLOOKUP(Table7[[#This Row],[Student_ID]],Placements!A119:E1118,5,0)</f>
        <v>6.97</v>
      </c>
      <c r="J119" s="1" t="str">
        <f>IF(VLOOKUP(Table7[[#This Row],[Student_ID]],student_data[#All],5,0)&gt;8,"HIGH",IF(VLOOKUP(Table7[[#This Row],[Student_ID]],student_data[#All],5,0)&lt;6.5,"LOW","MEDIUM"))</f>
        <v>HIGH</v>
      </c>
    </row>
    <row r="120" spans="1:10" x14ac:dyDescent="0.2">
      <c r="A120" s="1" t="s">
        <v>129</v>
      </c>
      <c r="B120" s="1" t="str">
        <f>VLOOKUP(Table7[[#This Row],[Student_ID]],student_data[#All],2,0)</f>
        <v>Electronics</v>
      </c>
      <c r="C120" s="1">
        <f>(VLOOKUP(Table7[[#This Row],[Student_ID]],student_data[],5,0)*5)+(VLOOKUP(Table7[[#This Row],[Student_ID]],student_data[],6,0)*3)+(VLOOKUP(Table7[[#This Row],[Student_ID]],student_skills[],6,0)*2)+(VLOOKUP(Table7[[#This Row],[Student_ID]],student_internships[],2,0)*5)</f>
        <v>60.05</v>
      </c>
      <c r="D120" s="1">
        <f>AVERAGE(VLOOKUP(Table7[[#This Row],[Student_ID]],student_skills[],3,0),VLOOKUP(Table7[[#This Row],[Student_ID]],student_skills[],4,0),VLOOKUP(Table7[[#This Row],[Student_ID]],student_skills[],5,0),VLOOKUP(Table7[[#This Row],[Student_ID]],student_skills[],6,0))</f>
        <v>7.75</v>
      </c>
      <c r="E120" s="1" t="str">
        <f>IF(VLOOKUP(Table7[[#This Row],[Student_ID]],student_internships[#All],2,0)&gt;1,"EXPERIENCED",IF(VLOOKUP(Table7[[#This Row],[Student_ID]],student_internships[#All],2,0)=1,"BEGINNER","NOT EXPERIENCED"))</f>
        <v>EXPERIENCED</v>
      </c>
      <c r="F120" s="1">
        <f>VLOOKUP(Table7[[#This Row],[Student_ID]],student_data[],5,0)</f>
        <v>7.01</v>
      </c>
      <c r="G120" s="1">
        <f>VLOOKUP(Table7[[#This Row],[Student_ID]],student_data[#All],6,0)</f>
        <v>3</v>
      </c>
      <c r="H120" s="1">
        <f>VLOOKUP(Table7[[#This Row],[Student_ID]],student_internships[],2,0)</f>
        <v>2</v>
      </c>
      <c r="I120" s="1">
        <f>VLOOKUP(Table7[[#This Row],[Student_ID]],Placements!A120:E1119,5,0)</f>
        <v>3.95</v>
      </c>
      <c r="J120" s="1" t="str">
        <f>IF(VLOOKUP(Table7[[#This Row],[Student_ID]],student_data[#All],5,0)&gt;8,"HIGH",IF(VLOOKUP(Table7[[#This Row],[Student_ID]],student_data[#All],5,0)&lt;6.5,"LOW","MEDIUM"))</f>
        <v>MEDIUM</v>
      </c>
    </row>
    <row r="121" spans="1:10" x14ac:dyDescent="0.2">
      <c r="A121" s="1" t="s">
        <v>130</v>
      </c>
      <c r="B121" s="1" t="str">
        <f>VLOOKUP(Table7[[#This Row],[Student_ID]],student_data[#All],2,0)</f>
        <v>Mechanical</v>
      </c>
      <c r="C121" s="1">
        <f>(VLOOKUP(Table7[[#This Row],[Student_ID]],student_data[],5,0)*5)+(VLOOKUP(Table7[[#This Row],[Student_ID]],student_data[],6,0)*3)+(VLOOKUP(Table7[[#This Row],[Student_ID]],student_skills[],6,0)*2)+(VLOOKUP(Table7[[#This Row],[Student_ID]],student_internships[],2,0)*5)</f>
        <v>42.3</v>
      </c>
      <c r="D121" s="1">
        <f>AVERAGE(VLOOKUP(Table7[[#This Row],[Student_ID]],student_skills[],3,0),VLOOKUP(Table7[[#This Row],[Student_ID]],student_skills[],4,0),VLOOKUP(Table7[[#This Row],[Student_ID]],student_skills[],5,0),VLOOKUP(Table7[[#This Row],[Student_ID]],student_skills[],6,0))</f>
        <v>6.25</v>
      </c>
      <c r="E121" s="1" t="str">
        <f>IF(VLOOKUP(Table7[[#This Row],[Student_ID]],student_internships[#All],2,0)&gt;1,"EXPERIENCED",IF(VLOOKUP(Table7[[#This Row],[Student_ID]],student_internships[#All],2,0)=1,"BEGINNER","NOT EXPERIENCED"))</f>
        <v>NOT EXPERIENCED</v>
      </c>
      <c r="F121" s="1">
        <f>VLOOKUP(Table7[[#This Row],[Student_ID]],student_data[],5,0)</f>
        <v>6.46</v>
      </c>
      <c r="G121" s="1">
        <f>VLOOKUP(Table7[[#This Row],[Student_ID]],student_data[#All],6,0)</f>
        <v>0</v>
      </c>
      <c r="H121" s="1">
        <f>VLOOKUP(Table7[[#This Row],[Student_ID]],student_internships[],2,0)</f>
        <v>0</v>
      </c>
      <c r="I121" s="1">
        <f>VLOOKUP(Table7[[#This Row],[Student_ID]],Placements!A121:E1120,5,0)</f>
        <v>8.3699999999999992</v>
      </c>
      <c r="J121" s="1" t="str">
        <f>IF(VLOOKUP(Table7[[#This Row],[Student_ID]],student_data[#All],5,0)&gt;8,"HIGH",IF(VLOOKUP(Table7[[#This Row],[Student_ID]],student_data[#All],5,0)&lt;6.5,"LOW","MEDIUM"))</f>
        <v>LOW</v>
      </c>
    </row>
    <row r="122" spans="1:10" x14ac:dyDescent="0.2">
      <c r="A122" s="1" t="s">
        <v>131</v>
      </c>
      <c r="B122" s="1" t="str">
        <f>VLOOKUP(Table7[[#This Row],[Student_ID]],student_data[#All],2,0)</f>
        <v>Computer Science</v>
      </c>
      <c r="C122" s="1">
        <f>(VLOOKUP(Table7[[#This Row],[Student_ID]],student_data[],5,0)*5)+(VLOOKUP(Table7[[#This Row],[Student_ID]],student_data[],6,0)*3)+(VLOOKUP(Table7[[#This Row],[Student_ID]],student_skills[],6,0)*2)+(VLOOKUP(Table7[[#This Row],[Student_ID]],student_internships[],2,0)*5)</f>
        <v>61.8</v>
      </c>
      <c r="D122" s="1">
        <f>AVERAGE(VLOOKUP(Table7[[#This Row],[Student_ID]],student_skills[],3,0),VLOOKUP(Table7[[#This Row],[Student_ID]],student_skills[],4,0),VLOOKUP(Table7[[#This Row],[Student_ID]],student_skills[],5,0),VLOOKUP(Table7[[#This Row],[Student_ID]],student_skills[],6,0))</f>
        <v>6.25</v>
      </c>
      <c r="E122" s="1" t="str">
        <f>IF(VLOOKUP(Table7[[#This Row],[Student_ID]],student_internships[#All],2,0)&gt;1,"EXPERIENCED",IF(VLOOKUP(Table7[[#This Row],[Student_ID]],student_internships[#All],2,0)=1,"BEGINNER","NOT EXPERIENCED"))</f>
        <v>EXPERIENCED</v>
      </c>
      <c r="F122" s="1">
        <f>VLOOKUP(Table7[[#This Row],[Student_ID]],student_data[],5,0)</f>
        <v>5.76</v>
      </c>
      <c r="G122" s="1">
        <f>VLOOKUP(Table7[[#This Row],[Student_ID]],student_data[#All],6,0)</f>
        <v>3</v>
      </c>
      <c r="H122" s="1">
        <f>VLOOKUP(Table7[[#This Row],[Student_ID]],student_internships[],2,0)</f>
        <v>2</v>
      </c>
      <c r="I122" s="1">
        <f>VLOOKUP(Table7[[#This Row],[Student_ID]],Placements!A122:E1121,5,0)</f>
        <v>4.68</v>
      </c>
      <c r="J122" s="1" t="str">
        <f>IF(VLOOKUP(Table7[[#This Row],[Student_ID]],student_data[#All],5,0)&gt;8,"HIGH",IF(VLOOKUP(Table7[[#This Row],[Student_ID]],student_data[#All],5,0)&lt;6.5,"LOW","MEDIUM"))</f>
        <v>LOW</v>
      </c>
    </row>
    <row r="123" spans="1:10" x14ac:dyDescent="0.2">
      <c r="A123" s="1" t="s">
        <v>132</v>
      </c>
      <c r="B123" s="1" t="str">
        <f>VLOOKUP(Table7[[#This Row],[Student_ID]],student_data[#All],2,0)</f>
        <v>Electronics</v>
      </c>
      <c r="C123" s="1">
        <f>(VLOOKUP(Table7[[#This Row],[Student_ID]],student_data[],5,0)*5)+(VLOOKUP(Table7[[#This Row],[Student_ID]],student_data[],6,0)*3)+(VLOOKUP(Table7[[#This Row],[Student_ID]],student_skills[],6,0)*2)+(VLOOKUP(Table7[[#This Row],[Student_ID]],student_internships[],2,0)*5)</f>
        <v>58.65</v>
      </c>
      <c r="D123" s="1">
        <f>AVERAGE(VLOOKUP(Table7[[#This Row],[Student_ID]],student_skills[],3,0),VLOOKUP(Table7[[#This Row],[Student_ID]],student_skills[],4,0),VLOOKUP(Table7[[#This Row],[Student_ID]],student_skills[],5,0),VLOOKUP(Table7[[#This Row],[Student_ID]],student_skills[],6,0))</f>
        <v>6.75</v>
      </c>
      <c r="E123" s="1" t="str">
        <f>IF(VLOOKUP(Table7[[#This Row],[Student_ID]],student_internships[#All],2,0)&gt;1,"EXPERIENCED",IF(VLOOKUP(Table7[[#This Row],[Student_ID]],student_internships[#All],2,0)=1,"BEGINNER","NOT EXPERIENCED"))</f>
        <v>BEGINNER</v>
      </c>
      <c r="F123" s="1">
        <f>VLOOKUP(Table7[[#This Row],[Student_ID]],student_data[],5,0)</f>
        <v>6.33</v>
      </c>
      <c r="G123" s="1">
        <f>VLOOKUP(Table7[[#This Row],[Student_ID]],student_data[#All],6,0)</f>
        <v>4</v>
      </c>
      <c r="H123" s="1">
        <f>VLOOKUP(Table7[[#This Row],[Student_ID]],student_internships[],2,0)</f>
        <v>1</v>
      </c>
      <c r="I123" s="1">
        <f>VLOOKUP(Table7[[#This Row],[Student_ID]],Placements!A123:E1122,5,0)</f>
        <v>3.61</v>
      </c>
      <c r="J123" s="1" t="str">
        <f>IF(VLOOKUP(Table7[[#This Row],[Student_ID]],student_data[#All],5,0)&gt;8,"HIGH",IF(VLOOKUP(Table7[[#This Row],[Student_ID]],student_data[#All],5,0)&lt;6.5,"LOW","MEDIUM"))</f>
        <v>LOW</v>
      </c>
    </row>
    <row r="124" spans="1:10" x14ac:dyDescent="0.2">
      <c r="A124" s="1" t="s">
        <v>133</v>
      </c>
      <c r="B124" s="1" t="str">
        <f>VLOOKUP(Table7[[#This Row],[Student_ID]],student_data[#All],2,0)</f>
        <v>Electronics</v>
      </c>
      <c r="C124" s="1">
        <f>(VLOOKUP(Table7[[#This Row],[Student_ID]],student_data[],5,0)*5)+(VLOOKUP(Table7[[#This Row],[Student_ID]],student_data[],6,0)*3)+(VLOOKUP(Table7[[#This Row],[Student_ID]],student_skills[],6,0)*2)+(VLOOKUP(Table7[[#This Row],[Student_ID]],student_internships[],2,0)*5)</f>
        <v>63.55</v>
      </c>
      <c r="D124" s="1">
        <f>AVERAGE(VLOOKUP(Table7[[#This Row],[Student_ID]],student_skills[],3,0),VLOOKUP(Table7[[#This Row],[Student_ID]],student_skills[],4,0),VLOOKUP(Table7[[#This Row],[Student_ID]],student_skills[],5,0),VLOOKUP(Table7[[#This Row],[Student_ID]],student_skills[],6,0))</f>
        <v>7.75</v>
      </c>
      <c r="E124" s="1" t="str">
        <f>IF(VLOOKUP(Table7[[#This Row],[Student_ID]],student_internships[#All],2,0)&gt;1,"EXPERIENCED",IF(VLOOKUP(Table7[[#This Row],[Student_ID]],student_internships[#All],2,0)=1,"BEGINNER","NOT EXPERIENCED"))</f>
        <v>EXPERIENCED</v>
      </c>
      <c r="F124" s="1">
        <f>VLOOKUP(Table7[[#This Row],[Student_ID]],student_data[],5,0)</f>
        <v>5.1100000000000003</v>
      </c>
      <c r="G124" s="1">
        <f>VLOOKUP(Table7[[#This Row],[Student_ID]],student_data[#All],6,0)</f>
        <v>4</v>
      </c>
      <c r="H124" s="1">
        <f>VLOOKUP(Table7[[#This Row],[Student_ID]],student_internships[],2,0)</f>
        <v>2</v>
      </c>
      <c r="I124" s="1">
        <f>VLOOKUP(Table7[[#This Row],[Student_ID]],Placements!A124:E1123,5,0)</f>
        <v>5.01</v>
      </c>
      <c r="J124" s="1" t="str">
        <f>IF(VLOOKUP(Table7[[#This Row],[Student_ID]],student_data[#All],5,0)&gt;8,"HIGH",IF(VLOOKUP(Table7[[#This Row],[Student_ID]],student_data[#All],5,0)&lt;6.5,"LOW","MEDIUM"))</f>
        <v>LOW</v>
      </c>
    </row>
    <row r="125" spans="1:10" x14ac:dyDescent="0.2">
      <c r="A125" s="1" t="s">
        <v>134</v>
      </c>
      <c r="B125" s="1" t="str">
        <f>VLOOKUP(Table7[[#This Row],[Student_ID]],student_data[#All],2,0)</f>
        <v>Civil</v>
      </c>
      <c r="C125" s="1">
        <f>(VLOOKUP(Table7[[#This Row],[Student_ID]],student_data[],5,0)*5)+(VLOOKUP(Table7[[#This Row],[Student_ID]],student_data[],6,0)*3)+(VLOOKUP(Table7[[#This Row],[Student_ID]],student_skills[],6,0)*2)+(VLOOKUP(Table7[[#This Row],[Student_ID]],student_internships[],2,0)*5)</f>
        <v>68.599999999999994</v>
      </c>
      <c r="D125" s="1">
        <f>AVERAGE(VLOOKUP(Table7[[#This Row],[Student_ID]],student_skills[],3,0),VLOOKUP(Table7[[#This Row],[Student_ID]],student_skills[],4,0),VLOOKUP(Table7[[#This Row],[Student_ID]],student_skills[],5,0),VLOOKUP(Table7[[#This Row],[Student_ID]],student_skills[],6,0))</f>
        <v>7.25</v>
      </c>
      <c r="E125" s="1" t="str">
        <f>IF(VLOOKUP(Table7[[#This Row],[Student_ID]],student_internships[#All],2,0)&gt;1,"EXPERIENCED",IF(VLOOKUP(Table7[[#This Row],[Student_ID]],student_internships[#All],2,0)=1,"BEGINNER","NOT EXPERIENCED"))</f>
        <v>EXPERIENCED</v>
      </c>
      <c r="F125" s="1">
        <f>VLOOKUP(Table7[[#This Row],[Student_ID]],student_data[],5,0)</f>
        <v>7.92</v>
      </c>
      <c r="G125" s="1">
        <f>VLOOKUP(Table7[[#This Row],[Student_ID]],student_data[#All],6,0)</f>
        <v>3</v>
      </c>
      <c r="H125" s="1">
        <f>VLOOKUP(Table7[[#This Row],[Student_ID]],student_internships[],2,0)</f>
        <v>2</v>
      </c>
      <c r="I125" s="1">
        <f>VLOOKUP(Table7[[#This Row],[Student_ID]],Placements!A125:E1124,5,0)</f>
        <v>0</v>
      </c>
      <c r="J125" s="1" t="str">
        <f>IF(VLOOKUP(Table7[[#This Row],[Student_ID]],student_data[#All],5,0)&gt;8,"HIGH",IF(VLOOKUP(Table7[[#This Row],[Student_ID]],student_data[#All],5,0)&lt;6.5,"LOW","MEDIUM"))</f>
        <v>MEDIUM</v>
      </c>
    </row>
    <row r="126" spans="1:10" x14ac:dyDescent="0.2">
      <c r="A126" s="1" t="s">
        <v>135</v>
      </c>
      <c r="B126" s="1" t="str">
        <f>VLOOKUP(Table7[[#This Row],[Student_ID]],student_data[#All],2,0)</f>
        <v>Information Technology</v>
      </c>
      <c r="C126" s="1">
        <f>(VLOOKUP(Table7[[#This Row],[Student_ID]],student_data[],5,0)*5)+(VLOOKUP(Table7[[#This Row],[Student_ID]],student_data[],6,0)*3)+(VLOOKUP(Table7[[#This Row],[Student_ID]],student_skills[],6,0)*2)+(VLOOKUP(Table7[[#This Row],[Student_ID]],student_internships[],2,0)*5)</f>
        <v>65.050000000000011</v>
      </c>
      <c r="D126" s="1">
        <f>AVERAGE(VLOOKUP(Table7[[#This Row],[Student_ID]],student_skills[],3,0),VLOOKUP(Table7[[#This Row],[Student_ID]],student_skills[],4,0),VLOOKUP(Table7[[#This Row],[Student_ID]],student_skills[],5,0),VLOOKUP(Table7[[#This Row],[Student_ID]],student_skills[],6,0))</f>
        <v>3</v>
      </c>
      <c r="E126" s="1" t="str">
        <f>IF(VLOOKUP(Table7[[#This Row],[Student_ID]],student_internships[#All],2,0)&gt;1,"EXPERIENCED",IF(VLOOKUP(Table7[[#This Row],[Student_ID]],student_internships[#All],2,0)=1,"BEGINNER","NOT EXPERIENCED"))</f>
        <v>BEGINNER</v>
      </c>
      <c r="F126" s="1">
        <f>VLOOKUP(Table7[[#This Row],[Student_ID]],student_data[],5,0)</f>
        <v>9.2100000000000009</v>
      </c>
      <c r="G126" s="1">
        <f>VLOOKUP(Table7[[#This Row],[Student_ID]],student_data[#All],6,0)</f>
        <v>4</v>
      </c>
      <c r="H126" s="1">
        <f>VLOOKUP(Table7[[#This Row],[Student_ID]],student_internships[],2,0)</f>
        <v>1</v>
      </c>
      <c r="I126" s="1">
        <f>VLOOKUP(Table7[[#This Row],[Student_ID]],Placements!A126:E1125,5,0)</f>
        <v>4.6900000000000004</v>
      </c>
      <c r="J126" s="1" t="str">
        <f>IF(VLOOKUP(Table7[[#This Row],[Student_ID]],student_data[#All],5,0)&gt;8,"HIGH",IF(VLOOKUP(Table7[[#This Row],[Student_ID]],student_data[#All],5,0)&lt;6.5,"LOW","MEDIUM"))</f>
        <v>HIGH</v>
      </c>
    </row>
    <row r="127" spans="1:10" x14ac:dyDescent="0.2">
      <c r="A127" s="1" t="s">
        <v>136</v>
      </c>
      <c r="B127" s="1" t="str">
        <f>VLOOKUP(Table7[[#This Row],[Student_ID]],student_data[#All],2,0)</f>
        <v>Mechanical</v>
      </c>
      <c r="C127" s="1">
        <f>(VLOOKUP(Table7[[#This Row],[Student_ID]],student_data[],5,0)*5)+(VLOOKUP(Table7[[#This Row],[Student_ID]],student_data[],6,0)*3)+(VLOOKUP(Table7[[#This Row],[Student_ID]],student_skills[],6,0)*2)+(VLOOKUP(Table7[[#This Row],[Student_ID]],student_internships[],2,0)*5)</f>
        <v>51.7</v>
      </c>
      <c r="D127" s="1">
        <f>AVERAGE(VLOOKUP(Table7[[#This Row],[Student_ID]],student_skills[],3,0),VLOOKUP(Table7[[#This Row],[Student_ID]],student_skills[],4,0),VLOOKUP(Table7[[#This Row],[Student_ID]],student_skills[],5,0),VLOOKUP(Table7[[#This Row],[Student_ID]],student_skills[],6,0))</f>
        <v>4.5</v>
      </c>
      <c r="E127" s="1" t="str">
        <f>IF(VLOOKUP(Table7[[#This Row],[Student_ID]],student_internships[#All],2,0)&gt;1,"EXPERIENCED",IF(VLOOKUP(Table7[[#This Row],[Student_ID]],student_internships[#All],2,0)=1,"BEGINNER","NOT EXPERIENCED"))</f>
        <v>NOT EXPERIENCED</v>
      </c>
      <c r="F127" s="1">
        <f>VLOOKUP(Table7[[#This Row],[Student_ID]],student_data[],5,0)</f>
        <v>7.74</v>
      </c>
      <c r="G127" s="1">
        <f>VLOOKUP(Table7[[#This Row],[Student_ID]],student_data[#All],6,0)</f>
        <v>1</v>
      </c>
      <c r="H127" s="1">
        <f>VLOOKUP(Table7[[#This Row],[Student_ID]],student_internships[],2,0)</f>
        <v>0</v>
      </c>
      <c r="I127" s="1">
        <f>VLOOKUP(Table7[[#This Row],[Student_ID]],Placements!A127:E1126,5,0)</f>
        <v>0</v>
      </c>
      <c r="J127" s="1" t="str">
        <f>IF(VLOOKUP(Table7[[#This Row],[Student_ID]],student_data[#All],5,0)&gt;8,"HIGH",IF(VLOOKUP(Table7[[#This Row],[Student_ID]],student_data[#All],5,0)&lt;6.5,"LOW","MEDIUM"))</f>
        <v>MEDIUM</v>
      </c>
    </row>
    <row r="128" spans="1:10" x14ac:dyDescent="0.2">
      <c r="A128" s="1" t="s">
        <v>137</v>
      </c>
      <c r="B128" s="1" t="str">
        <f>VLOOKUP(Table7[[#This Row],[Student_ID]],student_data[#All],2,0)</f>
        <v>Computer Science</v>
      </c>
      <c r="C128" s="1">
        <f>(VLOOKUP(Table7[[#This Row],[Student_ID]],student_data[],5,0)*5)+(VLOOKUP(Table7[[#This Row],[Student_ID]],student_data[],6,0)*3)+(VLOOKUP(Table7[[#This Row],[Student_ID]],student_skills[],6,0)*2)+(VLOOKUP(Table7[[#This Row],[Student_ID]],student_internships[],2,0)*5)</f>
        <v>53.5</v>
      </c>
      <c r="D128" s="1">
        <f>AVERAGE(VLOOKUP(Table7[[#This Row],[Student_ID]],student_skills[],3,0),VLOOKUP(Table7[[#This Row],[Student_ID]],student_skills[],4,0),VLOOKUP(Table7[[#This Row],[Student_ID]],student_skills[],5,0),VLOOKUP(Table7[[#This Row],[Student_ID]],student_skills[],6,0))</f>
        <v>2</v>
      </c>
      <c r="E128" s="1" t="str">
        <f>IF(VLOOKUP(Table7[[#This Row],[Student_ID]],student_internships[#All],2,0)&gt;1,"EXPERIENCED",IF(VLOOKUP(Table7[[#This Row],[Student_ID]],student_internships[#All],2,0)=1,"BEGINNER","NOT EXPERIENCED"))</f>
        <v>NOT EXPERIENCED</v>
      </c>
      <c r="F128" s="1">
        <f>VLOOKUP(Table7[[#This Row],[Student_ID]],student_data[],5,0)</f>
        <v>6.1</v>
      </c>
      <c r="G128" s="1">
        <f>VLOOKUP(Table7[[#This Row],[Student_ID]],student_data[#All],6,0)</f>
        <v>5</v>
      </c>
      <c r="H128" s="1">
        <f>VLOOKUP(Table7[[#This Row],[Student_ID]],student_internships[],2,0)</f>
        <v>0</v>
      </c>
      <c r="I128" s="1">
        <f>VLOOKUP(Table7[[#This Row],[Student_ID]],Placements!A128:E1127,5,0)</f>
        <v>0</v>
      </c>
      <c r="J128" s="1" t="str">
        <f>IF(VLOOKUP(Table7[[#This Row],[Student_ID]],student_data[#All],5,0)&gt;8,"HIGH",IF(VLOOKUP(Table7[[#This Row],[Student_ID]],student_data[#All],5,0)&lt;6.5,"LOW","MEDIUM"))</f>
        <v>LOW</v>
      </c>
    </row>
    <row r="129" spans="1:10" x14ac:dyDescent="0.2">
      <c r="A129" s="1" t="s">
        <v>138</v>
      </c>
      <c r="B129" s="1" t="str">
        <f>VLOOKUP(Table7[[#This Row],[Student_ID]],student_data[#All],2,0)</f>
        <v>Civil</v>
      </c>
      <c r="C129" s="1">
        <f>(VLOOKUP(Table7[[#This Row],[Student_ID]],student_data[],5,0)*5)+(VLOOKUP(Table7[[#This Row],[Student_ID]],student_data[],6,0)*3)+(VLOOKUP(Table7[[#This Row],[Student_ID]],student_skills[],6,0)*2)+(VLOOKUP(Table7[[#This Row],[Student_ID]],student_internships[],2,0)*5)</f>
        <v>51.85</v>
      </c>
      <c r="D129" s="1">
        <f>AVERAGE(VLOOKUP(Table7[[#This Row],[Student_ID]],student_skills[],3,0),VLOOKUP(Table7[[#This Row],[Student_ID]],student_skills[],4,0),VLOOKUP(Table7[[#This Row],[Student_ID]],student_skills[],5,0),VLOOKUP(Table7[[#This Row],[Student_ID]],student_skills[],6,0))</f>
        <v>5</v>
      </c>
      <c r="E129" s="1" t="str">
        <f>IF(VLOOKUP(Table7[[#This Row],[Student_ID]],student_internships[#All],2,0)&gt;1,"EXPERIENCED",IF(VLOOKUP(Table7[[#This Row],[Student_ID]],student_internships[#All],2,0)=1,"BEGINNER","NOT EXPERIENCED"))</f>
        <v>BEGINNER</v>
      </c>
      <c r="F129" s="1">
        <f>VLOOKUP(Table7[[#This Row],[Student_ID]],student_data[],5,0)</f>
        <v>5.17</v>
      </c>
      <c r="G129" s="1">
        <f>VLOOKUP(Table7[[#This Row],[Student_ID]],student_data[#All],6,0)</f>
        <v>3</v>
      </c>
      <c r="H129" s="1">
        <f>VLOOKUP(Table7[[#This Row],[Student_ID]],student_internships[],2,0)</f>
        <v>1</v>
      </c>
      <c r="I129" s="1">
        <f>VLOOKUP(Table7[[#This Row],[Student_ID]],Placements!A129:E1128,5,0)</f>
        <v>5.42</v>
      </c>
      <c r="J129" s="1" t="str">
        <f>IF(VLOOKUP(Table7[[#This Row],[Student_ID]],student_data[#All],5,0)&gt;8,"HIGH",IF(VLOOKUP(Table7[[#This Row],[Student_ID]],student_data[#All],5,0)&lt;6.5,"LOW","MEDIUM"))</f>
        <v>LOW</v>
      </c>
    </row>
    <row r="130" spans="1:10" x14ac:dyDescent="0.2">
      <c r="A130" s="1" t="s">
        <v>139</v>
      </c>
      <c r="B130" s="1" t="str">
        <f>VLOOKUP(Table7[[#This Row],[Student_ID]],student_data[#All],2,0)</f>
        <v>Information Technology</v>
      </c>
      <c r="C130" s="1">
        <f>(VLOOKUP(Table7[[#This Row],[Student_ID]],student_data[],5,0)*5)+(VLOOKUP(Table7[[#This Row],[Student_ID]],student_data[],6,0)*3)+(VLOOKUP(Table7[[#This Row],[Student_ID]],student_skills[],6,0)*2)+(VLOOKUP(Table7[[#This Row],[Student_ID]],student_internships[],2,0)*5)</f>
        <v>49.35</v>
      </c>
      <c r="D130" s="1">
        <f>AVERAGE(VLOOKUP(Table7[[#This Row],[Student_ID]],student_skills[],3,0),VLOOKUP(Table7[[#This Row],[Student_ID]],student_skills[],4,0),VLOOKUP(Table7[[#This Row],[Student_ID]],student_skills[],5,0),VLOOKUP(Table7[[#This Row],[Student_ID]],student_skills[],6,0))</f>
        <v>3</v>
      </c>
      <c r="E130" s="1" t="str">
        <f>IF(VLOOKUP(Table7[[#This Row],[Student_ID]],student_internships[#All],2,0)&gt;1,"EXPERIENCED",IF(VLOOKUP(Table7[[#This Row],[Student_ID]],student_internships[#All],2,0)=1,"BEGINNER","NOT EXPERIENCED"))</f>
        <v>EXPERIENCED</v>
      </c>
      <c r="F130" s="1">
        <f>VLOOKUP(Table7[[#This Row],[Student_ID]],student_data[],5,0)</f>
        <v>6.07</v>
      </c>
      <c r="G130" s="1">
        <f>VLOOKUP(Table7[[#This Row],[Student_ID]],student_data[#All],6,0)</f>
        <v>1</v>
      </c>
      <c r="H130" s="1">
        <f>VLOOKUP(Table7[[#This Row],[Student_ID]],student_internships[],2,0)</f>
        <v>2</v>
      </c>
      <c r="I130" s="1">
        <f>VLOOKUP(Table7[[#This Row],[Student_ID]],Placements!A130:E1129,5,0)</f>
        <v>0</v>
      </c>
      <c r="J130" s="1" t="str">
        <f>IF(VLOOKUP(Table7[[#This Row],[Student_ID]],student_data[#All],5,0)&gt;8,"HIGH",IF(VLOOKUP(Table7[[#This Row],[Student_ID]],student_data[#All],5,0)&lt;6.5,"LOW","MEDIUM"))</f>
        <v>LOW</v>
      </c>
    </row>
    <row r="131" spans="1:10" x14ac:dyDescent="0.2">
      <c r="A131" s="1" t="s">
        <v>140</v>
      </c>
      <c r="B131" s="1" t="str">
        <f>VLOOKUP(Table7[[#This Row],[Student_ID]],student_data[#All],2,0)</f>
        <v>Civil</v>
      </c>
      <c r="C131" s="1">
        <f>(VLOOKUP(Table7[[#This Row],[Student_ID]],student_data[],5,0)*5)+(VLOOKUP(Table7[[#This Row],[Student_ID]],student_data[],6,0)*3)+(VLOOKUP(Table7[[#This Row],[Student_ID]],student_skills[],6,0)*2)+(VLOOKUP(Table7[[#This Row],[Student_ID]],student_internships[],2,0)*5)</f>
        <v>70.400000000000006</v>
      </c>
      <c r="D131" s="1">
        <f>AVERAGE(VLOOKUP(Table7[[#This Row],[Student_ID]],student_skills[],3,0),VLOOKUP(Table7[[#This Row],[Student_ID]],student_skills[],4,0),VLOOKUP(Table7[[#This Row],[Student_ID]],student_skills[],5,0),VLOOKUP(Table7[[#This Row],[Student_ID]],student_skills[],6,0))</f>
        <v>3.75</v>
      </c>
      <c r="E131" s="1" t="str">
        <f>IF(VLOOKUP(Table7[[#This Row],[Student_ID]],student_internships[#All],2,0)&gt;1,"EXPERIENCED",IF(VLOOKUP(Table7[[#This Row],[Student_ID]],student_internships[#All],2,0)=1,"BEGINNER","NOT EXPERIENCED"))</f>
        <v>EXPERIENCED</v>
      </c>
      <c r="F131" s="1">
        <f>VLOOKUP(Table7[[#This Row],[Student_ID]],student_data[],5,0)</f>
        <v>7.08</v>
      </c>
      <c r="G131" s="1">
        <f>VLOOKUP(Table7[[#This Row],[Student_ID]],student_data[#All],6,0)</f>
        <v>5</v>
      </c>
      <c r="H131" s="1">
        <f>VLOOKUP(Table7[[#This Row],[Student_ID]],student_internships[],2,0)</f>
        <v>2</v>
      </c>
      <c r="I131" s="1">
        <f>VLOOKUP(Table7[[#This Row],[Student_ID]],Placements!A131:E1130,5,0)</f>
        <v>39.06</v>
      </c>
      <c r="J131" s="1" t="str">
        <f>IF(VLOOKUP(Table7[[#This Row],[Student_ID]],student_data[#All],5,0)&gt;8,"HIGH",IF(VLOOKUP(Table7[[#This Row],[Student_ID]],student_data[#All],5,0)&lt;6.5,"LOW","MEDIUM"))</f>
        <v>MEDIUM</v>
      </c>
    </row>
    <row r="132" spans="1:10" x14ac:dyDescent="0.2">
      <c r="A132" s="1" t="s">
        <v>141</v>
      </c>
      <c r="B132" s="1" t="str">
        <f>VLOOKUP(Table7[[#This Row],[Student_ID]],student_data[#All],2,0)</f>
        <v>Information Technology</v>
      </c>
      <c r="C132" s="1">
        <f>(VLOOKUP(Table7[[#This Row],[Student_ID]],student_data[],5,0)*5)+(VLOOKUP(Table7[[#This Row],[Student_ID]],student_data[],6,0)*3)+(VLOOKUP(Table7[[#This Row],[Student_ID]],student_skills[],6,0)*2)+(VLOOKUP(Table7[[#This Row],[Student_ID]],student_internships[],2,0)*5)</f>
        <v>63</v>
      </c>
      <c r="D132" s="1">
        <f>AVERAGE(VLOOKUP(Table7[[#This Row],[Student_ID]],student_skills[],3,0),VLOOKUP(Table7[[#This Row],[Student_ID]],student_skills[],4,0),VLOOKUP(Table7[[#This Row],[Student_ID]],student_skills[],5,0),VLOOKUP(Table7[[#This Row],[Student_ID]],student_skills[],6,0))</f>
        <v>5.25</v>
      </c>
      <c r="E132" s="1" t="str">
        <f>IF(VLOOKUP(Table7[[#This Row],[Student_ID]],student_internships[#All],2,0)&gt;1,"EXPERIENCED",IF(VLOOKUP(Table7[[#This Row],[Student_ID]],student_internships[#All],2,0)=1,"BEGINNER","NOT EXPERIENCED"))</f>
        <v>NOT EXPERIENCED</v>
      </c>
      <c r="F132" s="1">
        <f>VLOOKUP(Table7[[#This Row],[Student_ID]],student_data[],5,0)</f>
        <v>8.8000000000000007</v>
      </c>
      <c r="G132" s="1">
        <f>VLOOKUP(Table7[[#This Row],[Student_ID]],student_data[#All],6,0)</f>
        <v>5</v>
      </c>
      <c r="H132" s="1">
        <f>VLOOKUP(Table7[[#This Row],[Student_ID]],student_internships[],2,0)</f>
        <v>0</v>
      </c>
      <c r="I132" s="1">
        <f>VLOOKUP(Table7[[#This Row],[Student_ID]],Placements!A132:E1131,5,0)</f>
        <v>3.66</v>
      </c>
      <c r="J132" s="1" t="str">
        <f>IF(VLOOKUP(Table7[[#This Row],[Student_ID]],student_data[#All],5,0)&gt;8,"HIGH",IF(VLOOKUP(Table7[[#This Row],[Student_ID]],student_data[#All],5,0)&lt;6.5,"LOW","MEDIUM"))</f>
        <v>HIGH</v>
      </c>
    </row>
    <row r="133" spans="1:10" x14ac:dyDescent="0.2">
      <c r="A133" s="1" t="s">
        <v>142</v>
      </c>
      <c r="B133" s="1" t="str">
        <f>VLOOKUP(Table7[[#This Row],[Student_ID]],student_data[#All],2,0)</f>
        <v>Information Technology</v>
      </c>
      <c r="C133" s="1">
        <f>(VLOOKUP(Table7[[#This Row],[Student_ID]],student_data[],5,0)*5)+(VLOOKUP(Table7[[#This Row],[Student_ID]],student_data[],6,0)*3)+(VLOOKUP(Table7[[#This Row],[Student_ID]],student_skills[],6,0)*2)+(VLOOKUP(Table7[[#This Row],[Student_ID]],student_internships[],2,0)*5)</f>
        <v>49.7</v>
      </c>
      <c r="D133" s="1">
        <f>AVERAGE(VLOOKUP(Table7[[#This Row],[Student_ID]],student_skills[],3,0),VLOOKUP(Table7[[#This Row],[Student_ID]],student_skills[],4,0),VLOOKUP(Table7[[#This Row],[Student_ID]],student_skills[],5,0),VLOOKUP(Table7[[#This Row],[Student_ID]],student_skills[],6,0))</f>
        <v>5.75</v>
      </c>
      <c r="E133" s="1" t="str">
        <f>IF(VLOOKUP(Table7[[#This Row],[Student_ID]],student_internships[#All],2,0)&gt;1,"EXPERIENCED",IF(VLOOKUP(Table7[[#This Row],[Student_ID]],student_internships[#All],2,0)=1,"BEGINNER","NOT EXPERIENCED"))</f>
        <v>BEGINNER</v>
      </c>
      <c r="F133" s="1">
        <f>VLOOKUP(Table7[[#This Row],[Student_ID]],student_data[],5,0)</f>
        <v>5.94</v>
      </c>
      <c r="G133" s="1">
        <f>VLOOKUP(Table7[[#This Row],[Student_ID]],student_data[#All],6,0)</f>
        <v>1</v>
      </c>
      <c r="H133" s="1">
        <f>VLOOKUP(Table7[[#This Row],[Student_ID]],student_internships[],2,0)</f>
        <v>1</v>
      </c>
      <c r="I133" s="1">
        <f>VLOOKUP(Table7[[#This Row],[Student_ID]],Placements!A133:E1132,5,0)</f>
        <v>3.69</v>
      </c>
      <c r="J133" s="1" t="str">
        <f>IF(VLOOKUP(Table7[[#This Row],[Student_ID]],student_data[#All],5,0)&gt;8,"HIGH",IF(VLOOKUP(Table7[[#This Row],[Student_ID]],student_data[#All],5,0)&lt;6.5,"LOW","MEDIUM"))</f>
        <v>LOW</v>
      </c>
    </row>
    <row r="134" spans="1:10" x14ac:dyDescent="0.2">
      <c r="A134" s="1" t="s">
        <v>143</v>
      </c>
      <c r="B134" s="1" t="str">
        <f>VLOOKUP(Table7[[#This Row],[Student_ID]],student_data[#All],2,0)</f>
        <v>Mechanical</v>
      </c>
      <c r="C134" s="1">
        <f>(VLOOKUP(Table7[[#This Row],[Student_ID]],student_data[],5,0)*5)+(VLOOKUP(Table7[[#This Row],[Student_ID]],student_data[],6,0)*3)+(VLOOKUP(Table7[[#This Row],[Student_ID]],student_skills[],6,0)*2)+(VLOOKUP(Table7[[#This Row],[Student_ID]],student_internships[],2,0)*5)</f>
        <v>66</v>
      </c>
      <c r="D134" s="1">
        <f>AVERAGE(VLOOKUP(Table7[[#This Row],[Student_ID]],student_skills[],3,0),VLOOKUP(Table7[[#This Row],[Student_ID]],student_skills[],4,0),VLOOKUP(Table7[[#This Row],[Student_ID]],student_skills[],5,0),VLOOKUP(Table7[[#This Row],[Student_ID]],student_skills[],6,0))</f>
        <v>6</v>
      </c>
      <c r="E134" s="1" t="str">
        <f>IF(VLOOKUP(Table7[[#This Row],[Student_ID]],student_internships[#All],2,0)&gt;1,"EXPERIENCED",IF(VLOOKUP(Table7[[#This Row],[Student_ID]],student_internships[#All],2,0)=1,"BEGINNER","NOT EXPERIENCED"))</f>
        <v>BEGINNER</v>
      </c>
      <c r="F134" s="1">
        <f>VLOOKUP(Table7[[#This Row],[Student_ID]],student_data[],5,0)</f>
        <v>8.6</v>
      </c>
      <c r="G134" s="1">
        <f>VLOOKUP(Table7[[#This Row],[Student_ID]],student_data[#All],6,0)</f>
        <v>2</v>
      </c>
      <c r="H134" s="1">
        <f>VLOOKUP(Table7[[#This Row],[Student_ID]],student_internships[],2,0)</f>
        <v>1</v>
      </c>
      <c r="I134" s="1">
        <f>VLOOKUP(Table7[[#This Row],[Student_ID]],Placements!A134:E1133,5,0)</f>
        <v>0</v>
      </c>
      <c r="J134" s="1" t="str">
        <f>IF(VLOOKUP(Table7[[#This Row],[Student_ID]],student_data[#All],5,0)&gt;8,"HIGH",IF(VLOOKUP(Table7[[#This Row],[Student_ID]],student_data[#All],5,0)&lt;6.5,"LOW","MEDIUM"))</f>
        <v>HIGH</v>
      </c>
    </row>
    <row r="135" spans="1:10" x14ac:dyDescent="0.2">
      <c r="A135" s="1" t="s">
        <v>144</v>
      </c>
      <c r="B135" s="1" t="str">
        <f>VLOOKUP(Table7[[#This Row],[Student_ID]],student_data[#All],2,0)</f>
        <v>Information Technology</v>
      </c>
      <c r="C135" s="1">
        <f>(VLOOKUP(Table7[[#This Row],[Student_ID]],student_data[],5,0)*5)+(VLOOKUP(Table7[[#This Row],[Student_ID]],student_data[],6,0)*3)+(VLOOKUP(Table7[[#This Row],[Student_ID]],student_skills[],6,0)*2)+(VLOOKUP(Table7[[#This Row],[Student_ID]],student_internships[],2,0)*5)</f>
        <v>65.650000000000006</v>
      </c>
      <c r="D135" s="1">
        <f>AVERAGE(VLOOKUP(Table7[[#This Row],[Student_ID]],student_skills[],3,0),VLOOKUP(Table7[[#This Row],[Student_ID]],student_skills[],4,0),VLOOKUP(Table7[[#This Row],[Student_ID]],student_skills[],5,0),VLOOKUP(Table7[[#This Row],[Student_ID]],student_skills[],6,0))</f>
        <v>6.25</v>
      </c>
      <c r="E135" s="1" t="str">
        <f>IF(VLOOKUP(Table7[[#This Row],[Student_ID]],student_internships[#All],2,0)&gt;1,"EXPERIENCED",IF(VLOOKUP(Table7[[#This Row],[Student_ID]],student_internships[#All],2,0)=1,"BEGINNER","NOT EXPERIENCED"))</f>
        <v>NOT EXPERIENCED</v>
      </c>
      <c r="F135" s="1">
        <f>VLOOKUP(Table7[[#This Row],[Student_ID]],student_data[],5,0)</f>
        <v>9.33</v>
      </c>
      <c r="G135" s="1">
        <f>VLOOKUP(Table7[[#This Row],[Student_ID]],student_data[#All],6,0)</f>
        <v>3</v>
      </c>
      <c r="H135" s="1">
        <f>VLOOKUP(Table7[[#This Row],[Student_ID]],student_internships[],2,0)</f>
        <v>0</v>
      </c>
      <c r="I135" s="1">
        <f>VLOOKUP(Table7[[#This Row],[Student_ID]],Placements!A135:E1134,5,0)</f>
        <v>9.39</v>
      </c>
      <c r="J135" s="1" t="str">
        <f>IF(VLOOKUP(Table7[[#This Row],[Student_ID]],student_data[#All],5,0)&gt;8,"HIGH",IF(VLOOKUP(Table7[[#This Row],[Student_ID]],student_data[#All],5,0)&lt;6.5,"LOW","MEDIUM"))</f>
        <v>HIGH</v>
      </c>
    </row>
    <row r="136" spans="1:10" x14ac:dyDescent="0.2">
      <c r="A136" s="1" t="s">
        <v>145</v>
      </c>
      <c r="B136" s="1" t="str">
        <f>VLOOKUP(Table7[[#This Row],[Student_ID]],student_data[#All],2,0)</f>
        <v>Civil</v>
      </c>
      <c r="C136" s="1">
        <f>(VLOOKUP(Table7[[#This Row],[Student_ID]],student_data[],5,0)*5)+(VLOOKUP(Table7[[#This Row],[Student_ID]],student_data[],6,0)*3)+(VLOOKUP(Table7[[#This Row],[Student_ID]],student_skills[],6,0)*2)+(VLOOKUP(Table7[[#This Row],[Student_ID]],student_internships[],2,0)*5)</f>
        <v>63.349999999999994</v>
      </c>
      <c r="D136" s="1">
        <f>AVERAGE(VLOOKUP(Table7[[#This Row],[Student_ID]],student_skills[],3,0),VLOOKUP(Table7[[#This Row],[Student_ID]],student_skills[],4,0),VLOOKUP(Table7[[#This Row],[Student_ID]],student_skills[],5,0),VLOOKUP(Table7[[#This Row],[Student_ID]],student_skills[],6,0))</f>
        <v>4</v>
      </c>
      <c r="E136" s="1" t="str">
        <f>IF(VLOOKUP(Table7[[#This Row],[Student_ID]],student_internships[#All],2,0)&gt;1,"EXPERIENCED",IF(VLOOKUP(Table7[[#This Row],[Student_ID]],student_internships[#All],2,0)=1,"BEGINNER","NOT EXPERIENCED"))</f>
        <v>NOT EXPERIENCED</v>
      </c>
      <c r="F136" s="1">
        <f>VLOOKUP(Table7[[#This Row],[Student_ID]],student_data[],5,0)</f>
        <v>7.27</v>
      </c>
      <c r="G136" s="1">
        <f>VLOOKUP(Table7[[#This Row],[Student_ID]],student_data[#All],6,0)</f>
        <v>5</v>
      </c>
      <c r="H136" s="1">
        <f>VLOOKUP(Table7[[#This Row],[Student_ID]],student_internships[],2,0)</f>
        <v>0</v>
      </c>
      <c r="I136" s="1">
        <f>VLOOKUP(Table7[[#This Row],[Student_ID]],Placements!A136:E1135,5,0)</f>
        <v>0</v>
      </c>
      <c r="J136" s="1" t="str">
        <f>IF(VLOOKUP(Table7[[#This Row],[Student_ID]],student_data[#All],5,0)&gt;8,"HIGH",IF(VLOOKUP(Table7[[#This Row],[Student_ID]],student_data[#All],5,0)&lt;6.5,"LOW","MEDIUM"))</f>
        <v>MEDIUM</v>
      </c>
    </row>
    <row r="137" spans="1:10" x14ac:dyDescent="0.2">
      <c r="A137" s="1" t="s">
        <v>146</v>
      </c>
      <c r="B137" s="1" t="str">
        <f>VLOOKUP(Table7[[#This Row],[Student_ID]],student_data[#All],2,0)</f>
        <v>Information Technology</v>
      </c>
      <c r="C137" s="1">
        <f>(VLOOKUP(Table7[[#This Row],[Student_ID]],student_data[],5,0)*5)+(VLOOKUP(Table7[[#This Row],[Student_ID]],student_data[],6,0)*3)+(VLOOKUP(Table7[[#This Row],[Student_ID]],student_skills[],6,0)*2)+(VLOOKUP(Table7[[#This Row],[Student_ID]],student_internships[],2,0)*5)</f>
        <v>79.55</v>
      </c>
      <c r="D137" s="1">
        <f>AVERAGE(VLOOKUP(Table7[[#This Row],[Student_ID]],student_skills[],3,0),VLOOKUP(Table7[[#This Row],[Student_ID]],student_skills[],4,0),VLOOKUP(Table7[[#This Row],[Student_ID]],student_skills[],5,0),VLOOKUP(Table7[[#This Row],[Student_ID]],student_skills[],6,0))</f>
        <v>7</v>
      </c>
      <c r="E137" s="1" t="str">
        <f>IF(VLOOKUP(Table7[[#This Row],[Student_ID]],student_internships[#All],2,0)&gt;1,"EXPERIENCED",IF(VLOOKUP(Table7[[#This Row],[Student_ID]],student_internships[#All],2,0)=1,"BEGINNER","NOT EXPERIENCED"))</f>
        <v>BEGINNER</v>
      </c>
      <c r="F137" s="1">
        <f>VLOOKUP(Table7[[#This Row],[Student_ID]],student_data[],5,0)</f>
        <v>9.11</v>
      </c>
      <c r="G137" s="1">
        <f>VLOOKUP(Table7[[#This Row],[Student_ID]],student_data[#All],6,0)</f>
        <v>5</v>
      </c>
      <c r="H137" s="1">
        <f>VLOOKUP(Table7[[#This Row],[Student_ID]],student_internships[],2,0)</f>
        <v>1</v>
      </c>
      <c r="I137" s="1">
        <f>VLOOKUP(Table7[[#This Row],[Student_ID]],Placements!A137:E1136,5,0)</f>
        <v>6.68</v>
      </c>
      <c r="J137" s="1" t="str">
        <f>IF(VLOOKUP(Table7[[#This Row],[Student_ID]],student_data[#All],5,0)&gt;8,"HIGH",IF(VLOOKUP(Table7[[#This Row],[Student_ID]],student_data[#All],5,0)&lt;6.5,"LOW","MEDIUM"))</f>
        <v>HIGH</v>
      </c>
    </row>
    <row r="138" spans="1:10" x14ac:dyDescent="0.2">
      <c r="A138" s="1" t="s">
        <v>147</v>
      </c>
      <c r="B138" s="1" t="str">
        <f>VLOOKUP(Table7[[#This Row],[Student_ID]],student_data[#All],2,0)</f>
        <v>Mechanical</v>
      </c>
      <c r="C138" s="1">
        <f>(VLOOKUP(Table7[[#This Row],[Student_ID]],student_data[],5,0)*5)+(VLOOKUP(Table7[[#This Row],[Student_ID]],student_data[],6,0)*3)+(VLOOKUP(Table7[[#This Row],[Student_ID]],student_skills[],6,0)*2)+(VLOOKUP(Table7[[#This Row],[Student_ID]],student_internships[],2,0)*5)</f>
        <v>75.849999999999994</v>
      </c>
      <c r="D138" s="1">
        <f>AVERAGE(VLOOKUP(Table7[[#This Row],[Student_ID]],student_skills[],3,0),VLOOKUP(Table7[[#This Row],[Student_ID]],student_skills[],4,0),VLOOKUP(Table7[[#This Row],[Student_ID]],student_skills[],5,0),VLOOKUP(Table7[[#This Row],[Student_ID]],student_skills[],6,0))</f>
        <v>4.5</v>
      </c>
      <c r="E138" s="1" t="str">
        <f>IF(VLOOKUP(Table7[[#This Row],[Student_ID]],student_internships[#All],2,0)&gt;1,"EXPERIENCED",IF(VLOOKUP(Table7[[#This Row],[Student_ID]],student_internships[#All],2,0)=1,"BEGINNER","NOT EXPERIENCED"))</f>
        <v>EXPERIENCED</v>
      </c>
      <c r="F138" s="1">
        <f>VLOOKUP(Table7[[#This Row],[Student_ID]],student_data[],5,0)</f>
        <v>7.77</v>
      </c>
      <c r="G138" s="1">
        <f>VLOOKUP(Table7[[#This Row],[Student_ID]],student_data[#All],6,0)</f>
        <v>4</v>
      </c>
      <c r="H138" s="1">
        <f>VLOOKUP(Table7[[#This Row],[Student_ID]],student_internships[],2,0)</f>
        <v>3</v>
      </c>
      <c r="I138" s="1">
        <f>VLOOKUP(Table7[[#This Row],[Student_ID]],Placements!A138:E1137,5,0)</f>
        <v>0</v>
      </c>
      <c r="J138" s="1" t="str">
        <f>IF(VLOOKUP(Table7[[#This Row],[Student_ID]],student_data[#All],5,0)&gt;8,"HIGH",IF(VLOOKUP(Table7[[#This Row],[Student_ID]],student_data[#All],5,0)&lt;6.5,"LOW","MEDIUM"))</f>
        <v>MEDIUM</v>
      </c>
    </row>
    <row r="139" spans="1:10" x14ac:dyDescent="0.2">
      <c r="A139" s="1" t="s">
        <v>148</v>
      </c>
      <c r="B139" s="1" t="str">
        <f>VLOOKUP(Table7[[#This Row],[Student_ID]],student_data[#All],2,0)</f>
        <v>Mechanical</v>
      </c>
      <c r="C139" s="1">
        <f>(VLOOKUP(Table7[[#This Row],[Student_ID]],student_data[],5,0)*5)+(VLOOKUP(Table7[[#This Row],[Student_ID]],student_data[],6,0)*3)+(VLOOKUP(Table7[[#This Row],[Student_ID]],student_skills[],6,0)*2)+(VLOOKUP(Table7[[#This Row],[Student_ID]],student_internships[],2,0)*5)</f>
        <v>62.949999999999996</v>
      </c>
      <c r="D139" s="1">
        <f>AVERAGE(VLOOKUP(Table7[[#This Row],[Student_ID]],student_skills[],3,0),VLOOKUP(Table7[[#This Row],[Student_ID]],student_skills[],4,0),VLOOKUP(Table7[[#This Row],[Student_ID]],student_skills[],5,0),VLOOKUP(Table7[[#This Row],[Student_ID]],student_skills[],6,0))</f>
        <v>4.75</v>
      </c>
      <c r="E139" s="1" t="str">
        <f>IF(VLOOKUP(Table7[[#This Row],[Student_ID]],student_internships[#All],2,0)&gt;1,"EXPERIENCED",IF(VLOOKUP(Table7[[#This Row],[Student_ID]],student_internships[#All],2,0)=1,"BEGINNER","NOT EXPERIENCED"))</f>
        <v>BEGINNER</v>
      </c>
      <c r="F139" s="1">
        <f>VLOOKUP(Table7[[#This Row],[Student_ID]],student_data[],5,0)</f>
        <v>8.19</v>
      </c>
      <c r="G139" s="1">
        <f>VLOOKUP(Table7[[#This Row],[Student_ID]],student_data[#All],6,0)</f>
        <v>5</v>
      </c>
      <c r="H139" s="1">
        <f>VLOOKUP(Table7[[#This Row],[Student_ID]],student_internships[],2,0)</f>
        <v>1</v>
      </c>
      <c r="I139" s="1">
        <f>VLOOKUP(Table7[[#This Row],[Student_ID]],Placements!A139:E1138,5,0)</f>
        <v>25.43</v>
      </c>
      <c r="J139" s="1" t="str">
        <f>IF(VLOOKUP(Table7[[#This Row],[Student_ID]],student_data[#All],5,0)&gt;8,"HIGH",IF(VLOOKUP(Table7[[#This Row],[Student_ID]],student_data[#All],5,0)&lt;6.5,"LOW","MEDIUM"))</f>
        <v>HIGH</v>
      </c>
    </row>
    <row r="140" spans="1:10" x14ac:dyDescent="0.2">
      <c r="A140" s="1" t="s">
        <v>149</v>
      </c>
      <c r="B140" s="1" t="str">
        <f>VLOOKUP(Table7[[#This Row],[Student_ID]],student_data[#All],2,0)</f>
        <v>Civil</v>
      </c>
      <c r="C140" s="1">
        <f>(VLOOKUP(Table7[[#This Row],[Student_ID]],student_data[],5,0)*5)+(VLOOKUP(Table7[[#This Row],[Student_ID]],student_data[],6,0)*3)+(VLOOKUP(Table7[[#This Row],[Student_ID]],student_skills[],6,0)*2)+(VLOOKUP(Table7[[#This Row],[Student_ID]],student_internships[],2,0)*5)</f>
        <v>62.15</v>
      </c>
      <c r="D140" s="1">
        <f>AVERAGE(VLOOKUP(Table7[[#This Row],[Student_ID]],student_skills[],3,0),VLOOKUP(Table7[[#This Row],[Student_ID]],student_skills[],4,0),VLOOKUP(Table7[[#This Row],[Student_ID]],student_skills[],5,0),VLOOKUP(Table7[[#This Row],[Student_ID]],student_skills[],6,0))</f>
        <v>5.75</v>
      </c>
      <c r="E140" s="1" t="str">
        <f>IF(VLOOKUP(Table7[[#This Row],[Student_ID]],student_internships[#All],2,0)&gt;1,"EXPERIENCED",IF(VLOOKUP(Table7[[#This Row],[Student_ID]],student_internships[#All],2,0)=1,"BEGINNER","NOT EXPERIENCED"))</f>
        <v>BEGINNER</v>
      </c>
      <c r="F140" s="1">
        <f>VLOOKUP(Table7[[#This Row],[Student_ID]],student_data[],5,0)</f>
        <v>7.63</v>
      </c>
      <c r="G140" s="1">
        <f>VLOOKUP(Table7[[#This Row],[Student_ID]],student_data[#All],6,0)</f>
        <v>1</v>
      </c>
      <c r="H140" s="1">
        <f>VLOOKUP(Table7[[#This Row],[Student_ID]],student_internships[],2,0)</f>
        <v>1</v>
      </c>
      <c r="I140" s="1">
        <f>VLOOKUP(Table7[[#This Row],[Student_ID]],Placements!A140:E1139,5,0)</f>
        <v>4.3899999999999997</v>
      </c>
      <c r="J140" s="1" t="str">
        <f>IF(VLOOKUP(Table7[[#This Row],[Student_ID]],student_data[#All],5,0)&gt;8,"HIGH",IF(VLOOKUP(Table7[[#This Row],[Student_ID]],student_data[#All],5,0)&lt;6.5,"LOW","MEDIUM"))</f>
        <v>MEDIUM</v>
      </c>
    </row>
    <row r="141" spans="1:10" x14ac:dyDescent="0.2">
      <c r="A141" s="1" t="s">
        <v>150</v>
      </c>
      <c r="B141" s="1" t="str">
        <f>VLOOKUP(Table7[[#This Row],[Student_ID]],student_data[#All],2,0)</f>
        <v>Electronics</v>
      </c>
      <c r="C141" s="1">
        <f>(VLOOKUP(Table7[[#This Row],[Student_ID]],student_data[],5,0)*5)+(VLOOKUP(Table7[[#This Row],[Student_ID]],student_data[],6,0)*3)+(VLOOKUP(Table7[[#This Row],[Student_ID]],student_skills[],6,0)*2)+(VLOOKUP(Table7[[#This Row],[Student_ID]],student_internships[],2,0)*5)</f>
        <v>69.599999999999994</v>
      </c>
      <c r="D141" s="1">
        <f>AVERAGE(VLOOKUP(Table7[[#This Row],[Student_ID]],student_skills[],3,0),VLOOKUP(Table7[[#This Row],[Student_ID]],student_skills[],4,0),VLOOKUP(Table7[[#This Row],[Student_ID]],student_skills[],5,0),VLOOKUP(Table7[[#This Row],[Student_ID]],student_skills[],6,0))</f>
        <v>4.25</v>
      </c>
      <c r="E141" s="1" t="str">
        <f>IF(VLOOKUP(Table7[[#This Row],[Student_ID]],student_internships[#All],2,0)&gt;1,"EXPERIENCED",IF(VLOOKUP(Table7[[#This Row],[Student_ID]],student_internships[#All],2,0)=1,"BEGINNER","NOT EXPERIENCED"))</f>
        <v>EXPERIENCED</v>
      </c>
      <c r="F141" s="1">
        <f>VLOOKUP(Table7[[#This Row],[Student_ID]],student_data[],5,0)</f>
        <v>7.32</v>
      </c>
      <c r="G141" s="1">
        <f>VLOOKUP(Table7[[#This Row],[Student_ID]],student_data[#All],6,0)</f>
        <v>5</v>
      </c>
      <c r="H141" s="1">
        <f>VLOOKUP(Table7[[#This Row],[Student_ID]],student_internships[],2,0)</f>
        <v>2</v>
      </c>
      <c r="I141" s="1">
        <f>VLOOKUP(Table7[[#This Row],[Student_ID]],Placements!A141:E1140,5,0)</f>
        <v>3.97</v>
      </c>
      <c r="J141" s="1" t="str">
        <f>IF(VLOOKUP(Table7[[#This Row],[Student_ID]],student_data[#All],5,0)&gt;8,"HIGH",IF(VLOOKUP(Table7[[#This Row],[Student_ID]],student_data[#All],5,0)&lt;6.5,"LOW","MEDIUM"))</f>
        <v>MEDIUM</v>
      </c>
    </row>
    <row r="142" spans="1:10" x14ac:dyDescent="0.2">
      <c r="A142" s="1" t="s">
        <v>151</v>
      </c>
      <c r="B142" s="1" t="str">
        <f>VLOOKUP(Table7[[#This Row],[Student_ID]],student_data[#All],2,0)</f>
        <v>Electronics</v>
      </c>
      <c r="C142" s="1">
        <f>(VLOOKUP(Table7[[#This Row],[Student_ID]],student_data[],5,0)*5)+(VLOOKUP(Table7[[#This Row],[Student_ID]],student_data[],6,0)*3)+(VLOOKUP(Table7[[#This Row],[Student_ID]],student_skills[],6,0)*2)+(VLOOKUP(Table7[[#This Row],[Student_ID]],student_internships[],2,0)*5)</f>
        <v>59.85</v>
      </c>
      <c r="D142" s="1">
        <f>AVERAGE(VLOOKUP(Table7[[#This Row],[Student_ID]],student_skills[],3,0),VLOOKUP(Table7[[#This Row],[Student_ID]],student_skills[],4,0),VLOOKUP(Table7[[#This Row],[Student_ID]],student_skills[],5,0),VLOOKUP(Table7[[#This Row],[Student_ID]],student_skills[],6,0))</f>
        <v>7.75</v>
      </c>
      <c r="E142" s="1" t="str">
        <f>IF(VLOOKUP(Table7[[#This Row],[Student_ID]],student_internships[#All],2,0)&gt;1,"EXPERIENCED",IF(VLOOKUP(Table7[[#This Row],[Student_ID]],student_internships[#All],2,0)=1,"BEGINNER","NOT EXPERIENCED"))</f>
        <v>BEGINNER</v>
      </c>
      <c r="F142" s="1">
        <f>VLOOKUP(Table7[[#This Row],[Student_ID]],student_data[],5,0)</f>
        <v>6.17</v>
      </c>
      <c r="G142" s="1">
        <f>VLOOKUP(Table7[[#This Row],[Student_ID]],student_data[#All],6,0)</f>
        <v>2</v>
      </c>
      <c r="H142" s="1">
        <f>VLOOKUP(Table7[[#This Row],[Student_ID]],student_internships[],2,0)</f>
        <v>1</v>
      </c>
      <c r="I142" s="1">
        <f>VLOOKUP(Table7[[#This Row],[Student_ID]],Placements!A142:E1141,5,0)</f>
        <v>0</v>
      </c>
      <c r="J142" s="1" t="str">
        <f>IF(VLOOKUP(Table7[[#This Row],[Student_ID]],student_data[#All],5,0)&gt;8,"HIGH",IF(VLOOKUP(Table7[[#This Row],[Student_ID]],student_data[#All],5,0)&lt;6.5,"LOW","MEDIUM"))</f>
        <v>LOW</v>
      </c>
    </row>
    <row r="143" spans="1:10" x14ac:dyDescent="0.2">
      <c r="A143" s="1" t="s">
        <v>152</v>
      </c>
      <c r="B143" s="1" t="str">
        <f>VLOOKUP(Table7[[#This Row],[Student_ID]],student_data[#All],2,0)</f>
        <v>Information Technology</v>
      </c>
      <c r="C143" s="1">
        <f>(VLOOKUP(Table7[[#This Row],[Student_ID]],student_data[],5,0)*5)+(VLOOKUP(Table7[[#This Row],[Student_ID]],student_data[],6,0)*3)+(VLOOKUP(Table7[[#This Row],[Student_ID]],student_skills[],6,0)*2)+(VLOOKUP(Table7[[#This Row],[Student_ID]],student_internships[],2,0)*5)</f>
        <v>76.599999999999994</v>
      </c>
      <c r="D143" s="1">
        <f>AVERAGE(VLOOKUP(Table7[[#This Row],[Student_ID]],student_skills[],3,0),VLOOKUP(Table7[[#This Row],[Student_ID]],student_skills[],4,0),VLOOKUP(Table7[[#This Row],[Student_ID]],student_skills[],5,0),VLOOKUP(Table7[[#This Row],[Student_ID]],student_skills[],6,0))</f>
        <v>6.25</v>
      </c>
      <c r="E143" s="1" t="str">
        <f>IF(VLOOKUP(Table7[[#This Row],[Student_ID]],student_internships[#All],2,0)&gt;1,"EXPERIENCED",IF(VLOOKUP(Table7[[#This Row],[Student_ID]],student_internships[#All],2,0)=1,"BEGINNER","NOT EXPERIENCED"))</f>
        <v>EXPERIENCED</v>
      </c>
      <c r="F143" s="1">
        <f>VLOOKUP(Table7[[#This Row],[Student_ID]],student_data[],5,0)</f>
        <v>6.52</v>
      </c>
      <c r="G143" s="1">
        <f>VLOOKUP(Table7[[#This Row],[Student_ID]],student_data[#All],6,0)</f>
        <v>3</v>
      </c>
      <c r="H143" s="1">
        <f>VLOOKUP(Table7[[#This Row],[Student_ID]],student_internships[],2,0)</f>
        <v>3</v>
      </c>
      <c r="I143" s="1">
        <f>VLOOKUP(Table7[[#This Row],[Student_ID]],Placements!A143:E1142,5,0)</f>
        <v>5.81</v>
      </c>
      <c r="J143" s="1" t="str">
        <f>IF(VLOOKUP(Table7[[#This Row],[Student_ID]],student_data[#All],5,0)&gt;8,"HIGH",IF(VLOOKUP(Table7[[#This Row],[Student_ID]],student_data[#All],5,0)&lt;6.5,"LOW","MEDIUM"))</f>
        <v>MEDIUM</v>
      </c>
    </row>
    <row r="144" spans="1:10" x14ac:dyDescent="0.2">
      <c r="A144" s="1" t="s">
        <v>153</v>
      </c>
      <c r="B144" s="1" t="str">
        <f>VLOOKUP(Table7[[#This Row],[Student_ID]],student_data[#All],2,0)</f>
        <v>Computer Science</v>
      </c>
      <c r="C144" s="1">
        <f>(VLOOKUP(Table7[[#This Row],[Student_ID]],student_data[],5,0)*5)+(VLOOKUP(Table7[[#This Row],[Student_ID]],student_data[],6,0)*3)+(VLOOKUP(Table7[[#This Row],[Student_ID]],student_skills[],6,0)*2)+(VLOOKUP(Table7[[#This Row],[Student_ID]],student_internships[],2,0)*5)</f>
        <v>68.25</v>
      </c>
      <c r="D144" s="1">
        <f>AVERAGE(VLOOKUP(Table7[[#This Row],[Student_ID]],student_skills[],3,0),VLOOKUP(Table7[[#This Row],[Student_ID]],student_skills[],4,0),VLOOKUP(Table7[[#This Row],[Student_ID]],student_skills[],5,0),VLOOKUP(Table7[[#This Row],[Student_ID]],student_skills[],6,0))</f>
        <v>5</v>
      </c>
      <c r="E144" s="1" t="str">
        <f>IF(VLOOKUP(Table7[[#This Row],[Student_ID]],student_internships[#All],2,0)&gt;1,"EXPERIENCED",IF(VLOOKUP(Table7[[#This Row],[Student_ID]],student_internships[#All],2,0)=1,"BEGINNER","NOT EXPERIENCED"))</f>
        <v>EXPERIENCED</v>
      </c>
      <c r="F144" s="1">
        <f>VLOOKUP(Table7[[#This Row],[Student_ID]],student_data[],5,0)</f>
        <v>6.45</v>
      </c>
      <c r="G144" s="1">
        <f>VLOOKUP(Table7[[#This Row],[Student_ID]],student_data[#All],6,0)</f>
        <v>3</v>
      </c>
      <c r="H144" s="1">
        <f>VLOOKUP(Table7[[#This Row],[Student_ID]],student_internships[],2,0)</f>
        <v>3</v>
      </c>
      <c r="I144" s="1">
        <f>VLOOKUP(Table7[[#This Row],[Student_ID]],Placements!A144:E1143,5,0)</f>
        <v>0</v>
      </c>
      <c r="J144" s="1" t="str">
        <f>IF(VLOOKUP(Table7[[#This Row],[Student_ID]],student_data[#All],5,0)&gt;8,"HIGH",IF(VLOOKUP(Table7[[#This Row],[Student_ID]],student_data[#All],5,0)&lt;6.5,"LOW","MEDIUM"))</f>
        <v>LOW</v>
      </c>
    </row>
    <row r="145" spans="1:10" x14ac:dyDescent="0.2">
      <c r="A145" s="1" t="s">
        <v>154</v>
      </c>
      <c r="B145" s="1" t="str">
        <f>VLOOKUP(Table7[[#This Row],[Student_ID]],student_data[#All],2,0)</f>
        <v>Information Technology</v>
      </c>
      <c r="C145" s="1">
        <f>(VLOOKUP(Table7[[#This Row],[Student_ID]],student_data[],5,0)*5)+(VLOOKUP(Table7[[#This Row],[Student_ID]],student_data[],6,0)*3)+(VLOOKUP(Table7[[#This Row],[Student_ID]],student_skills[],6,0)*2)+(VLOOKUP(Table7[[#This Row],[Student_ID]],student_internships[],2,0)*5)</f>
        <v>56.1</v>
      </c>
      <c r="D145" s="1">
        <f>AVERAGE(VLOOKUP(Table7[[#This Row],[Student_ID]],student_skills[],3,0),VLOOKUP(Table7[[#This Row],[Student_ID]],student_skills[],4,0),VLOOKUP(Table7[[#This Row],[Student_ID]],student_skills[],5,0),VLOOKUP(Table7[[#This Row],[Student_ID]],student_skills[],6,0))</f>
        <v>4.5</v>
      </c>
      <c r="E145" s="1" t="str">
        <f>IF(VLOOKUP(Table7[[#This Row],[Student_ID]],student_internships[#All],2,0)&gt;1,"EXPERIENCED",IF(VLOOKUP(Table7[[#This Row],[Student_ID]],student_internships[#All],2,0)=1,"BEGINNER","NOT EXPERIENCED"))</f>
        <v>NOT EXPERIENCED</v>
      </c>
      <c r="F145" s="1">
        <f>VLOOKUP(Table7[[#This Row],[Student_ID]],student_data[],5,0)</f>
        <v>7.82</v>
      </c>
      <c r="G145" s="1">
        <f>VLOOKUP(Table7[[#This Row],[Student_ID]],student_data[#All],6,0)</f>
        <v>5</v>
      </c>
      <c r="H145" s="1">
        <f>VLOOKUP(Table7[[#This Row],[Student_ID]],student_internships[],2,0)</f>
        <v>0</v>
      </c>
      <c r="I145" s="1">
        <f>VLOOKUP(Table7[[#This Row],[Student_ID]],Placements!A145:E1144,5,0)</f>
        <v>3.92</v>
      </c>
      <c r="J145" s="1" t="str">
        <f>IF(VLOOKUP(Table7[[#This Row],[Student_ID]],student_data[#All],5,0)&gt;8,"HIGH",IF(VLOOKUP(Table7[[#This Row],[Student_ID]],student_data[#All],5,0)&lt;6.5,"LOW","MEDIUM"))</f>
        <v>MEDIUM</v>
      </c>
    </row>
    <row r="146" spans="1:10" x14ac:dyDescent="0.2">
      <c r="A146" s="1" t="s">
        <v>155</v>
      </c>
      <c r="B146" s="1" t="str">
        <f>VLOOKUP(Table7[[#This Row],[Student_ID]],student_data[#All],2,0)</f>
        <v>Civil</v>
      </c>
      <c r="C146" s="1">
        <f>(VLOOKUP(Table7[[#This Row],[Student_ID]],student_data[],5,0)*5)+(VLOOKUP(Table7[[#This Row],[Student_ID]],student_data[],6,0)*3)+(VLOOKUP(Table7[[#This Row],[Student_ID]],student_skills[],6,0)*2)+(VLOOKUP(Table7[[#This Row],[Student_ID]],student_internships[],2,0)*5)</f>
        <v>39</v>
      </c>
      <c r="D146" s="1">
        <f>AVERAGE(VLOOKUP(Table7[[#This Row],[Student_ID]],student_skills[],3,0),VLOOKUP(Table7[[#This Row],[Student_ID]],student_skills[],4,0),VLOOKUP(Table7[[#This Row],[Student_ID]],student_skills[],5,0),VLOOKUP(Table7[[#This Row],[Student_ID]],student_skills[],6,0))</f>
        <v>6.5</v>
      </c>
      <c r="E146" s="1" t="str">
        <f>IF(VLOOKUP(Table7[[#This Row],[Student_ID]],student_internships[#All],2,0)&gt;1,"EXPERIENCED",IF(VLOOKUP(Table7[[#This Row],[Student_ID]],student_internships[#All],2,0)=1,"BEGINNER","NOT EXPERIENCED"))</f>
        <v>BEGINNER</v>
      </c>
      <c r="F146" s="1">
        <f>VLOOKUP(Table7[[#This Row],[Student_ID]],student_data[],5,0)</f>
        <v>5.6</v>
      </c>
      <c r="G146" s="1">
        <f>VLOOKUP(Table7[[#This Row],[Student_ID]],student_data[#All],6,0)</f>
        <v>0</v>
      </c>
      <c r="H146" s="1">
        <f>VLOOKUP(Table7[[#This Row],[Student_ID]],student_internships[],2,0)</f>
        <v>1</v>
      </c>
      <c r="I146" s="1">
        <f>VLOOKUP(Table7[[#This Row],[Student_ID]],Placements!A146:E1145,5,0)</f>
        <v>0</v>
      </c>
      <c r="J146" s="1" t="str">
        <f>IF(VLOOKUP(Table7[[#This Row],[Student_ID]],student_data[#All],5,0)&gt;8,"HIGH",IF(VLOOKUP(Table7[[#This Row],[Student_ID]],student_data[#All],5,0)&lt;6.5,"LOW","MEDIUM"))</f>
        <v>LOW</v>
      </c>
    </row>
    <row r="147" spans="1:10" x14ac:dyDescent="0.2">
      <c r="A147" s="1" t="s">
        <v>156</v>
      </c>
      <c r="B147" s="1" t="str">
        <f>VLOOKUP(Table7[[#This Row],[Student_ID]],student_data[#All],2,0)</f>
        <v>Civil</v>
      </c>
      <c r="C147" s="1">
        <f>(VLOOKUP(Table7[[#This Row],[Student_ID]],student_data[],5,0)*5)+(VLOOKUP(Table7[[#This Row],[Student_ID]],student_data[],6,0)*3)+(VLOOKUP(Table7[[#This Row],[Student_ID]],student_skills[],6,0)*2)+(VLOOKUP(Table7[[#This Row],[Student_ID]],student_internships[],2,0)*5)</f>
        <v>58.9</v>
      </c>
      <c r="D147" s="1">
        <f>AVERAGE(VLOOKUP(Table7[[#This Row],[Student_ID]],student_skills[],3,0),VLOOKUP(Table7[[#This Row],[Student_ID]],student_skills[],4,0),VLOOKUP(Table7[[#This Row],[Student_ID]],student_skills[],5,0),VLOOKUP(Table7[[#This Row],[Student_ID]],student_skills[],6,0))</f>
        <v>4.75</v>
      </c>
      <c r="E147" s="1" t="str">
        <f>IF(VLOOKUP(Table7[[#This Row],[Student_ID]],student_internships[#All],2,0)&gt;1,"EXPERIENCED",IF(VLOOKUP(Table7[[#This Row],[Student_ID]],student_internships[#All],2,0)=1,"BEGINNER","NOT EXPERIENCED"))</f>
        <v>BEGINNER</v>
      </c>
      <c r="F147" s="1">
        <f>VLOOKUP(Table7[[#This Row],[Student_ID]],student_data[],5,0)</f>
        <v>9.58</v>
      </c>
      <c r="G147" s="1">
        <f>VLOOKUP(Table7[[#This Row],[Student_ID]],student_data[#All],6,0)</f>
        <v>0</v>
      </c>
      <c r="H147" s="1">
        <f>VLOOKUP(Table7[[#This Row],[Student_ID]],student_internships[],2,0)</f>
        <v>1</v>
      </c>
      <c r="I147" s="1">
        <f>VLOOKUP(Table7[[#This Row],[Student_ID]],Placements!A147:E1146,5,0)</f>
        <v>0</v>
      </c>
      <c r="J147" s="1" t="str">
        <f>IF(VLOOKUP(Table7[[#This Row],[Student_ID]],student_data[#All],5,0)&gt;8,"HIGH",IF(VLOOKUP(Table7[[#This Row],[Student_ID]],student_data[#All],5,0)&lt;6.5,"LOW","MEDIUM"))</f>
        <v>HIGH</v>
      </c>
    </row>
    <row r="148" spans="1:10" x14ac:dyDescent="0.2">
      <c r="A148" s="1" t="s">
        <v>157</v>
      </c>
      <c r="B148" s="1" t="str">
        <f>VLOOKUP(Table7[[#This Row],[Student_ID]],student_data[#All],2,0)</f>
        <v>Civil</v>
      </c>
      <c r="C148" s="1">
        <f>(VLOOKUP(Table7[[#This Row],[Student_ID]],student_data[],5,0)*5)+(VLOOKUP(Table7[[#This Row],[Student_ID]],student_data[],6,0)*3)+(VLOOKUP(Table7[[#This Row],[Student_ID]],student_skills[],6,0)*2)+(VLOOKUP(Table7[[#This Row],[Student_ID]],student_internships[],2,0)*5)</f>
        <v>66</v>
      </c>
      <c r="D148" s="1">
        <f>AVERAGE(VLOOKUP(Table7[[#This Row],[Student_ID]],student_skills[],3,0),VLOOKUP(Table7[[#This Row],[Student_ID]],student_skills[],4,0),VLOOKUP(Table7[[#This Row],[Student_ID]],student_skills[],5,0),VLOOKUP(Table7[[#This Row],[Student_ID]],student_skills[],6,0))</f>
        <v>5.75</v>
      </c>
      <c r="E148" s="1" t="str">
        <f>IF(VLOOKUP(Table7[[#This Row],[Student_ID]],student_internships[#All],2,0)&gt;1,"EXPERIENCED",IF(VLOOKUP(Table7[[#This Row],[Student_ID]],student_internships[#All],2,0)=1,"BEGINNER","NOT EXPERIENCED"))</f>
        <v>NOT EXPERIENCED</v>
      </c>
      <c r="F148" s="1">
        <f>VLOOKUP(Table7[[#This Row],[Student_ID]],student_data[],5,0)</f>
        <v>8.6</v>
      </c>
      <c r="G148" s="1">
        <f>VLOOKUP(Table7[[#This Row],[Student_ID]],student_data[#All],6,0)</f>
        <v>1</v>
      </c>
      <c r="H148" s="1">
        <f>VLOOKUP(Table7[[#This Row],[Student_ID]],student_internships[],2,0)</f>
        <v>0</v>
      </c>
      <c r="I148" s="1">
        <f>VLOOKUP(Table7[[#This Row],[Student_ID]],Placements!A148:E1147,5,0)</f>
        <v>0</v>
      </c>
      <c r="J148" s="1" t="str">
        <f>IF(VLOOKUP(Table7[[#This Row],[Student_ID]],student_data[#All],5,0)&gt;8,"HIGH",IF(VLOOKUP(Table7[[#This Row],[Student_ID]],student_data[#All],5,0)&lt;6.5,"LOW","MEDIUM"))</f>
        <v>HIGH</v>
      </c>
    </row>
    <row r="149" spans="1:10" x14ac:dyDescent="0.2">
      <c r="A149" s="1" t="s">
        <v>158</v>
      </c>
      <c r="B149" s="1" t="str">
        <f>VLOOKUP(Table7[[#This Row],[Student_ID]],student_data[#All],2,0)</f>
        <v>Civil</v>
      </c>
      <c r="C149" s="1">
        <f>(VLOOKUP(Table7[[#This Row],[Student_ID]],student_data[],5,0)*5)+(VLOOKUP(Table7[[#This Row],[Student_ID]],student_data[],6,0)*3)+(VLOOKUP(Table7[[#This Row],[Student_ID]],student_skills[],6,0)*2)+(VLOOKUP(Table7[[#This Row],[Student_ID]],student_internships[],2,0)*5)</f>
        <v>43.05</v>
      </c>
      <c r="D149" s="1">
        <f>AVERAGE(VLOOKUP(Table7[[#This Row],[Student_ID]],student_skills[],3,0),VLOOKUP(Table7[[#This Row],[Student_ID]],student_skills[],4,0),VLOOKUP(Table7[[#This Row],[Student_ID]],student_skills[],5,0),VLOOKUP(Table7[[#This Row],[Student_ID]],student_skills[],6,0))</f>
        <v>3.5</v>
      </c>
      <c r="E149" s="1" t="str">
        <f>IF(VLOOKUP(Table7[[#This Row],[Student_ID]],student_internships[#All],2,0)&gt;1,"EXPERIENCED",IF(VLOOKUP(Table7[[#This Row],[Student_ID]],student_internships[#All],2,0)=1,"BEGINNER","NOT EXPERIENCED"))</f>
        <v>NOT EXPERIENCED</v>
      </c>
      <c r="F149" s="1">
        <f>VLOOKUP(Table7[[#This Row],[Student_ID]],student_data[],5,0)</f>
        <v>7.01</v>
      </c>
      <c r="G149" s="1">
        <f>VLOOKUP(Table7[[#This Row],[Student_ID]],student_data[#All],6,0)</f>
        <v>0</v>
      </c>
      <c r="H149" s="1">
        <f>VLOOKUP(Table7[[#This Row],[Student_ID]],student_internships[],2,0)</f>
        <v>0</v>
      </c>
      <c r="I149" s="1">
        <f>VLOOKUP(Table7[[#This Row],[Student_ID]],Placements!A149:E1148,5,0)</f>
        <v>9.81</v>
      </c>
      <c r="J149" s="1" t="str">
        <f>IF(VLOOKUP(Table7[[#This Row],[Student_ID]],student_data[#All],5,0)&gt;8,"HIGH",IF(VLOOKUP(Table7[[#This Row],[Student_ID]],student_data[#All],5,0)&lt;6.5,"LOW","MEDIUM"))</f>
        <v>MEDIUM</v>
      </c>
    </row>
    <row r="150" spans="1:10" x14ac:dyDescent="0.2">
      <c r="A150" s="1" t="s">
        <v>159</v>
      </c>
      <c r="B150" s="1" t="str">
        <f>VLOOKUP(Table7[[#This Row],[Student_ID]],student_data[#All],2,0)</f>
        <v>Civil</v>
      </c>
      <c r="C150" s="1">
        <f>(VLOOKUP(Table7[[#This Row],[Student_ID]],student_data[],5,0)*5)+(VLOOKUP(Table7[[#This Row],[Student_ID]],student_data[],6,0)*3)+(VLOOKUP(Table7[[#This Row],[Student_ID]],student_skills[],6,0)*2)+(VLOOKUP(Table7[[#This Row],[Student_ID]],student_internships[],2,0)*5)</f>
        <v>48.95</v>
      </c>
      <c r="D150" s="1">
        <f>AVERAGE(VLOOKUP(Table7[[#This Row],[Student_ID]],student_skills[],3,0),VLOOKUP(Table7[[#This Row],[Student_ID]],student_skills[],4,0),VLOOKUP(Table7[[#This Row],[Student_ID]],student_skills[],5,0),VLOOKUP(Table7[[#This Row],[Student_ID]],student_skills[],6,0))</f>
        <v>4.75</v>
      </c>
      <c r="E150" s="1" t="str">
        <f>IF(VLOOKUP(Table7[[#This Row],[Student_ID]],student_internships[#All],2,0)&gt;1,"EXPERIENCED",IF(VLOOKUP(Table7[[#This Row],[Student_ID]],student_internships[#All],2,0)=1,"BEGINNER","NOT EXPERIENCED"))</f>
        <v>BEGINNER</v>
      </c>
      <c r="F150" s="1">
        <f>VLOOKUP(Table7[[#This Row],[Student_ID]],student_data[],5,0)</f>
        <v>5.79</v>
      </c>
      <c r="G150" s="1">
        <f>VLOOKUP(Table7[[#This Row],[Student_ID]],student_data[#All],6,0)</f>
        <v>1</v>
      </c>
      <c r="H150" s="1">
        <f>VLOOKUP(Table7[[#This Row],[Student_ID]],student_internships[],2,0)</f>
        <v>1</v>
      </c>
      <c r="I150" s="1">
        <f>VLOOKUP(Table7[[#This Row],[Student_ID]],Placements!A150:E1149,5,0)</f>
        <v>6.86</v>
      </c>
      <c r="J150" s="1" t="str">
        <f>IF(VLOOKUP(Table7[[#This Row],[Student_ID]],student_data[#All],5,0)&gt;8,"HIGH",IF(VLOOKUP(Table7[[#This Row],[Student_ID]],student_data[#All],5,0)&lt;6.5,"LOW","MEDIUM"))</f>
        <v>LOW</v>
      </c>
    </row>
    <row r="151" spans="1:10" x14ac:dyDescent="0.2">
      <c r="A151" s="1" t="s">
        <v>160</v>
      </c>
      <c r="B151" s="1" t="str">
        <f>VLOOKUP(Table7[[#This Row],[Student_ID]],student_data[#All],2,0)</f>
        <v>Mechanical</v>
      </c>
      <c r="C151" s="1">
        <f>(VLOOKUP(Table7[[#This Row],[Student_ID]],student_data[],5,0)*5)+(VLOOKUP(Table7[[#This Row],[Student_ID]],student_data[],6,0)*3)+(VLOOKUP(Table7[[#This Row],[Student_ID]],student_skills[],6,0)*2)+(VLOOKUP(Table7[[#This Row],[Student_ID]],student_internships[],2,0)*5)</f>
        <v>78.05</v>
      </c>
      <c r="D151" s="1">
        <f>AVERAGE(VLOOKUP(Table7[[#This Row],[Student_ID]],student_skills[],3,0),VLOOKUP(Table7[[#This Row],[Student_ID]],student_skills[],4,0),VLOOKUP(Table7[[#This Row],[Student_ID]],student_skills[],5,0),VLOOKUP(Table7[[#This Row],[Student_ID]],student_skills[],6,0))</f>
        <v>6.5</v>
      </c>
      <c r="E151" s="1" t="str">
        <f>IF(VLOOKUP(Table7[[#This Row],[Student_ID]],student_internships[#All],2,0)&gt;1,"EXPERIENCED",IF(VLOOKUP(Table7[[#This Row],[Student_ID]],student_internships[#All],2,0)=1,"BEGINNER","NOT EXPERIENCED"))</f>
        <v>BEGINNER</v>
      </c>
      <c r="F151" s="1">
        <f>VLOOKUP(Table7[[#This Row],[Student_ID]],student_data[],5,0)</f>
        <v>9.41</v>
      </c>
      <c r="G151" s="1">
        <f>VLOOKUP(Table7[[#This Row],[Student_ID]],student_data[#All],6,0)</f>
        <v>4</v>
      </c>
      <c r="H151" s="1">
        <f>VLOOKUP(Table7[[#This Row],[Student_ID]],student_internships[],2,0)</f>
        <v>1</v>
      </c>
      <c r="I151" s="1">
        <f>VLOOKUP(Table7[[#This Row],[Student_ID]],Placements!A151:E1150,5,0)</f>
        <v>4.05</v>
      </c>
      <c r="J151" s="1" t="str">
        <f>IF(VLOOKUP(Table7[[#This Row],[Student_ID]],student_data[#All],5,0)&gt;8,"HIGH",IF(VLOOKUP(Table7[[#This Row],[Student_ID]],student_data[#All],5,0)&lt;6.5,"LOW","MEDIUM"))</f>
        <v>HIGH</v>
      </c>
    </row>
    <row r="152" spans="1:10" x14ac:dyDescent="0.2">
      <c r="A152" s="1" t="s">
        <v>161</v>
      </c>
      <c r="B152" s="1" t="str">
        <f>VLOOKUP(Table7[[#This Row],[Student_ID]],student_data[#All],2,0)</f>
        <v>Electronics</v>
      </c>
      <c r="C152" s="1">
        <f>(VLOOKUP(Table7[[#This Row],[Student_ID]],student_data[],5,0)*5)+(VLOOKUP(Table7[[#This Row],[Student_ID]],student_data[],6,0)*3)+(VLOOKUP(Table7[[#This Row],[Student_ID]],student_skills[],6,0)*2)+(VLOOKUP(Table7[[#This Row],[Student_ID]],student_internships[],2,0)*5)</f>
        <v>68.599999999999994</v>
      </c>
      <c r="D152" s="1">
        <f>AVERAGE(VLOOKUP(Table7[[#This Row],[Student_ID]],student_skills[],3,0),VLOOKUP(Table7[[#This Row],[Student_ID]],student_skills[],4,0),VLOOKUP(Table7[[#This Row],[Student_ID]],student_skills[],5,0),VLOOKUP(Table7[[#This Row],[Student_ID]],student_skills[],6,0))</f>
        <v>5</v>
      </c>
      <c r="E152" s="1" t="str">
        <f>IF(VLOOKUP(Table7[[#This Row],[Student_ID]],student_internships[#All],2,0)&gt;1,"EXPERIENCED",IF(VLOOKUP(Table7[[#This Row],[Student_ID]],student_internships[#All],2,0)=1,"BEGINNER","NOT EXPERIENCED"))</f>
        <v>NOT EXPERIENCED</v>
      </c>
      <c r="F152" s="1">
        <f>VLOOKUP(Table7[[#This Row],[Student_ID]],student_data[],5,0)</f>
        <v>9.1199999999999992</v>
      </c>
      <c r="G152" s="1">
        <f>VLOOKUP(Table7[[#This Row],[Student_ID]],student_data[#All],6,0)</f>
        <v>1</v>
      </c>
      <c r="H152" s="1">
        <f>VLOOKUP(Table7[[#This Row],[Student_ID]],student_internships[],2,0)</f>
        <v>0</v>
      </c>
      <c r="I152" s="1">
        <f>VLOOKUP(Table7[[#This Row],[Student_ID]],Placements!A152:E1151,5,0)</f>
        <v>6.66</v>
      </c>
      <c r="J152" s="1" t="str">
        <f>IF(VLOOKUP(Table7[[#This Row],[Student_ID]],student_data[#All],5,0)&gt;8,"HIGH",IF(VLOOKUP(Table7[[#This Row],[Student_ID]],student_data[#All],5,0)&lt;6.5,"LOW","MEDIUM"))</f>
        <v>HIGH</v>
      </c>
    </row>
    <row r="153" spans="1:10" x14ac:dyDescent="0.2">
      <c r="A153" s="1" t="s">
        <v>162</v>
      </c>
      <c r="B153" s="1" t="str">
        <f>VLOOKUP(Table7[[#This Row],[Student_ID]],student_data[#All],2,0)</f>
        <v>Civil</v>
      </c>
      <c r="C153" s="1">
        <f>(VLOOKUP(Table7[[#This Row],[Student_ID]],student_data[],5,0)*5)+(VLOOKUP(Table7[[#This Row],[Student_ID]],student_data[],6,0)*3)+(VLOOKUP(Table7[[#This Row],[Student_ID]],student_skills[],6,0)*2)+(VLOOKUP(Table7[[#This Row],[Student_ID]],student_internships[],2,0)*5)</f>
        <v>51.05</v>
      </c>
      <c r="D153" s="1">
        <f>AVERAGE(VLOOKUP(Table7[[#This Row],[Student_ID]],student_skills[],3,0),VLOOKUP(Table7[[#This Row],[Student_ID]],student_skills[],4,0),VLOOKUP(Table7[[#This Row],[Student_ID]],student_skills[],5,0),VLOOKUP(Table7[[#This Row],[Student_ID]],student_skills[],6,0))</f>
        <v>5</v>
      </c>
      <c r="E153" s="1" t="str">
        <f>IF(VLOOKUP(Table7[[#This Row],[Student_ID]],student_internships[#All],2,0)&gt;1,"EXPERIENCED",IF(VLOOKUP(Table7[[#This Row],[Student_ID]],student_internships[#All],2,0)=1,"BEGINNER","NOT EXPERIENCED"))</f>
        <v>NOT EXPERIENCED</v>
      </c>
      <c r="F153" s="1">
        <f>VLOOKUP(Table7[[#This Row],[Student_ID]],student_data[],5,0)</f>
        <v>8.61</v>
      </c>
      <c r="G153" s="1">
        <f>VLOOKUP(Table7[[#This Row],[Student_ID]],student_data[#All],6,0)</f>
        <v>0</v>
      </c>
      <c r="H153" s="1">
        <f>VLOOKUP(Table7[[#This Row],[Student_ID]],student_internships[],2,0)</f>
        <v>0</v>
      </c>
      <c r="I153" s="1">
        <f>VLOOKUP(Table7[[#This Row],[Student_ID]],Placements!A153:E1152,5,0)</f>
        <v>6.54</v>
      </c>
      <c r="J153" s="1" t="str">
        <f>IF(VLOOKUP(Table7[[#This Row],[Student_ID]],student_data[#All],5,0)&gt;8,"HIGH",IF(VLOOKUP(Table7[[#This Row],[Student_ID]],student_data[#All],5,0)&lt;6.5,"LOW","MEDIUM"))</f>
        <v>HIGH</v>
      </c>
    </row>
    <row r="154" spans="1:10" x14ac:dyDescent="0.2">
      <c r="A154" s="1" t="s">
        <v>163</v>
      </c>
      <c r="B154" s="1" t="str">
        <f>VLOOKUP(Table7[[#This Row],[Student_ID]],student_data[#All],2,0)</f>
        <v>Computer Science</v>
      </c>
      <c r="C154" s="1">
        <f>(VLOOKUP(Table7[[#This Row],[Student_ID]],student_data[],5,0)*5)+(VLOOKUP(Table7[[#This Row],[Student_ID]],student_data[],6,0)*3)+(VLOOKUP(Table7[[#This Row],[Student_ID]],student_skills[],6,0)*2)+(VLOOKUP(Table7[[#This Row],[Student_ID]],student_internships[],2,0)*5)</f>
        <v>73.8</v>
      </c>
      <c r="D154" s="1">
        <f>AVERAGE(VLOOKUP(Table7[[#This Row],[Student_ID]],student_skills[],3,0),VLOOKUP(Table7[[#This Row],[Student_ID]],student_skills[],4,0),VLOOKUP(Table7[[#This Row],[Student_ID]],student_skills[],5,0),VLOOKUP(Table7[[#This Row],[Student_ID]],student_skills[],6,0))</f>
        <v>4.25</v>
      </c>
      <c r="E154" s="1" t="str">
        <f>IF(VLOOKUP(Table7[[#This Row],[Student_ID]],student_internships[#All],2,0)&gt;1,"EXPERIENCED",IF(VLOOKUP(Table7[[#This Row],[Student_ID]],student_internships[#All],2,0)=1,"BEGINNER","NOT EXPERIENCED"))</f>
        <v>EXPERIENCED</v>
      </c>
      <c r="F154" s="1">
        <f>VLOOKUP(Table7[[#This Row],[Student_ID]],student_data[],5,0)</f>
        <v>6.36</v>
      </c>
      <c r="G154" s="1">
        <f>VLOOKUP(Table7[[#This Row],[Student_ID]],student_data[#All],6,0)</f>
        <v>5</v>
      </c>
      <c r="H154" s="1">
        <f>VLOOKUP(Table7[[#This Row],[Student_ID]],student_internships[],2,0)</f>
        <v>3</v>
      </c>
      <c r="I154" s="1">
        <f>VLOOKUP(Table7[[#This Row],[Student_ID]],Placements!A154:E1153,5,0)</f>
        <v>4.42</v>
      </c>
      <c r="J154" s="1" t="str">
        <f>IF(VLOOKUP(Table7[[#This Row],[Student_ID]],student_data[#All],5,0)&gt;8,"HIGH",IF(VLOOKUP(Table7[[#This Row],[Student_ID]],student_data[#All],5,0)&lt;6.5,"LOW","MEDIUM"))</f>
        <v>LOW</v>
      </c>
    </row>
    <row r="155" spans="1:10" x14ac:dyDescent="0.2">
      <c r="A155" s="1" t="s">
        <v>164</v>
      </c>
      <c r="B155" s="1" t="str">
        <f>VLOOKUP(Table7[[#This Row],[Student_ID]],student_data[#All],2,0)</f>
        <v>Computer Science</v>
      </c>
      <c r="C155" s="1">
        <f>(VLOOKUP(Table7[[#This Row],[Student_ID]],student_data[],5,0)*5)+(VLOOKUP(Table7[[#This Row],[Student_ID]],student_data[],6,0)*3)+(VLOOKUP(Table7[[#This Row],[Student_ID]],student_skills[],6,0)*2)+(VLOOKUP(Table7[[#This Row],[Student_ID]],student_internships[],2,0)*5)</f>
        <v>49.05</v>
      </c>
      <c r="D155" s="1">
        <f>AVERAGE(VLOOKUP(Table7[[#This Row],[Student_ID]],student_skills[],3,0),VLOOKUP(Table7[[#This Row],[Student_ID]],student_skills[],4,0),VLOOKUP(Table7[[#This Row],[Student_ID]],student_skills[],5,0),VLOOKUP(Table7[[#This Row],[Student_ID]],student_skills[],6,0))</f>
        <v>6.75</v>
      </c>
      <c r="E155" s="1" t="str">
        <f>IF(VLOOKUP(Table7[[#This Row],[Student_ID]],student_internships[#All],2,0)&gt;1,"EXPERIENCED",IF(VLOOKUP(Table7[[#This Row],[Student_ID]],student_internships[#All],2,0)=1,"BEGINNER","NOT EXPERIENCED"))</f>
        <v>NOT EXPERIENCED</v>
      </c>
      <c r="F155" s="1">
        <f>VLOOKUP(Table7[[#This Row],[Student_ID]],student_data[],5,0)</f>
        <v>7.01</v>
      </c>
      <c r="G155" s="1">
        <f>VLOOKUP(Table7[[#This Row],[Student_ID]],student_data[#All],6,0)</f>
        <v>4</v>
      </c>
      <c r="H155" s="1">
        <f>VLOOKUP(Table7[[#This Row],[Student_ID]],student_internships[],2,0)</f>
        <v>0</v>
      </c>
      <c r="I155" s="1">
        <f>VLOOKUP(Table7[[#This Row],[Student_ID]],Placements!A155:E1154,5,0)</f>
        <v>0</v>
      </c>
      <c r="J155" s="1" t="str">
        <f>IF(VLOOKUP(Table7[[#This Row],[Student_ID]],student_data[#All],5,0)&gt;8,"HIGH",IF(VLOOKUP(Table7[[#This Row],[Student_ID]],student_data[#All],5,0)&lt;6.5,"LOW","MEDIUM"))</f>
        <v>MEDIUM</v>
      </c>
    </row>
    <row r="156" spans="1:10" x14ac:dyDescent="0.2">
      <c r="A156" s="1" t="s">
        <v>165</v>
      </c>
      <c r="B156" s="1" t="str">
        <f>VLOOKUP(Table7[[#This Row],[Student_ID]],student_data[#All],2,0)</f>
        <v>Computer Science</v>
      </c>
      <c r="C156" s="1">
        <f>(VLOOKUP(Table7[[#This Row],[Student_ID]],student_data[],5,0)*5)+(VLOOKUP(Table7[[#This Row],[Student_ID]],student_data[],6,0)*3)+(VLOOKUP(Table7[[#This Row],[Student_ID]],student_skills[],6,0)*2)+(VLOOKUP(Table7[[#This Row],[Student_ID]],student_internships[],2,0)*5)</f>
        <v>43.55</v>
      </c>
      <c r="D156" s="1">
        <f>AVERAGE(VLOOKUP(Table7[[#This Row],[Student_ID]],student_skills[],3,0),VLOOKUP(Table7[[#This Row],[Student_ID]],student_skills[],4,0),VLOOKUP(Table7[[#This Row],[Student_ID]],student_skills[],5,0),VLOOKUP(Table7[[#This Row],[Student_ID]],student_skills[],6,0))</f>
        <v>5</v>
      </c>
      <c r="E156" s="1" t="str">
        <f>IF(VLOOKUP(Table7[[#This Row],[Student_ID]],student_internships[#All],2,0)&gt;1,"EXPERIENCED",IF(VLOOKUP(Table7[[#This Row],[Student_ID]],student_internships[#All],2,0)=1,"BEGINNER","NOT EXPERIENCED"))</f>
        <v>NOT EXPERIENCED</v>
      </c>
      <c r="F156" s="1">
        <f>VLOOKUP(Table7[[#This Row],[Student_ID]],student_data[],5,0)</f>
        <v>5.51</v>
      </c>
      <c r="G156" s="1">
        <f>VLOOKUP(Table7[[#This Row],[Student_ID]],student_data[#All],6,0)</f>
        <v>0</v>
      </c>
      <c r="H156" s="1">
        <f>VLOOKUP(Table7[[#This Row],[Student_ID]],student_internships[],2,0)</f>
        <v>0</v>
      </c>
      <c r="I156" s="1">
        <f>VLOOKUP(Table7[[#This Row],[Student_ID]],Placements!A156:E1155,5,0)</f>
        <v>0</v>
      </c>
      <c r="J156" s="1" t="str">
        <f>IF(VLOOKUP(Table7[[#This Row],[Student_ID]],student_data[#All],5,0)&gt;8,"HIGH",IF(VLOOKUP(Table7[[#This Row],[Student_ID]],student_data[#All],5,0)&lt;6.5,"LOW","MEDIUM"))</f>
        <v>LOW</v>
      </c>
    </row>
    <row r="157" spans="1:10" x14ac:dyDescent="0.2">
      <c r="A157" s="1" t="s">
        <v>166</v>
      </c>
      <c r="B157" s="1" t="str">
        <f>VLOOKUP(Table7[[#This Row],[Student_ID]],student_data[#All],2,0)</f>
        <v>Computer Science</v>
      </c>
      <c r="C157" s="1">
        <f>(VLOOKUP(Table7[[#This Row],[Student_ID]],student_data[],5,0)*5)+(VLOOKUP(Table7[[#This Row],[Student_ID]],student_data[],6,0)*3)+(VLOOKUP(Table7[[#This Row],[Student_ID]],student_skills[],6,0)*2)+(VLOOKUP(Table7[[#This Row],[Student_ID]],student_internships[],2,0)*5)</f>
        <v>51.75</v>
      </c>
      <c r="D157" s="1">
        <f>AVERAGE(VLOOKUP(Table7[[#This Row],[Student_ID]],student_skills[],3,0),VLOOKUP(Table7[[#This Row],[Student_ID]],student_skills[],4,0),VLOOKUP(Table7[[#This Row],[Student_ID]],student_skills[],5,0),VLOOKUP(Table7[[#This Row],[Student_ID]],student_skills[],6,0))</f>
        <v>5.5</v>
      </c>
      <c r="E157" s="1" t="str">
        <f>IF(VLOOKUP(Table7[[#This Row],[Student_ID]],student_internships[#All],2,0)&gt;1,"EXPERIENCED",IF(VLOOKUP(Table7[[#This Row],[Student_ID]],student_internships[#All],2,0)=1,"BEGINNER","NOT EXPERIENCED"))</f>
        <v>BEGINNER</v>
      </c>
      <c r="F157" s="1">
        <f>VLOOKUP(Table7[[#This Row],[Student_ID]],student_data[],5,0)</f>
        <v>5.95</v>
      </c>
      <c r="G157" s="1">
        <f>VLOOKUP(Table7[[#This Row],[Student_ID]],student_data[#All],6,0)</f>
        <v>1</v>
      </c>
      <c r="H157" s="1">
        <f>VLOOKUP(Table7[[#This Row],[Student_ID]],student_internships[],2,0)</f>
        <v>1</v>
      </c>
      <c r="I157" s="1">
        <f>VLOOKUP(Table7[[#This Row],[Student_ID]],Placements!A157:E1156,5,0)</f>
        <v>6.01</v>
      </c>
      <c r="J157" s="1" t="str">
        <f>IF(VLOOKUP(Table7[[#This Row],[Student_ID]],student_data[#All],5,0)&gt;8,"HIGH",IF(VLOOKUP(Table7[[#This Row],[Student_ID]],student_data[#All],5,0)&lt;6.5,"LOW","MEDIUM"))</f>
        <v>LOW</v>
      </c>
    </row>
    <row r="158" spans="1:10" x14ac:dyDescent="0.2">
      <c r="A158" s="1" t="s">
        <v>167</v>
      </c>
      <c r="B158" s="1" t="str">
        <f>VLOOKUP(Table7[[#This Row],[Student_ID]],student_data[#All],2,0)</f>
        <v>Mechanical</v>
      </c>
      <c r="C158" s="1">
        <f>(VLOOKUP(Table7[[#This Row],[Student_ID]],student_data[],5,0)*5)+(VLOOKUP(Table7[[#This Row],[Student_ID]],student_data[],6,0)*3)+(VLOOKUP(Table7[[#This Row],[Student_ID]],student_skills[],6,0)*2)+(VLOOKUP(Table7[[#This Row],[Student_ID]],student_internships[],2,0)*5)</f>
        <v>83.6</v>
      </c>
      <c r="D158" s="1">
        <f>AVERAGE(VLOOKUP(Table7[[#This Row],[Student_ID]],student_skills[],3,0),VLOOKUP(Table7[[#This Row],[Student_ID]],student_skills[],4,0),VLOOKUP(Table7[[#This Row],[Student_ID]],student_skills[],5,0),VLOOKUP(Table7[[#This Row],[Student_ID]],student_skills[],6,0))</f>
        <v>6.75</v>
      </c>
      <c r="E158" s="1" t="str">
        <f>IF(VLOOKUP(Table7[[#This Row],[Student_ID]],student_internships[#All],2,0)&gt;1,"EXPERIENCED",IF(VLOOKUP(Table7[[#This Row],[Student_ID]],student_internships[#All],2,0)=1,"BEGINNER","NOT EXPERIENCED"))</f>
        <v>EXPERIENCED</v>
      </c>
      <c r="F158" s="1">
        <f>VLOOKUP(Table7[[#This Row],[Student_ID]],student_data[],5,0)</f>
        <v>8.92</v>
      </c>
      <c r="G158" s="1">
        <f>VLOOKUP(Table7[[#This Row],[Student_ID]],student_data[#All],6,0)</f>
        <v>2</v>
      </c>
      <c r="H158" s="1">
        <f>VLOOKUP(Table7[[#This Row],[Student_ID]],student_internships[],2,0)</f>
        <v>3</v>
      </c>
      <c r="I158" s="1">
        <f>VLOOKUP(Table7[[#This Row],[Student_ID]],Placements!A158:E1157,5,0)</f>
        <v>6.77</v>
      </c>
      <c r="J158" s="1" t="str">
        <f>IF(VLOOKUP(Table7[[#This Row],[Student_ID]],student_data[#All],5,0)&gt;8,"HIGH",IF(VLOOKUP(Table7[[#This Row],[Student_ID]],student_data[#All],5,0)&lt;6.5,"LOW","MEDIUM"))</f>
        <v>HIGH</v>
      </c>
    </row>
    <row r="159" spans="1:10" x14ac:dyDescent="0.2">
      <c r="A159" s="1" t="s">
        <v>168</v>
      </c>
      <c r="B159" s="1" t="str">
        <f>VLOOKUP(Table7[[#This Row],[Student_ID]],student_data[#All],2,0)</f>
        <v>Computer Science</v>
      </c>
      <c r="C159" s="1">
        <f>(VLOOKUP(Table7[[#This Row],[Student_ID]],student_data[],5,0)*5)+(VLOOKUP(Table7[[#This Row],[Student_ID]],student_data[],6,0)*3)+(VLOOKUP(Table7[[#This Row],[Student_ID]],student_skills[],6,0)*2)+(VLOOKUP(Table7[[#This Row],[Student_ID]],student_internships[],2,0)*5)</f>
        <v>57.9</v>
      </c>
      <c r="D159" s="1">
        <f>AVERAGE(VLOOKUP(Table7[[#This Row],[Student_ID]],student_skills[],3,0),VLOOKUP(Table7[[#This Row],[Student_ID]],student_skills[],4,0),VLOOKUP(Table7[[#This Row],[Student_ID]],student_skills[],5,0),VLOOKUP(Table7[[#This Row],[Student_ID]],student_skills[],6,0))</f>
        <v>5.25</v>
      </c>
      <c r="E159" s="1" t="str">
        <f>IF(VLOOKUP(Table7[[#This Row],[Student_ID]],student_internships[#All],2,0)&gt;1,"EXPERIENCED",IF(VLOOKUP(Table7[[#This Row],[Student_ID]],student_internships[#All],2,0)=1,"BEGINNER","NOT EXPERIENCED"))</f>
        <v>NOT EXPERIENCED</v>
      </c>
      <c r="F159" s="1">
        <f>VLOOKUP(Table7[[#This Row],[Student_ID]],student_data[],5,0)</f>
        <v>8.58</v>
      </c>
      <c r="G159" s="1">
        <f>VLOOKUP(Table7[[#This Row],[Student_ID]],student_data[#All],6,0)</f>
        <v>3</v>
      </c>
      <c r="H159" s="1">
        <f>VLOOKUP(Table7[[#This Row],[Student_ID]],student_internships[],2,0)</f>
        <v>0</v>
      </c>
      <c r="I159" s="1">
        <f>VLOOKUP(Table7[[#This Row],[Student_ID]],Placements!A159:E1158,5,0)</f>
        <v>5.0599999999999996</v>
      </c>
      <c r="J159" s="1" t="str">
        <f>IF(VLOOKUP(Table7[[#This Row],[Student_ID]],student_data[#All],5,0)&gt;8,"HIGH",IF(VLOOKUP(Table7[[#This Row],[Student_ID]],student_data[#All],5,0)&lt;6.5,"LOW","MEDIUM"))</f>
        <v>HIGH</v>
      </c>
    </row>
    <row r="160" spans="1:10" x14ac:dyDescent="0.2">
      <c r="A160" s="1" t="s">
        <v>169</v>
      </c>
      <c r="B160" s="1" t="str">
        <f>VLOOKUP(Table7[[#This Row],[Student_ID]],student_data[#All],2,0)</f>
        <v>Civil</v>
      </c>
      <c r="C160" s="1">
        <f>(VLOOKUP(Table7[[#This Row],[Student_ID]],student_data[],5,0)*5)+(VLOOKUP(Table7[[#This Row],[Student_ID]],student_data[],6,0)*3)+(VLOOKUP(Table7[[#This Row],[Student_ID]],student_skills[],6,0)*2)+(VLOOKUP(Table7[[#This Row],[Student_ID]],student_internships[],2,0)*5)</f>
        <v>48.85</v>
      </c>
      <c r="D160" s="1">
        <f>AVERAGE(VLOOKUP(Table7[[#This Row],[Student_ID]],student_skills[],3,0),VLOOKUP(Table7[[#This Row],[Student_ID]],student_skills[],4,0),VLOOKUP(Table7[[#This Row],[Student_ID]],student_skills[],5,0),VLOOKUP(Table7[[#This Row],[Student_ID]],student_skills[],6,0))</f>
        <v>2.25</v>
      </c>
      <c r="E160" s="1" t="str">
        <f>IF(VLOOKUP(Table7[[#This Row],[Student_ID]],student_internships[#All],2,0)&gt;1,"EXPERIENCED",IF(VLOOKUP(Table7[[#This Row],[Student_ID]],student_internships[#All],2,0)=1,"BEGINNER","NOT EXPERIENCED"))</f>
        <v>BEGINNER</v>
      </c>
      <c r="F160" s="1">
        <f>VLOOKUP(Table7[[#This Row],[Student_ID]],student_data[],5,0)</f>
        <v>7.97</v>
      </c>
      <c r="G160" s="1">
        <f>VLOOKUP(Table7[[#This Row],[Student_ID]],student_data[#All],6,0)</f>
        <v>0</v>
      </c>
      <c r="H160" s="1">
        <f>VLOOKUP(Table7[[#This Row],[Student_ID]],student_internships[],2,0)</f>
        <v>1</v>
      </c>
      <c r="I160" s="1">
        <f>VLOOKUP(Table7[[#This Row],[Student_ID]],Placements!A160:E1159,5,0)</f>
        <v>3.65</v>
      </c>
      <c r="J160" s="1" t="str">
        <f>IF(VLOOKUP(Table7[[#This Row],[Student_ID]],student_data[#All],5,0)&gt;8,"HIGH",IF(VLOOKUP(Table7[[#This Row],[Student_ID]],student_data[#All],5,0)&lt;6.5,"LOW","MEDIUM"))</f>
        <v>MEDIUM</v>
      </c>
    </row>
    <row r="161" spans="1:10" x14ac:dyDescent="0.2">
      <c r="A161" s="1" t="s">
        <v>170</v>
      </c>
      <c r="B161" s="1" t="str">
        <f>VLOOKUP(Table7[[#This Row],[Student_ID]],student_data[#All],2,0)</f>
        <v>Information Technology</v>
      </c>
      <c r="C161" s="1">
        <f>(VLOOKUP(Table7[[#This Row],[Student_ID]],student_data[],5,0)*5)+(VLOOKUP(Table7[[#This Row],[Student_ID]],student_data[],6,0)*3)+(VLOOKUP(Table7[[#This Row],[Student_ID]],student_skills[],6,0)*2)+(VLOOKUP(Table7[[#This Row],[Student_ID]],student_internships[],2,0)*5)</f>
        <v>62.400000000000006</v>
      </c>
      <c r="D161" s="1">
        <f>AVERAGE(VLOOKUP(Table7[[#This Row],[Student_ID]],student_skills[],3,0),VLOOKUP(Table7[[#This Row],[Student_ID]],student_skills[],4,0),VLOOKUP(Table7[[#This Row],[Student_ID]],student_skills[],5,0),VLOOKUP(Table7[[#This Row],[Student_ID]],student_skills[],6,0))</f>
        <v>4</v>
      </c>
      <c r="E161" s="1" t="str">
        <f>IF(VLOOKUP(Table7[[#This Row],[Student_ID]],student_internships[#All],2,0)&gt;1,"EXPERIENCED",IF(VLOOKUP(Table7[[#This Row],[Student_ID]],student_internships[#All],2,0)=1,"BEGINNER","NOT EXPERIENCED"))</f>
        <v>EXPERIENCED</v>
      </c>
      <c r="F161" s="1">
        <f>VLOOKUP(Table7[[#This Row],[Student_ID]],student_data[],5,0)</f>
        <v>9.48</v>
      </c>
      <c r="G161" s="1">
        <f>VLOOKUP(Table7[[#This Row],[Student_ID]],student_data[#All],6,0)</f>
        <v>1</v>
      </c>
      <c r="H161" s="1">
        <f>VLOOKUP(Table7[[#This Row],[Student_ID]],student_internships[],2,0)</f>
        <v>2</v>
      </c>
      <c r="I161" s="1">
        <f>VLOOKUP(Table7[[#This Row],[Student_ID]],Placements!A161:E1160,5,0)</f>
        <v>4.3</v>
      </c>
      <c r="J161" s="1" t="str">
        <f>IF(VLOOKUP(Table7[[#This Row],[Student_ID]],student_data[#All],5,0)&gt;8,"HIGH",IF(VLOOKUP(Table7[[#This Row],[Student_ID]],student_data[#All],5,0)&lt;6.5,"LOW","MEDIUM"))</f>
        <v>HIGH</v>
      </c>
    </row>
    <row r="162" spans="1:10" x14ac:dyDescent="0.2">
      <c r="A162" s="1" t="s">
        <v>171</v>
      </c>
      <c r="B162" s="1" t="str">
        <f>VLOOKUP(Table7[[#This Row],[Student_ID]],student_data[#All],2,0)</f>
        <v>Computer Science</v>
      </c>
      <c r="C162" s="1">
        <f>(VLOOKUP(Table7[[#This Row],[Student_ID]],student_data[],5,0)*5)+(VLOOKUP(Table7[[#This Row],[Student_ID]],student_data[],6,0)*3)+(VLOOKUP(Table7[[#This Row],[Student_ID]],student_skills[],6,0)*2)+(VLOOKUP(Table7[[#This Row],[Student_ID]],student_internships[],2,0)*5)</f>
        <v>57.6</v>
      </c>
      <c r="D162" s="1">
        <f>AVERAGE(VLOOKUP(Table7[[#This Row],[Student_ID]],student_skills[],3,0),VLOOKUP(Table7[[#This Row],[Student_ID]],student_skills[],4,0),VLOOKUP(Table7[[#This Row],[Student_ID]],student_skills[],5,0),VLOOKUP(Table7[[#This Row],[Student_ID]],student_skills[],6,0))</f>
        <v>5.25</v>
      </c>
      <c r="E162" s="1" t="str">
        <f>IF(VLOOKUP(Table7[[#This Row],[Student_ID]],student_internships[#All],2,0)&gt;1,"EXPERIENCED",IF(VLOOKUP(Table7[[#This Row],[Student_ID]],student_internships[#All],2,0)=1,"BEGINNER","NOT EXPERIENCED"))</f>
        <v>NOT EXPERIENCED</v>
      </c>
      <c r="F162" s="1">
        <f>VLOOKUP(Table7[[#This Row],[Student_ID]],student_data[],5,0)</f>
        <v>7.92</v>
      </c>
      <c r="G162" s="1">
        <f>VLOOKUP(Table7[[#This Row],[Student_ID]],student_data[#All],6,0)</f>
        <v>4</v>
      </c>
      <c r="H162" s="1">
        <f>VLOOKUP(Table7[[#This Row],[Student_ID]],student_internships[],2,0)</f>
        <v>0</v>
      </c>
      <c r="I162" s="1">
        <f>VLOOKUP(Table7[[#This Row],[Student_ID]],Placements!A162:E1161,5,0)</f>
        <v>4.18</v>
      </c>
      <c r="J162" s="1" t="str">
        <f>IF(VLOOKUP(Table7[[#This Row],[Student_ID]],student_data[#All],5,0)&gt;8,"HIGH",IF(VLOOKUP(Table7[[#This Row],[Student_ID]],student_data[#All],5,0)&lt;6.5,"LOW","MEDIUM"))</f>
        <v>MEDIUM</v>
      </c>
    </row>
    <row r="163" spans="1:10" x14ac:dyDescent="0.2">
      <c r="A163" s="1" t="s">
        <v>172</v>
      </c>
      <c r="B163" s="1" t="str">
        <f>VLOOKUP(Table7[[#This Row],[Student_ID]],student_data[#All],2,0)</f>
        <v>Mechanical</v>
      </c>
      <c r="C163" s="1">
        <f>(VLOOKUP(Table7[[#This Row],[Student_ID]],student_data[],5,0)*5)+(VLOOKUP(Table7[[#This Row],[Student_ID]],student_data[],6,0)*3)+(VLOOKUP(Table7[[#This Row],[Student_ID]],student_skills[],6,0)*2)+(VLOOKUP(Table7[[#This Row],[Student_ID]],student_internships[],2,0)*5)</f>
        <v>56.65</v>
      </c>
      <c r="D163" s="1">
        <f>AVERAGE(VLOOKUP(Table7[[#This Row],[Student_ID]],student_skills[],3,0),VLOOKUP(Table7[[#This Row],[Student_ID]],student_skills[],4,0),VLOOKUP(Table7[[#This Row],[Student_ID]],student_skills[],5,0),VLOOKUP(Table7[[#This Row],[Student_ID]],student_skills[],6,0))</f>
        <v>5.5</v>
      </c>
      <c r="E163" s="1" t="str">
        <f>IF(VLOOKUP(Table7[[#This Row],[Student_ID]],student_internships[#All],2,0)&gt;1,"EXPERIENCED",IF(VLOOKUP(Table7[[#This Row],[Student_ID]],student_internships[#All],2,0)=1,"BEGINNER","NOT EXPERIENCED"))</f>
        <v>EXPERIENCED</v>
      </c>
      <c r="F163" s="1">
        <f>VLOOKUP(Table7[[#This Row],[Student_ID]],student_data[],5,0)</f>
        <v>7.33</v>
      </c>
      <c r="G163" s="1">
        <f>VLOOKUP(Table7[[#This Row],[Student_ID]],student_data[#All],6,0)</f>
        <v>0</v>
      </c>
      <c r="H163" s="1">
        <f>VLOOKUP(Table7[[#This Row],[Student_ID]],student_internships[],2,0)</f>
        <v>2</v>
      </c>
      <c r="I163" s="1">
        <f>VLOOKUP(Table7[[#This Row],[Student_ID]],Placements!A163:E1162,5,0)</f>
        <v>0</v>
      </c>
      <c r="J163" s="1" t="str">
        <f>IF(VLOOKUP(Table7[[#This Row],[Student_ID]],student_data[#All],5,0)&gt;8,"HIGH",IF(VLOOKUP(Table7[[#This Row],[Student_ID]],student_data[#All],5,0)&lt;6.5,"LOW","MEDIUM"))</f>
        <v>MEDIUM</v>
      </c>
    </row>
    <row r="164" spans="1:10" x14ac:dyDescent="0.2">
      <c r="A164" s="1" t="s">
        <v>173</v>
      </c>
      <c r="B164" s="1" t="str">
        <f>VLOOKUP(Table7[[#This Row],[Student_ID]],student_data[#All],2,0)</f>
        <v>Mechanical</v>
      </c>
      <c r="C164" s="1">
        <f>(VLOOKUP(Table7[[#This Row],[Student_ID]],student_data[],5,0)*5)+(VLOOKUP(Table7[[#This Row],[Student_ID]],student_data[],6,0)*3)+(VLOOKUP(Table7[[#This Row],[Student_ID]],student_skills[],6,0)*2)+(VLOOKUP(Table7[[#This Row],[Student_ID]],student_internships[],2,0)*5)</f>
        <v>42.5</v>
      </c>
      <c r="D164" s="1">
        <f>AVERAGE(VLOOKUP(Table7[[#This Row],[Student_ID]],student_skills[],3,0),VLOOKUP(Table7[[#This Row],[Student_ID]],student_skills[],4,0),VLOOKUP(Table7[[#This Row],[Student_ID]],student_skills[],5,0),VLOOKUP(Table7[[#This Row],[Student_ID]],student_skills[],6,0))</f>
        <v>5.5</v>
      </c>
      <c r="E164" s="1" t="str">
        <f>IF(VLOOKUP(Table7[[#This Row],[Student_ID]],student_internships[#All],2,0)&gt;1,"EXPERIENCED",IF(VLOOKUP(Table7[[#This Row],[Student_ID]],student_internships[#All],2,0)=1,"BEGINNER","NOT EXPERIENCED"))</f>
        <v>BEGINNER</v>
      </c>
      <c r="F164" s="1">
        <f>VLOOKUP(Table7[[#This Row],[Student_ID]],student_data[],5,0)</f>
        <v>6.7</v>
      </c>
      <c r="G164" s="1">
        <f>VLOOKUP(Table7[[#This Row],[Student_ID]],student_data[#All],6,0)</f>
        <v>0</v>
      </c>
      <c r="H164" s="1">
        <f>VLOOKUP(Table7[[#This Row],[Student_ID]],student_internships[],2,0)</f>
        <v>1</v>
      </c>
      <c r="I164" s="1">
        <f>VLOOKUP(Table7[[#This Row],[Student_ID]],Placements!A164:E1163,5,0)</f>
        <v>4.99</v>
      </c>
      <c r="J164" s="1" t="str">
        <f>IF(VLOOKUP(Table7[[#This Row],[Student_ID]],student_data[#All],5,0)&gt;8,"HIGH",IF(VLOOKUP(Table7[[#This Row],[Student_ID]],student_data[#All],5,0)&lt;6.5,"LOW","MEDIUM"))</f>
        <v>MEDIUM</v>
      </c>
    </row>
    <row r="165" spans="1:10" x14ac:dyDescent="0.2">
      <c r="A165" s="1" t="s">
        <v>174</v>
      </c>
      <c r="B165" s="1" t="str">
        <f>VLOOKUP(Table7[[#This Row],[Student_ID]],student_data[#All],2,0)</f>
        <v>Computer Science</v>
      </c>
      <c r="C165" s="1">
        <f>(VLOOKUP(Table7[[#This Row],[Student_ID]],student_data[],5,0)*5)+(VLOOKUP(Table7[[#This Row],[Student_ID]],student_data[],6,0)*3)+(VLOOKUP(Table7[[#This Row],[Student_ID]],student_skills[],6,0)*2)+(VLOOKUP(Table7[[#This Row],[Student_ID]],student_internships[],2,0)*5)</f>
        <v>68.5</v>
      </c>
      <c r="D165" s="1">
        <f>AVERAGE(VLOOKUP(Table7[[#This Row],[Student_ID]],student_skills[],3,0),VLOOKUP(Table7[[#This Row],[Student_ID]],student_skills[],4,0),VLOOKUP(Table7[[#This Row],[Student_ID]],student_skills[],5,0),VLOOKUP(Table7[[#This Row],[Student_ID]],student_skills[],6,0))</f>
        <v>4</v>
      </c>
      <c r="E165" s="1" t="str">
        <f>IF(VLOOKUP(Table7[[#This Row],[Student_ID]],student_internships[#All],2,0)&gt;1,"EXPERIENCED",IF(VLOOKUP(Table7[[#This Row],[Student_ID]],student_internships[#All],2,0)=1,"BEGINNER","NOT EXPERIENCED"))</f>
        <v>BEGINNER</v>
      </c>
      <c r="F165" s="1">
        <f>VLOOKUP(Table7[[#This Row],[Student_ID]],student_data[],5,0)</f>
        <v>9.6999999999999993</v>
      </c>
      <c r="G165" s="1">
        <f>VLOOKUP(Table7[[#This Row],[Student_ID]],student_data[#All],6,0)</f>
        <v>3</v>
      </c>
      <c r="H165" s="1">
        <f>VLOOKUP(Table7[[#This Row],[Student_ID]],student_internships[],2,0)</f>
        <v>1</v>
      </c>
      <c r="I165" s="1">
        <f>VLOOKUP(Table7[[#This Row],[Student_ID]],Placements!A165:E1164,5,0)</f>
        <v>6.57</v>
      </c>
      <c r="J165" s="1" t="str">
        <f>IF(VLOOKUP(Table7[[#This Row],[Student_ID]],student_data[#All],5,0)&gt;8,"HIGH",IF(VLOOKUP(Table7[[#This Row],[Student_ID]],student_data[#All],5,0)&lt;6.5,"LOW","MEDIUM"))</f>
        <v>HIGH</v>
      </c>
    </row>
    <row r="166" spans="1:10" x14ac:dyDescent="0.2">
      <c r="A166" s="1" t="s">
        <v>175</v>
      </c>
      <c r="B166" s="1" t="str">
        <f>VLOOKUP(Table7[[#This Row],[Student_ID]],student_data[#All],2,0)</f>
        <v>Information Technology</v>
      </c>
      <c r="C166" s="1">
        <f>(VLOOKUP(Table7[[#This Row],[Student_ID]],student_data[],5,0)*5)+(VLOOKUP(Table7[[#This Row],[Student_ID]],student_data[],6,0)*3)+(VLOOKUP(Table7[[#This Row],[Student_ID]],student_skills[],6,0)*2)+(VLOOKUP(Table7[[#This Row],[Student_ID]],student_internships[],2,0)*5)</f>
        <v>43.05</v>
      </c>
      <c r="D166" s="1">
        <f>AVERAGE(VLOOKUP(Table7[[#This Row],[Student_ID]],student_skills[],3,0),VLOOKUP(Table7[[#This Row],[Student_ID]],student_skills[],4,0),VLOOKUP(Table7[[#This Row],[Student_ID]],student_skills[],5,0),VLOOKUP(Table7[[#This Row],[Student_ID]],student_skills[],6,0))</f>
        <v>5</v>
      </c>
      <c r="E166" s="1" t="str">
        <f>IF(VLOOKUP(Table7[[#This Row],[Student_ID]],student_internships[#All],2,0)&gt;1,"EXPERIENCED",IF(VLOOKUP(Table7[[#This Row],[Student_ID]],student_internships[#All],2,0)=1,"BEGINNER","NOT EXPERIENCED"))</f>
        <v>BEGINNER</v>
      </c>
      <c r="F166" s="1">
        <f>VLOOKUP(Table7[[#This Row],[Student_ID]],student_data[],5,0)</f>
        <v>5.41</v>
      </c>
      <c r="G166" s="1">
        <f>VLOOKUP(Table7[[#This Row],[Student_ID]],student_data[#All],6,0)</f>
        <v>1</v>
      </c>
      <c r="H166" s="1">
        <f>VLOOKUP(Table7[[#This Row],[Student_ID]],student_internships[],2,0)</f>
        <v>1</v>
      </c>
      <c r="I166" s="1">
        <f>VLOOKUP(Table7[[#This Row],[Student_ID]],Placements!A166:E1165,5,0)</f>
        <v>6.34</v>
      </c>
      <c r="J166" s="1" t="str">
        <f>IF(VLOOKUP(Table7[[#This Row],[Student_ID]],student_data[#All],5,0)&gt;8,"HIGH",IF(VLOOKUP(Table7[[#This Row],[Student_ID]],student_data[#All],5,0)&lt;6.5,"LOW","MEDIUM"))</f>
        <v>LOW</v>
      </c>
    </row>
    <row r="167" spans="1:10" x14ac:dyDescent="0.2">
      <c r="A167" s="1" t="s">
        <v>176</v>
      </c>
      <c r="B167" s="1" t="str">
        <f>VLOOKUP(Table7[[#This Row],[Student_ID]],student_data[#All],2,0)</f>
        <v>Computer Science</v>
      </c>
      <c r="C167" s="1">
        <f>(VLOOKUP(Table7[[#This Row],[Student_ID]],student_data[],5,0)*5)+(VLOOKUP(Table7[[#This Row],[Student_ID]],student_data[],6,0)*3)+(VLOOKUP(Table7[[#This Row],[Student_ID]],student_skills[],6,0)*2)+(VLOOKUP(Table7[[#This Row],[Student_ID]],student_internships[],2,0)*5)</f>
        <v>73.25</v>
      </c>
      <c r="D167" s="1">
        <f>AVERAGE(VLOOKUP(Table7[[#This Row],[Student_ID]],student_skills[],3,0),VLOOKUP(Table7[[#This Row],[Student_ID]],student_skills[],4,0),VLOOKUP(Table7[[#This Row],[Student_ID]],student_skills[],5,0),VLOOKUP(Table7[[#This Row],[Student_ID]],student_skills[],6,0))</f>
        <v>6</v>
      </c>
      <c r="E167" s="1" t="str">
        <f>IF(VLOOKUP(Table7[[#This Row],[Student_ID]],student_internships[#All],2,0)&gt;1,"EXPERIENCED",IF(VLOOKUP(Table7[[#This Row],[Student_ID]],student_internships[#All],2,0)=1,"BEGINNER","NOT EXPERIENCED"))</f>
        <v>BEGINNER</v>
      </c>
      <c r="F167" s="1">
        <f>VLOOKUP(Table7[[#This Row],[Student_ID]],student_data[],5,0)</f>
        <v>9.65</v>
      </c>
      <c r="G167" s="1">
        <f>VLOOKUP(Table7[[#This Row],[Student_ID]],student_data[#All],6,0)</f>
        <v>2</v>
      </c>
      <c r="H167" s="1">
        <f>VLOOKUP(Table7[[#This Row],[Student_ID]],student_internships[],2,0)</f>
        <v>1</v>
      </c>
      <c r="I167" s="1">
        <f>VLOOKUP(Table7[[#This Row],[Student_ID]],Placements!A167:E1166,5,0)</f>
        <v>5.32</v>
      </c>
      <c r="J167" s="1" t="str">
        <f>IF(VLOOKUP(Table7[[#This Row],[Student_ID]],student_data[#All],5,0)&gt;8,"HIGH",IF(VLOOKUP(Table7[[#This Row],[Student_ID]],student_data[#All],5,0)&lt;6.5,"LOW","MEDIUM"))</f>
        <v>HIGH</v>
      </c>
    </row>
    <row r="168" spans="1:10" x14ac:dyDescent="0.2">
      <c r="A168" s="1" t="s">
        <v>177</v>
      </c>
      <c r="B168" s="1" t="str">
        <f>VLOOKUP(Table7[[#This Row],[Student_ID]],student_data[#All],2,0)</f>
        <v>Mechanical</v>
      </c>
      <c r="C168" s="1">
        <f>(VLOOKUP(Table7[[#This Row],[Student_ID]],student_data[],5,0)*5)+(VLOOKUP(Table7[[#This Row],[Student_ID]],student_data[],6,0)*3)+(VLOOKUP(Table7[[#This Row],[Student_ID]],student_skills[],6,0)*2)+(VLOOKUP(Table7[[#This Row],[Student_ID]],student_internships[],2,0)*5)</f>
        <v>63.650000000000006</v>
      </c>
      <c r="D168" s="1">
        <f>AVERAGE(VLOOKUP(Table7[[#This Row],[Student_ID]],student_skills[],3,0),VLOOKUP(Table7[[#This Row],[Student_ID]],student_skills[],4,0),VLOOKUP(Table7[[#This Row],[Student_ID]],student_skills[],5,0),VLOOKUP(Table7[[#This Row],[Student_ID]],student_skills[],6,0))</f>
        <v>4.25</v>
      </c>
      <c r="E168" s="1" t="str">
        <f>IF(VLOOKUP(Table7[[#This Row],[Student_ID]],student_internships[#All],2,0)&gt;1,"EXPERIENCED",IF(VLOOKUP(Table7[[#This Row],[Student_ID]],student_internships[#All],2,0)=1,"BEGINNER","NOT EXPERIENCED"))</f>
        <v>NOT EXPERIENCED</v>
      </c>
      <c r="F168" s="1">
        <f>VLOOKUP(Table7[[#This Row],[Student_ID]],student_data[],5,0)</f>
        <v>9.1300000000000008</v>
      </c>
      <c r="G168" s="1">
        <f>VLOOKUP(Table7[[#This Row],[Student_ID]],student_data[#All],6,0)</f>
        <v>4</v>
      </c>
      <c r="H168" s="1">
        <f>VLOOKUP(Table7[[#This Row],[Student_ID]],student_internships[],2,0)</f>
        <v>0</v>
      </c>
      <c r="I168" s="1">
        <f>VLOOKUP(Table7[[#This Row],[Student_ID]],Placements!A168:E1167,5,0)</f>
        <v>4.72</v>
      </c>
      <c r="J168" s="1" t="str">
        <f>IF(VLOOKUP(Table7[[#This Row],[Student_ID]],student_data[#All],5,0)&gt;8,"HIGH",IF(VLOOKUP(Table7[[#This Row],[Student_ID]],student_data[#All],5,0)&lt;6.5,"LOW","MEDIUM"))</f>
        <v>HIGH</v>
      </c>
    </row>
    <row r="169" spans="1:10" x14ac:dyDescent="0.2">
      <c r="A169" s="1" t="s">
        <v>178</v>
      </c>
      <c r="B169" s="1" t="str">
        <f>VLOOKUP(Table7[[#This Row],[Student_ID]],student_data[#All],2,0)</f>
        <v>Electronics</v>
      </c>
      <c r="C169" s="1">
        <f>(VLOOKUP(Table7[[#This Row],[Student_ID]],student_data[],5,0)*5)+(VLOOKUP(Table7[[#This Row],[Student_ID]],student_data[],6,0)*3)+(VLOOKUP(Table7[[#This Row],[Student_ID]],student_skills[],6,0)*2)+(VLOOKUP(Table7[[#This Row],[Student_ID]],student_internships[],2,0)*5)</f>
        <v>59.25</v>
      </c>
      <c r="D169" s="1">
        <f>AVERAGE(VLOOKUP(Table7[[#This Row],[Student_ID]],student_skills[],3,0),VLOOKUP(Table7[[#This Row],[Student_ID]],student_skills[],4,0),VLOOKUP(Table7[[#This Row],[Student_ID]],student_skills[],5,0),VLOOKUP(Table7[[#This Row],[Student_ID]],student_skills[],6,0))</f>
        <v>5.5</v>
      </c>
      <c r="E169" s="1" t="str">
        <f>IF(VLOOKUP(Table7[[#This Row],[Student_ID]],student_internships[#All],2,0)&gt;1,"EXPERIENCED",IF(VLOOKUP(Table7[[#This Row],[Student_ID]],student_internships[#All],2,0)=1,"BEGINNER","NOT EXPERIENCED"))</f>
        <v>EXPERIENCED</v>
      </c>
      <c r="F169" s="1">
        <f>VLOOKUP(Table7[[#This Row],[Student_ID]],student_data[],5,0)</f>
        <v>5.65</v>
      </c>
      <c r="G169" s="1">
        <f>VLOOKUP(Table7[[#This Row],[Student_ID]],student_data[#All],6,0)</f>
        <v>1</v>
      </c>
      <c r="H169" s="1">
        <f>VLOOKUP(Table7[[#This Row],[Student_ID]],student_internships[],2,0)</f>
        <v>2</v>
      </c>
      <c r="I169" s="1">
        <f>VLOOKUP(Table7[[#This Row],[Student_ID]],Placements!A169:E1168,5,0)</f>
        <v>9.6999999999999993</v>
      </c>
      <c r="J169" s="1" t="str">
        <f>IF(VLOOKUP(Table7[[#This Row],[Student_ID]],student_data[#All],5,0)&gt;8,"HIGH",IF(VLOOKUP(Table7[[#This Row],[Student_ID]],student_data[#All],5,0)&lt;6.5,"LOW","MEDIUM"))</f>
        <v>LOW</v>
      </c>
    </row>
    <row r="170" spans="1:10" x14ac:dyDescent="0.2">
      <c r="A170" s="1" t="s">
        <v>179</v>
      </c>
      <c r="B170" s="1" t="str">
        <f>VLOOKUP(Table7[[#This Row],[Student_ID]],student_data[#All],2,0)</f>
        <v>Civil</v>
      </c>
      <c r="C170" s="1">
        <f>(VLOOKUP(Table7[[#This Row],[Student_ID]],student_data[],5,0)*5)+(VLOOKUP(Table7[[#This Row],[Student_ID]],student_data[],6,0)*3)+(VLOOKUP(Table7[[#This Row],[Student_ID]],student_skills[],6,0)*2)+(VLOOKUP(Table7[[#This Row],[Student_ID]],student_internships[],2,0)*5)</f>
        <v>72.099999999999994</v>
      </c>
      <c r="D170" s="1">
        <f>AVERAGE(VLOOKUP(Table7[[#This Row],[Student_ID]],student_skills[],3,0),VLOOKUP(Table7[[#This Row],[Student_ID]],student_skills[],4,0),VLOOKUP(Table7[[#This Row],[Student_ID]],student_skills[],5,0),VLOOKUP(Table7[[#This Row],[Student_ID]],student_skills[],6,0))</f>
        <v>6.5</v>
      </c>
      <c r="E170" s="1" t="str">
        <f>IF(VLOOKUP(Table7[[#This Row],[Student_ID]],student_internships[#All],2,0)&gt;1,"EXPERIENCED",IF(VLOOKUP(Table7[[#This Row],[Student_ID]],student_internships[#All],2,0)=1,"BEGINNER","NOT EXPERIENCED"))</f>
        <v>BEGINNER</v>
      </c>
      <c r="F170" s="1">
        <f>VLOOKUP(Table7[[#This Row],[Student_ID]],student_data[],5,0)</f>
        <v>7.82</v>
      </c>
      <c r="G170" s="1">
        <f>VLOOKUP(Table7[[#This Row],[Student_ID]],student_data[#All],6,0)</f>
        <v>4</v>
      </c>
      <c r="H170" s="1">
        <f>VLOOKUP(Table7[[#This Row],[Student_ID]],student_internships[],2,0)</f>
        <v>1</v>
      </c>
      <c r="I170" s="1">
        <f>VLOOKUP(Table7[[#This Row],[Student_ID]],Placements!A170:E1169,5,0)</f>
        <v>3.91</v>
      </c>
      <c r="J170" s="1" t="str">
        <f>IF(VLOOKUP(Table7[[#This Row],[Student_ID]],student_data[#All],5,0)&gt;8,"HIGH",IF(VLOOKUP(Table7[[#This Row],[Student_ID]],student_data[#All],5,0)&lt;6.5,"LOW","MEDIUM"))</f>
        <v>MEDIUM</v>
      </c>
    </row>
    <row r="171" spans="1:10" x14ac:dyDescent="0.2">
      <c r="A171" s="1" t="s">
        <v>180</v>
      </c>
      <c r="B171" s="1" t="str">
        <f>VLOOKUP(Table7[[#This Row],[Student_ID]],student_data[#All],2,0)</f>
        <v>Mechanical</v>
      </c>
      <c r="C171" s="1">
        <f>(VLOOKUP(Table7[[#This Row],[Student_ID]],student_data[],5,0)*5)+(VLOOKUP(Table7[[#This Row],[Student_ID]],student_data[],6,0)*3)+(VLOOKUP(Table7[[#This Row],[Student_ID]],student_skills[],6,0)*2)+(VLOOKUP(Table7[[#This Row],[Student_ID]],student_internships[],2,0)*5)</f>
        <v>54.65</v>
      </c>
      <c r="D171" s="1">
        <f>AVERAGE(VLOOKUP(Table7[[#This Row],[Student_ID]],student_skills[],3,0),VLOOKUP(Table7[[#This Row],[Student_ID]],student_skills[],4,0),VLOOKUP(Table7[[#This Row],[Student_ID]],student_skills[],5,0),VLOOKUP(Table7[[#This Row],[Student_ID]],student_skills[],6,0))</f>
        <v>6</v>
      </c>
      <c r="E171" s="1" t="str">
        <f>IF(VLOOKUP(Table7[[#This Row],[Student_ID]],student_internships[#All],2,0)&gt;1,"EXPERIENCED",IF(VLOOKUP(Table7[[#This Row],[Student_ID]],student_internships[#All],2,0)=1,"BEGINNER","NOT EXPERIENCED"))</f>
        <v>NOT EXPERIENCED</v>
      </c>
      <c r="F171" s="1">
        <f>VLOOKUP(Table7[[#This Row],[Student_ID]],student_data[],5,0)</f>
        <v>9.33</v>
      </c>
      <c r="G171" s="1">
        <f>VLOOKUP(Table7[[#This Row],[Student_ID]],student_data[#All],6,0)</f>
        <v>0</v>
      </c>
      <c r="H171" s="1">
        <f>VLOOKUP(Table7[[#This Row],[Student_ID]],student_internships[],2,0)</f>
        <v>0</v>
      </c>
      <c r="I171" s="1">
        <f>VLOOKUP(Table7[[#This Row],[Student_ID]],Placements!A171:E1170,5,0)</f>
        <v>4.71</v>
      </c>
      <c r="J171" s="1" t="str">
        <f>IF(VLOOKUP(Table7[[#This Row],[Student_ID]],student_data[#All],5,0)&gt;8,"HIGH",IF(VLOOKUP(Table7[[#This Row],[Student_ID]],student_data[#All],5,0)&lt;6.5,"LOW","MEDIUM"))</f>
        <v>HIGH</v>
      </c>
    </row>
    <row r="172" spans="1:10" x14ac:dyDescent="0.2">
      <c r="A172" s="1" t="s">
        <v>181</v>
      </c>
      <c r="B172" s="1" t="str">
        <f>VLOOKUP(Table7[[#This Row],[Student_ID]],student_data[#All],2,0)</f>
        <v>Computer Science</v>
      </c>
      <c r="C172" s="1">
        <f>(VLOOKUP(Table7[[#This Row],[Student_ID]],student_data[],5,0)*5)+(VLOOKUP(Table7[[#This Row],[Student_ID]],student_data[],6,0)*3)+(VLOOKUP(Table7[[#This Row],[Student_ID]],student_skills[],6,0)*2)+(VLOOKUP(Table7[[#This Row],[Student_ID]],student_internships[],2,0)*5)</f>
        <v>50.300000000000004</v>
      </c>
      <c r="D172" s="1">
        <f>AVERAGE(VLOOKUP(Table7[[#This Row],[Student_ID]],student_skills[],3,0),VLOOKUP(Table7[[#This Row],[Student_ID]],student_skills[],4,0),VLOOKUP(Table7[[#This Row],[Student_ID]],student_skills[],5,0),VLOOKUP(Table7[[#This Row],[Student_ID]],student_skills[],6,0))</f>
        <v>4.5</v>
      </c>
      <c r="E172" s="1" t="str">
        <f>IF(VLOOKUP(Table7[[#This Row],[Student_ID]],student_internships[#All],2,0)&gt;1,"EXPERIENCED",IF(VLOOKUP(Table7[[#This Row],[Student_ID]],student_internships[#All],2,0)=1,"BEGINNER","NOT EXPERIENCED"))</f>
        <v>NOT EXPERIENCED</v>
      </c>
      <c r="F172" s="1">
        <f>VLOOKUP(Table7[[#This Row],[Student_ID]],student_data[],5,0)</f>
        <v>7.86</v>
      </c>
      <c r="G172" s="1">
        <f>VLOOKUP(Table7[[#This Row],[Student_ID]],student_data[#All],6,0)</f>
        <v>3</v>
      </c>
      <c r="H172" s="1">
        <f>VLOOKUP(Table7[[#This Row],[Student_ID]],student_internships[],2,0)</f>
        <v>0</v>
      </c>
      <c r="I172" s="1">
        <f>VLOOKUP(Table7[[#This Row],[Student_ID]],Placements!A172:E1171,5,0)</f>
        <v>3.87</v>
      </c>
      <c r="J172" s="1" t="str">
        <f>IF(VLOOKUP(Table7[[#This Row],[Student_ID]],student_data[#All],5,0)&gt;8,"HIGH",IF(VLOOKUP(Table7[[#This Row],[Student_ID]],student_data[#All],5,0)&lt;6.5,"LOW","MEDIUM"))</f>
        <v>MEDIUM</v>
      </c>
    </row>
    <row r="173" spans="1:10" x14ac:dyDescent="0.2">
      <c r="A173" s="1" t="s">
        <v>182</v>
      </c>
      <c r="B173" s="1" t="str">
        <f>VLOOKUP(Table7[[#This Row],[Student_ID]],student_data[#All],2,0)</f>
        <v>Civil</v>
      </c>
      <c r="C173" s="1">
        <f>(VLOOKUP(Table7[[#This Row],[Student_ID]],student_data[],5,0)*5)+(VLOOKUP(Table7[[#This Row],[Student_ID]],student_data[],6,0)*3)+(VLOOKUP(Table7[[#This Row],[Student_ID]],student_skills[],6,0)*2)+(VLOOKUP(Table7[[#This Row],[Student_ID]],student_internships[],2,0)*5)</f>
        <v>63.699999999999996</v>
      </c>
      <c r="D173" s="1">
        <f>AVERAGE(VLOOKUP(Table7[[#This Row],[Student_ID]],student_skills[],3,0),VLOOKUP(Table7[[#This Row],[Student_ID]],student_skills[],4,0),VLOOKUP(Table7[[#This Row],[Student_ID]],student_skills[],5,0),VLOOKUP(Table7[[#This Row],[Student_ID]],student_skills[],6,0))</f>
        <v>5</v>
      </c>
      <c r="E173" s="1" t="str">
        <f>IF(VLOOKUP(Table7[[#This Row],[Student_ID]],student_internships[#All],2,0)&gt;1,"EXPERIENCED",IF(VLOOKUP(Table7[[#This Row],[Student_ID]],student_internships[#All],2,0)=1,"BEGINNER","NOT EXPERIENCED"))</f>
        <v>BEGINNER</v>
      </c>
      <c r="F173" s="1">
        <f>VLOOKUP(Table7[[#This Row],[Student_ID]],student_data[],5,0)</f>
        <v>9.5399999999999991</v>
      </c>
      <c r="G173" s="1">
        <f>VLOOKUP(Table7[[#This Row],[Student_ID]],student_data[#All],6,0)</f>
        <v>3</v>
      </c>
      <c r="H173" s="1">
        <f>VLOOKUP(Table7[[#This Row],[Student_ID]],student_internships[],2,0)</f>
        <v>1</v>
      </c>
      <c r="I173" s="1">
        <f>VLOOKUP(Table7[[#This Row],[Student_ID]],Placements!A173:E1172,5,0)</f>
        <v>0</v>
      </c>
      <c r="J173" s="1" t="str">
        <f>IF(VLOOKUP(Table7[[#This Row],[Student_ID]],student_data[#All],5,0)&gt;8,"HIGH",IF(VLOOKUP(Table7[[#This Row],[Student_ID]],student_data[#All],5,0)&lt;6.5,"LOW","MEDIUM"))</f>
        <v>HIGH</v>
      </c>
    </row>
    <row r="174" spans="1:10" x14ac:dyDescent="0.2">
      <c r="A174" s="1" t="s">
        <v>183</v>
      </c>
      <c r="B174" s="1" t="str">
        <f>VLOOKUP(Table7[[#This Row],[Student_ID]],student_data[#All],2,0)</f>
        <v>Computer Science</v>
      </c>
      <c r="C174" s="1">
        <f>(VLOOKUP(Table7[[#This Row],[Student_ID]],student_data[],5,0)*5)+(VLOOKUP(Table7[[#This Row],[Student_ID]],student_data[],6,0)*3)+(VLOOKUP(Table7[[#This Row],[Student_ID]],student_skills[],6,0)*2)+(VLOOKUP(Table7[[#This Row],[Student_ID]],student_internships[],2,0)*5)</f>
        <v>70.550000000000011</v>
      </c>
      <c r="D174" s="1">
        <f>AVERAGE(VLOOKUP(Table7[[#This Row],[Student_ID]],student_skills[],3,0),VLOOKUP(Table7[[#This Row],[Student_ID]],student_skills[],4,0),VLOOKUP(Table7[[#This Row],[Student_ID]],student_skills[],5,0),VLOOKUP(Table7[[#This Row],[Student_ID]],student_skills[],6,0))</f>
        <v>3.75</v>
      </c>
      <c r="E174" s="1" t="str">
        <f>IF(VLOOKUP(Table7[[#This Row],[Student_ID]],student_internships[#All],2,0)&gt;1,"EXPERIENCED",IF(VLOOKUP(Table7[[#This Row],[Student_ID]],student_internships[#All],2,0)=1,"BEGINNER","NOT EXPERIENCED"))</f>
        <v>BEGINNER</v>
      </c>
      <c r="F174" s="1">
        <f>VLOOKUP(Table7[[#This Row],[Student_ID]],student_data[],5,0)</f>
        <v>9.7100000000000009</v>
      </c>
      <c r="G174" s="1">
        <f>VLOOKUP(Table7[[#This Row],[Student_ID]],student_data[#All],6,0)</f>
        <v>5</v>
      </c>
      <c r="H174" s="1">
        <f>VLOOKUP(Table7[[#This Row],[Student_ID]],student_internships[],2,0)</f>
        <v>1</v>
      </c>
      <c r="I174" s="1">
        <f>VLOOKUP(Table7[[#This Row],[Student_ID]],Placements!A174:E1173,5,0)</f>
        <v>4.9800000000000004</v>
      </c>
      <c r="J174" s="1" t="str">
        <f>IF(VLOOKUP(Table7[[#This Row],[Student_ID]],student_data[#All],5,0)&gt;8,"HIGH",IF(VLOOKUP(Table7[[#This Row],[Student_ID]],student_data[#All],5,0)&lt;6.5,"LOW","MEDIUM"))</f>
        <v>HIGH</v>
      </c>
    </row>
    <row r="175" spans="1:10" x14ac:dyDescent="0.2">
      <c r="A175" s="1" t="s">
        <v>184</v>
      </c>
      <c r="B175" s="1" t="str">
        <f>VLOOKUP(Table7[[#This Row],[Student_ID]],student_data[#All],2,0)</f>
        <v>Computer Science</v>
      </c>
      <c r="C175" s="1">
        <f>(VLOOKUP(Table7[[#This Row],[Student_ID]],student_data[],5,0)*5)+(VLOOKUP(Table7[[#This Row],[Student_ID]],student_data[],6,0)*3)+(VLOOKUP(Table7[[#This Row],[Student_ID]],student_skills[],6,0)*2)+(VLOOKUP(Table7[[#This Row],[Student_ID]],student_internships[],2,0)*5)</f>
        <v>43.550000000000004</v>
      </c>
      <c r="D175" s="1">
        <f>AVERAGE(VLOOKUP(Table7[[#This Row],[Student_ID]],student_skills[],3,0),VLOOKUP(Table7[[#This Row],[Student_ID]],student_skills[],4,0),VLOOKUP(Table7[[#This Row],[Student_ID]],student_skills[],5,0),VLOOKUP(Table7[[#This Row],[Student_ID]],student_skills[],6,0))</f>
        <v>4.5</v>
      </c>
      <c r="E175" s="1" t="str">
        <f>IF(VLOOKUP(Table7[[#This Row],[Student_ID]],student_internships[#All],2,0)&gt;1,"EXPERIENCED",IF(VLOOKUP(Table7[[#This Row],[Student_ID]],student_internships[#All],2,0)=1,"BEGINNER","NOT EXPERIENCED"))</f>
        <v>NOT EXPERIENCED</v>
      </c>
      <c r="F175" s="1">
        <f>VLOOKUP(Table7[[#This Row],[Student_ID]],student_data[],5,0)</f>
        <v>7.11</v>
      </c>
      <c r="G175" s="1">
        <f>VLOOKUP(Table7[[#This Row],[Student_ID]],student_data[#All],6,0)</f>
        <v>2</v>
      </c>
      <c r="H175" s="1">
        <f>VLOOKUP(Table7[[#This Row],[Student_ID]],student_internships[],2,0)</f>
        <v>0</v>
      </c>
      <c r="I175" s="1">
        <f>VLOOKUP(Table7[[#This Row],[Student_ID]],Placements!A175:E1174,5,0)</f>
        <v>0</v>
      </c>
      <c r="J175" s="1" t="str">
        <f>IF(VLOOKUP(Table7[[#This Row],[Student_ID]],student_data[#All],5,0)&gt;8,"HIGH",IF(VLOOKUP(Table7[[#This Row],[Student_ID]],student_data[#All],5,0)&lt;6.5,"LOW","MEDIUM"))</f>
        <v>MEDIUM</v>
      </c>
    </row>
    <row r="176" spans="1:10" x14ac:dyDescent="0.2">
      <c r="A176" s="1" t="s">
        <v>185</v>
      </c>
      <c r="B176" s="1" t="str">
        <f>VLOOKUP(Table7[[#This Row],[Student_ID]],student_data[#All],2,0)</f>
        <v>Electronics</v>
      </c>
      <c r="C176" s="1">
        <f>(VLOOKUP(Table7[[#This Row],[Student_ID]],student_data[],5,0)*5)+(VLOOKUP(Table7[[#This Row],[Student_ID]],student_data[],6,0)*3)+(VLOOKUP(Table7[[#This Row],[Student_ID]],student_skills[],6,0)*2)+(VLOOKUP(Table7[[#This Row],[Student_ID]],student_internships[],2,0)*5)</f>
        <v>64.449999999999989</v>
      </c>
      <c r="D176" s="1">
        <f>AVERAGE(VLOOKUP(Table7[[#This Row],[Student_ID]],student_skills[],3,0),VLOOKUP(Table7[[#This Row],[Student_ID]],student_skills[],4,0),VLOOKUP(Table7[[#This Row],[Student_ID]],student_skills[],5,0),VLOOKUP(Table7[[#This Row],[Student_ID]],student_skills[],6,0))</f>
        <v>4.25</v>
      </c>
      <c r="E176" s="1" t="str">
        <f>IF(VLOOKUP(Table7[[#This Row],[Student_ID]],student_internships[#All],2,0)&gt;1,"EXPERIENCED",IF(VLOOKUP(Table7[[#This Row],[Student_ID]],student_internships[#All],2,0)=1,"BEGINNER","NOT EXPERIENCED"))</f>
        <v>BEGINNER</v>
      </c>
      <c r="F176" s="1">
        <f>VLOOKUP(Table7[[#This Row],[Student_ID]],student_data[],5,0)</f>
        <v>6.89</v>
      </c>
      <c r="G176" s="1">
        <f>VLOOKUP(Table7[[#This Row],[Student_ID]],student_data[#All],6,0)</f>
        <v>3</v>
      </c>
      <c r="H176" s="1">
        <f>VLOOKUP(Table7[[#This Row],[Student_ID]],student_internships[],2,0)</f>
        <v>1</v>
      </c>
      <c r="I176" s="1">
        <f>VLOOKUP(Table7[[#This Row],[Student_ID]],Placements!A176:E1175,5,0)</f>
        <v>13.68</v>
      </c>
      <c r="J176" s="1" t="str">
        <f>IF(VLOOKUP(Table7[[#This Row],[Student_ID]],student_data[#All],5,0)&gt;8,"HIGH",IF(VLOOKUP(Table7[[#This Row],[Student_ID]],student_data[#All],5,0)&lt;6.5,"LOW","MEDIUM"))</f>
        <v>MEDIUM</v>
      </c>
    </row>
    <row r="177" spans="1:10" x14ac:dyDescent="0.2">
      <c r="A177" s="1" t="s">
        <v>186</v>
      </c>
      <c r="B177" s="1" t="str">
        <f>VLOOKUP(Table7[[#This Row],[Student_ID]],student_data[#All],2,0)</f>
        <v>Civil</v>
      </c>
      <c r="C177" s="1">
        <f>(VLOOKUP(Table7[[#This Row],[Student_ID]],student_data[],5,0)*5)+(VLOOKUP(Table7[[#This Row],[Student_ID]],student_data[],6,0)*3)+(VLOOKUP(Table7[[#This Row],[Student_ID]],student_skills[],6,0)*2)+(VLOOKUP(Table7[[#This Row],[Student_ID]],student_internships[],2,0)*5)</f>
        <v>54.4</v>
      </c>
      <c r="D177" s="1">
        <f>AVERAGE(VLOOKUP(Table7[[#This Row],[Student_ID]],student_skills[],3,0),VLOOKUP(Table7[[#This Row],[Student_ID]],student_skills[],4,0),VLOOKUP(Table7[[#This Row],[Student_ID]],student_skills[],5,0),VLOOKUP(Table7[[#This Row],[Student_ID]],student_skills[],6,0))</f>
        <v>2.75</v>
      </c>
      <c r="E177" s="1" t="str">
        <f>IF(VLOOKUP(Table7[[#This Row],[Student_ID]],student_internships[#All],2,0)&gt;1,"EXPERIENCED",IF(VLOOKUP(Table7[[#This Row],[Student_ID]],student_internships[#All],2,0)=1,"BEGINNER","NOT EXPERIENCED"))</f>
        <v>NOT EXPERIENCED</v>
      </c>
      <c r="F177" s="1">
        <f>VLOOKUP(Table7[[#This Row],[Student_ID]],student_data[],5,0)</f>
        <v>9.68</v>
      </c>
      <c r="G177" s="1">
        <f>VLOOKUP(Table7[[#This Row],[Student_ID]],student_data[#All],6,0)</f>
        <v>0</v>
      </c>
      <c r="H177" s="1">
        <f>VLOOKUP(Table7[[#This Row],[Student_ID]],student_internships[],2,0)</f>
        <v>0</v>
      </c>
      <c r="I177" s="1">
        <f>VLOOKUP(Table7[[#This Row],[Student_ID]],Placements!A177:E1176,5,0)</f>
        <v>5.03</v>
      </c>
      <c r="J177" s="1" t="str">
        <f>IF(VLOOKUP(Table7[[#This Row],[Student_ID]],student_data[#All],5,0)&gt;8,"HIGH",IF(VLOOKUP(Table7[[#This Row],[Student_ID]],student_data[#All],5,0)&lt;6.5,"LOW","MEDIUM"))</f>
        <v>HIGH</v>
      </c>
    </row>
    <row r="178" spans="1:10" x14ac:dyDescent="0.2">
      <c r="A178" s="1" t="s">
        <v>187</v>
      </c>
      <c r="B178" s="1" t="str">
        <f>VLOOKUP(Table7[[#This Row],[Student_ID]],student_data[#All],2,0)</f>
        <v>Civil</v>
      </c>
      <c r="C178" s="1">
        <f>(VLOOKUP(Table7[[#This Row],[Student_ID]],student_data[],5,0)*5)+(VLOOKUP(Table7[[#This Row],[Student_ID]],student_data[],6,0)*3)+(VLOOKUP(Table7[[#This Row],[Student_ID]],student_skills[],6,0)*2)+(VLOOKUP(Table7[[#This Row],[Student_ID]],student_internships[],2,0)*5)</f>
        <v>64.900000000000006</v>
      </c>
      <c r="D178" s="1">
        <f>AVERAGE(VLOOKUP(Table7[[#This Row],[Student_ID]],student_skills[],3,0),VLOOKUP(Table7[[#This Row],[Student_ID]],student_skills[],4,0),VLOOKUP(Table7[[#This Row],[Student_ID]],student_skills[],5,0),VLOOKUP(Table7[[#This Row],[Student_ID]],student_skills[],6,0))</f>
        <v>6.5</v>
      </c>
      <c r="E178" s="1" t="str">
        <f>IF(VLOOKUP(Table7[[#This Row],[Student_ID]],student_internships[#All],2,0)&gt;1,"EXPERIENCED",IF(VLOOKUP(Table7[[#This Row],[Student_ID]],student_internships[#All],2,0)=1,"BEGINNER","NOT EXPERIENCED"))</f>
        <v>BEGINNER</v>
      </c>
      <c r="F178" s="1">
        <f>VLOOKUP(Table7[[#This Row],[Student_ID]],student_data[],5,0)</f>
        <v>8.3800000000000008</v>
      </c>
      <c r="G178" s="1">
        <f>VLOOKUP(Table7[[#This Row],[Student_ID]],student_data[#All],6,0)</f>
        <v>2</v>
      </c>
      <c r="H178" s="1">
        <f>VLOOKUP(Table7[[#This Row],[Student_ID]],student_internships[],2,0)</f>
        <v>1</v>
      </c>
      <c r="I178" s="1">
        <f>VLOOKUP(Table7[[#This Row],[Student_ID]],Placements!A178:E1177,5,0)</f>
        <v>4.42</v>
      </c>
      <c r="J178" s="1" t="str">
        <f>IF(VLOOKUP(Table7[[#This Row],[Student_ID]],student_data[#All],5,0)&gt;8,"HIGH",IF(VLOOKUP(Table7[[#This Row],[Student_ID]],student_data[#All],5,0)&lt;6.5,"LOW","MEDIUM"))</f>
        <v>HIGH</v>
      </c>
    </row>
    <row r="179" spans="1:10" x14ac:dyDescent="0.2">
      <c r="A179" s="1" t="s">
        <v>188</v>
      </c>
      <c r="B179" s="1" t="str">
        <f>VLOOKUP(Table7[[#This Row],[Student_ID]],student_data[#All],2,0)</f>
        <v>Electronics</v>
      </c>
      <c r="C179" s="1">
        <f>(VLOOKUP(Table7[[#This Row],[Student_ID]],student_data[],5,0)*5)+(VLOOKUP(Table7[[#This Row],[Student_ID]],student_data[],6,0)*3)+(VLOOKUP(Table7[[#This Row],[Student_ID]],student_skills[],6,0)*2)+(VLOOKUP(Table7[[#This Row],[Student_ID]],student_internships[],2,0)*5)</f>
        <v>36.9</v>
      </c>
      <c r="D179" s="1">
        <f>AVERAGE(VLOOKUP(Table7[[#This Row],[Student_ID]],student_skills[],3,0),VLOOKUP(Table7[[#This Row],[Student_ID]],student_skills[],4,0),VLOOKUP(Table7[[#This Row],[Student_ID]],student_skills[],5,0),VLOOKUP(Table7[[#This Row],[Student_ID]],student_skills[],6,0))</f>
        <v>2</v>
      </c>
      <c r="E179" s="1" t="str">
        <f>IF(VLOOKUP(Table7[[#This Row],[Student_ID]],student_internships[#All],2,0)&gt;1,"EXPERIENCED",IF(VLOOKUP(Table7[[#This Row],[Student_ID]],student_internships[#All],2,0)=1,"BEGINNER","NOT EXPERIENCED"))</f>
        <v>NOT EXPERIENCED</v>
      </c>
      <c r="F179" s="1">
        <f>VLOOKUP(Table7[[#This Row],[Student_ID]],student_data[],5,0)</f>
        <v>5.58</v>
      </c>
      <c r="G179" s="1">
        <f>VLOOKUP(Table7[[#This Row],[Student_ID]],student_data[#All],6,0)</f>
        <v>1</v>
      </c>
      <c r="H179" s="1">
        <f>VLOOKUP(Table7[[#This Row],[Student_ID]],student_internships[],2,0)</f>
        <v>0</v>
      </c>
      <c r="I179" s="1">
        <f>VLOOKUP(Table7[[#This Row],[Student_ID]],Placements!A179:E1178,5,0)</f>
        <v>4.9000000000000004</v>
      </c>
      <c r="J179" s="1" t="str">
        <f>IF(VLOOKUP(Table7[[#This Row],[Student_ID]],student_data[#All],5,0)&gt;8,"HIGH",IF(VLOOKUP(Table7[[#This Row],[Student_ID]],student_data[#All],5,0)&lt;6.5,"LOW","MEDIUM"))</f>
        <v>LOW</v>
      </c>
    </row>
    <row r="180" spans="1:10" x14ac:dyDescent="0.2">
      <c r="A180" s="1" t="s">
        <v>189</v>
      </c>
      <c r="B180" s="1" t="str">
        <f>VLOOKUP(Table7[[#This Row],[Student_ID]],student_data[#All],2,0)</f>
        <v>Mechanical</v>
      </c>
      <c r="C180" s="1">
        <f>(VLOOKUP(Table7[[#This Row],[Student_ID]],student_data[],5,0)*5)+(VLOOKUP(Table7[[#This Row],[Student_ID]],student_data[],6,0)*3)+(VLOOKUP(Table7[[#This Row],[Student_ID]],student_skills[],6,0)*2)+(VLOOKUP(Table7[[#This Row],[Student_ID]],student_internships[],2,0)*5)</f>
        <v>50.05</v>
      </c>
      <c r="D180" s="1">
        <f>AVERAGE(VLOOKUP(Table7[[#This Row],[Student_ID]],student_skills[],3,0),VLOOKUP(Table7[[#This Row],[Student_ID]],student_skills[],4,0),VLOOKUP(Table7[[#This Row],[Student_ID]],student_skills[],5,0),VLOOKUP(Table7[[#This Row],[Student_ID]],student_skills[],6,0))</f>
        <v>5.5</v>
      </c>
      <c r="E180" s="1" t="str">
        <f>IF(VLOOKUP(Table7[[#This Row],[Student_ID]],student_internships[#All],2,0)&gt;1,"EXPERIENCED",IF(VLOOKUP(Table7[[#This Row],[Student_ID]],student_internships[#All],2,0)=1,"BEGINNER","NOT EXPERIENCED"))</f>
        <v>BEGINNER</v>
      </c>
      <c r="F180" s="1">
        <f>VLOOKUP(Table7[[#This Row],[Student_ID]],student_data[],5,0)</f>
        <v>5.21</v>
      </c>
      <c r="G180" s="1">
        <f>VLOOKUP(Table7[[#This Row],[Student_ID]],student_data[#All],6,0)</f>
        <v>3</v>
      </c>
      <c r="H180" s="1">
        <f>VLOOKUP(Table7[[#This Row],[Student_ID]],student_internships[],2,0)</f>
        <v>1</v>
      </c>
      <c r="I180" s="1">
        <f>VLOOKUP(Table7[[#This Row],[Student_ID]],Placements!A180:E1179,5,0)</f>
        <v>12.35</v>
      </c>
      <c r="J180" s="1" t="str">
        <f>IF(VLOOKUP(Table7[[#This Row],[Student_ID]],student_data[#All],5,0)&gt;8,"HIGH",IF(VLOOKUP(Table7[[#This Row],[Student_ID]],student_data[#All],5,0)&lt;6.5,"LOW","MEDIUM"))</f>
        <v>LOW</v>
      </c>
    </row>
    <row r="181" spans="1:10" x14ac:dyDescent="0.2">
      <c r="A181" s="1" t="s">
        <v>190</v>
      </c>
      <c r="B181" s="1" t="str">
        <f>VLOOKUP(Table7[[#This Row],[Student_ID]],student_data[#All],2,0)</f>
        <v>Computer Science</v>
      </c>
      <c r="C181" s="1">
        <f>(VLOOKUP(Table7[[#This Row],[Student_ID]],student_data[],5,0)*5)+(VLOOKUP(Table7[[#This Row],[Student_ID]],student_data[],6,0)*3)+(VLOOKUP(Table7[[#This Row],[Student_ID]],student_skills[],6,0)*2)+(VLOOKUP(Table7[[#This Row],[Student_ID]],student_internships[],2,0)*5)</f>
        <v>64.099999999999994</v>
      </c>
      <c r="D181" s="1">
        <f>AVERAGE(VLOOKUP(Table7[[#This Row],[Student_ID]],student_skills[],3,0),VLOOKUP(Table7[[#This Row],[Student_ID]],student_skills[],4,0),VLOOKUP(Table7[[#This Row],[Student_ID]],student_skills[],5,0),VLOOKUP(Table7[[#This Row],[Student_ID]],student_skills[],6,0))</f>
        <v>4.5</v>
      </c>
      <c r="E181" s="1" t="str">
        <f>IF(VLOOKUP(Table7[[#This Row],[Student_ID]],student_internships[#All],2,0)&gt;1,"EXPERIENCED",IF(VLOOKUP(Table7[[#This Row],[Student_ID]],student_internships[#All],2,0)=1,"BEGINNER","NOT EXPERIENCED"))</f>
        <v>BEGINNER</v>
      </c>
      <c r="F181" s="1">
        <f>VLOOKUP(Table7[[#This Row],[Student_ID]],student_data[],5,0)</f>
        <v>7.82</v>
      </c>
      <c r="G181" s="1">
        <f>VLOOKUP(Table7[[#This Row],[Student_ID]],student_data[#All],6,0)</f>
        <v>2</v>
      </c>
      <c r="H181" s="1">
        <f>VLOOKUP(Table7[[#This Row],[Student_ID]],student_internships[],2,0)</f>
        <v>1</v>
      </c>
      <c r="I181" s="1">
        <f>VLOOKUP(Table7[[#This Row],[Student_ID]],Placements!A181:E1180,5,0)</f>
        <v>0</v>
      </c>
      <c r="J181" s="1" t="str">
        <f>IF(VLOOKUP(Table7[[#This Row],[Student_ID]],student_data[#All],5,0)&gt;8,"HIGH",IF(VLOOKUP(Table7[[#This Row],[Student_ID]],student_data[#All],5,0)&lt;6.5,"LOW","MEDIUM"))</f>
        <v>MEDIUM</v>
      </c>
    </row>
    <row r="182" spans="1:10" x14ac:dyDescent="0.2">
      <c r="A182" s="1" t="s">
        <v>191</v>
      </c>
      <c r="B182" s="1" t="str">
        <f>VLOOKUP(Table7[[#This Row],[Student_ID]],student_data[#All],2,0)</f>
        <v>Information Technology</v>
      </c>
      <c r="C182" s="1">
        <f>(VLOOKUP(Table7[[#This Row],[Student_ID]],student_data[],5,0)*5)+(VLOOKUP(Table7[[#This Row],[Student_ID]],student_data[],6,0)*3)+(VLOOKUP(Table7[[#This Row],[Student_ID]],student_skills[],6,0)*2)+(VLOOKUP(Table7[[#This Row],[Student_ID]],student_internships[],2,0)*5)</f>
        <v>67.25</v>
      </c>
      <c r="D182" s="1">
        <f>AVERAGE(VLOOKUP(Table7[[#This Row],[Student_ID]],student_skills[],3,0),VLOOKUP(Table7[[#This Row],[Student_ID]],student_skills[],4,0),VLOOKUP(Table7[[#This Row],[Student_ID]],student_skills[],5,0),VLOOKUP(Table7[[#This Row],[Student_ID]],student_skills[],6,0))</f>
        <v>2.5</v>
      </c>
      <c r="E182" s="1" t="str">
        <f>IF(VLOOKUP(Table7[[#This Row],[Student_ID]],student_internships[#All],2,0)&gt;1,"EXPERIENCED",IF(VLOOKUP(Table7[[#This Row],[Student_ID]],student_internships[#All],2,0)=1,"BEGINNER","NOT EXPERIENCED"))</f>
        <v>EXPERIENCED</v>
      </c>
      <c r="F182" s="1">
        <f>VLOOKUP(Table7[[#This Row],[Student_ID]],student_data[],5,0)</f>
        <v>9.65</v>
      </c>
      <c r="G182" s="1">
        <f>VLOOKUP(Table7[[#This Row],[Student_ID]],student_data[#All],6,0)</f>
        <v>0</v>
      </c>
      <c r="H182" s="1">
        <f>VLOOKUP(Table7[[#This Row],[Student_ID]],student_internships[],2,0)</f>
        <v>3</v>
      </c>
      <c r="I182" s="1">
        <f>VLOOKUP(Table7[[#This Row],[Student_ID]],Placements!A182:E1181,5,0)</f>
        <v>5.65</v>
      </c>
      <c r="J182" s="1" t="str">
        <f>IF(VLOOKUP(Table7[[#This Row],[Student_ID]],student_data[#All],5,0)&gt;8,"HIGH",IF(VLOOKUP(Table7[[#This Row],[Student_ID]],student_data[#All],5,0)&lt;6.5,"LOW","MEDIUM"))</f>
        <v>HIGH</v>
      </c>
    </row>
    <row r="183" spans="1:10" x14ac:dyDescent="0.2">
      <c r="A183" s="1" t="s">
        <v>192</v>
      </c>
      <c r="B183" s="1" t="str">
        <f>VLOOKUP(Table7[[#This Row],[Student_ID]],student_data[#All],2,0)</f>
        <v>Computer Science</v>
      </c>
      <c r="C183" s="1">
        <f>(VLOOKUP(Table7[[#This Row],[Student_ID]],student_data[],5,0)*5)+(VLOOKUP(Table7[[#This Row],[Student_ID]],student_data[],6,0)*3)+(VLOOKUP(Table7[[#This Row],[Student_ID]],student_skills[],6,0)*2)+(VLOOKUP(Table7[[#This Row],[Student_ID]],student_internships[],2,0)*5)</f>
        <v>73.099999999999994</v>
      </c>
      <c r="D183" s="1">
        <f>AVERAGE(VLOOKUP(Table7[[#This Row],[Student_ID]],student_skills[],3,0),VLOOKUP(Table7[[#This Row],[Student_ID]],student_skills[],4,0),VLOOKUP(Table7[[#This Row],[Student_ID]],student_skills[],5,0),VLOOKUP(Table7[[#This Row],[Student_ID]],student_skills[],6,0))</f>
        <v>6.25</v>
      </c>
      <c r="E183" s="1" t="str">
        <f>IF(VLOOKUP(Table7[[#This Row],[Student_ID]],student_internships[#All],2,0)&gt;1,"EXPERIENCED",IF(VLOOKUP(Table7[[#This Row],[Student_ID]],student_internships[#All],2,0)=1,"BEGINNER","NOT EXPERIENCED"))</f>
        <v>NOT EXPERIENCED</v>
      </c>
      <c r="F183" s="1">
        <f>VLOOKUP(Table7[[#This Row],[Student_ID]],student_data[],5,0)</f>
        <v>9.2200000000000006</v>
      </c>
      <c r="G183" s="1">
        <f>VLOOKUP(Table7[[#This Row],[Student_ID]],student_data[#All],6,0)</f>
        <v>5</v>
      </c>
      <c r="H183" s="1">
        <f>VLOOKUP(Table7[[#This Row],[Student_ID]],student_internships[],2,0)</f>
        <v>0</v>
      </c>
      <c r="I183" s="1">
        <f>VLOOKUP(Table7[[#This Row],[Student_ID]],Placements!A183:E1182,5,0)</f>
        <v>4.37</v>
      </c>
      <c r="J183" s="1" t="str">
        <f>IF(VLOOKUP(Table7[[#This Row],[Student_ID]],student_data[#All],5,0)&gt;8,"HIGH",IF(VLOOKUP(Table7[[#This Row],[Student_ID]],student_data[#All],5,0)&lt;6.5,"LOW","MEDIUM"))</f>
        <v>HIGH</v>
      </c>
    </row>
    <row r="184" spans="1:10" x14ac:dyDescent="0.2">
      <c r="A184" s="1" t="s">
        <v>193</v>
      </c>
      <c r="B184" s="1" t="str">
        <f>VLOOKUP(Table7[[#This Row],[Student_ID]],student_data[#All],2,0)</f>
        <v>Computer Science</v>
      </c>
      <c r="C184" s="1">
        <f>(VLOOKUP(Table7[[#This Row],[Student_ID]],student_data[],5,0)*5)+(VLOOKUP(Table7[[#This Row],[Student_ID]],student_data[],6,0)*3)+(VLOOKUP(Table7[[#This Row],[Student_ID]],student_skills[],6,0)*2)+(VLOOKUP(Table7[[#This Row],[Student_ID]],student_internships[],2,0)*5)</f>
        <v>70.900000000000006</v>
      </c>
      <c r="D184" s="1">
        <f>AVERAGE(VLOOKUP(Table7[[#This Row],[Student_ID]],student_skills[],3,0),VLOOKUP(Table7[[#This Row],[Student_ID]],student_skills[],4,0),VLOOKUP(Table7[[#This Row],[Student_ID]],student_skills[],5,0),VLOOKUP(Table7[[#This Row],[Student_ID]],student_skills[],6,0))</f>
        <v>6.75</v>
      </c>
      <c r="E184" s="1" t="str">
        <f>IF(VLOOKUP(Table7[[#This Row],[Student_ID]],student_internships[#All],2,0)&gt;1,"EXPERIENCED",IF(VLOOKUP(Table7[[#This Row],[Student_ID]],student_internships[#All],2,0)=1,"BEGINNER","NOT EXPERIENCED"))</f>
        <v>BEGINNER</v>
      </c>
      <c r="F184" s="1">
        <f>VLOOKUP(Table7[[#This Row],[Student_ID]],student_data[],5,0)</f>
        <v>8.3800000000000008</v>
      </c>
      <c r="G184" s="1">
        <f>VLOOKUP(Table7[[#This Row],[Student_ID]],student_data[#All],6,0)</f>
        <v>4</v>
      </c>
      <c r="H184" s="1">
        <f>VLOOKUP(Table7[[#This Row],[Student_ID]],student_internships[],2,0)</f>
        <v>1</v>
      </c>
      <c r="I184" s="1">
        <f>VLOOKUP(Table7[[#This Row],[Student_ID]],Placements!A184:E1183,5,0)</f>
        <v>4.7300000000000004</v>
      </c>
      <c r="J184" s="1" t="str">
        <f>IF(VLOOKUP(Table7[[#This Row],[Student_ID]],student_data[#All],5,0)&gt;8,"HIGH",IF(VLOOKUP(Table7[[#This Row],[Student_ID]],student_data[#All],5,0)&lt;6.5,"LOW","MEDIUM"))</f>
        <v>HIGH</v>
      </c>
    </row>
    <row r="185" spans="1:10" x14ac:dyDescent="0.2">
      <c r="A185" s="1" t="s">
        <v>194</v>
      </c>
      <c r="B185" s="1" t="str">
        <f>VLOOKUP(Table7[[#This Row],[Student_ID]],student_data[#All],2,0)</f>
        <v>Mechanical</v>
      </c>
      <c r="C185" s="1">
        <f>(VLOOKUP(Table7[[#This Row],[Student_ID]],student_data[],5,0)*5)+(VLOOKUP(Table7[[#This Row],[Student_ID]],student_data[],6,0)*3)+(VLOOKUP(Table7[[#This Row],[Student_ID]],student_skills[],6,0)*2)+(VLOOKUP(Table7[[#This Row],[Student_ID]],student_internships[],2,0)*5)</f>
        <v>46.5</v>
      </c>
      <c r="D185" s="1">
        <f>AVERAGE(VLOOKUP(Table7[[#This Row],[Student_ID]],student_skills[],3,0),VLOOKUP(Table7[[#This Row],[Student_ID]],student_skills[],4,0),VLOOKUP(Table7[[#This Row],[Student_ID]],student_skills[],5,0),VLOOKUP(Table7[[#This Row],[Student_ID]],student_skills[],6,0))</f>
        <v>6.25</v>
      </c>
      <c r="E185" s="1" t="str">
        <f>IF(VLOOKUP(Table7[[#This Row],[Student_ID]],student_internships[#All],2,0)&gt;1,"EXPERIENCED",IF(VLOOKUP(Table7[[#This Row],[Student_ID]],student_internships[#All],2,0)=1,"BEGINNER","NOT EXPERIENCED"))</f>
        <v>NOT EXPERIENCED</v>
      </c>
      <c r="F185" s="1">
        <f>VLOOKUP(Table7[[#This Row],[Student_ID]],student_data[],5,0)</f>
        <v>5.7</v>
      </c>
      <c r="G185" s="1">
        <f>VLOOKUP(Table7[[#This Row],[Student_ID]],student_data[#All],6,0)</f>
        <v>4</v>
      </c>
      <c r="H185" s="1">
        <f>VLOOKUP(Table7[[#This Row],[Student_ID]],student_internships[],2,0)</f>
        <v>0</v>
      </c>
      <c r="I185" s="1">
        <f>VLOOKUP(Table7[[#This Row],[Student_ID]],Placements!A185:E1184,5,0)</f>
        <v>3.77</v>
      </c>
      <c r="J185" s="1" t="str">
        <f>IF(VLOOKUP(Table7[[#This Row],[Student_ID]],student_data[#All],5,0)&gt;8,"HIGH",IF(VLOOKUP(Table7[[#This Row],[Student_ID]],student_data[#All],5,0)&lt;6.5,"LOW","MEDIUM"))</f>
        <v>LOW</v>
      </c>
    </row>
    <row r="186" spans="1:10" x14ac:dyDescent="0.2">
      <c r="A186" s="1" t="s">
        <v>195</v>
      </c>
      <c r="B186" s="1" t="str">
        <f>VLOOKUP(Table7[[#This Row],[Student_ID]],student_data[#All],2,0)</f>
        <v>Computer Science</v>
      </c>
      <c r="C186" s="1">
        <f>(VLOOKUP(Table7[[#This Row],[Student_ID]],student_data[],5,0)*5)+(VLOOKUP(Table7[[#This Row],[Student_ID]],student_data[],6,0)*3)+(VLOOKUP(Table7[[#This Row],[Student_ID]],student_skills[],6,0)*2)+(VLOOKUP(Table7[[#This Row],[Student_ID]],student_internships[],2,0)*5)</f>
        <v>58.349999999999994</v>
      </c>
      <c r="D186" s="1">
        <f>AVERAGE(VLOOKUP(Table7[[#This Row],[Student_ID]],student_skills[],3,0),VLOOKUP(Table7[[#This Row],[Student_ID]],student_skills[],4,0),VLOOKUP(Table7[[#This Row],[Student_ID]],student_skills[],5,0),VLOOKUP(Table7[[#This Row],[Student_ID]],student_skills[],6,0))</f>
        <v>3.5</v>
      </c>
      <c r="E186" s="1" t="str">
        <f>IF(VLOOKUP(Table7[[#This Row],[Student_ID]],student_internships[#All],2,0)&gt;1,"EXPERIENCED",IF(VLOOKUP(Table7[[#This Row],[Student_ID]],student_internships[#All],2,0)=1,"BEGINNER","NOT EXPERIENCED"))</f>
        <v>EXPERIENCED</v>
      </c>
      <c r="F186" s="1">
        <f>VLOOKUP(Table7[[#This Row],[Student_ID]],student_data[],5,0)</f>
        <v>6.27</v>
      </c>
      <c r="G186" s="1">
        <f>VLOOKUP(Table7[[#This Row],[Student_ID]],student_data[#All],6,0)</f>
        <v>0</v>
      </c>
      <c r="H186" s="1">
        <f>VLOOKUP(Table7[[#This Row],[Student_ID]],student_internships[],2,0)</f>
        <v>3</v>
      </c>
      <c r="I186" s="1">
        <f>VLOOKUP(Table7[[#This Row],[Student_ID]],Placements!A186:E1185,5,0)</f>
        <v>4.46</v>
      </c>
      <c r="J186" s="1" t="str">
        <f>IF(VLOOKUP(Table7[[#This Row],[Student_ID]],student_data[#All],5,0)&gt;8,"HIGH",IF(VLOOKUP(Table7[[#This Row],[Student_ID]],student_data[#All],5,0)&lt;6.5,"LOW","MEDIUM"))</f>
        <v>LOW</v>
      </c>
    </row>
    <row r="187" spans="1:10" x14ac:dyDescent="0.2">
      <c r="A187" s="1" t="s">
        <v>196</v>
      </c>
      <c r="B187" s="1" t="str">
        <f>VLOOKUP(Table7[[#This Row],[Student_ID]],student_data[#All],2,0)</f>
        <v>Electronics</v>
      </c>
      <c r="C187" s="1">
        <f>(VLOOKUP(Table7[[#This Row],[Student_ID]],student_data[],5,0)*5)+(VLOOKUP(Table7[[#This Row],[Student_ID]],student_data[],6,0)*3)+(VLOOKUP(Table7[[#This Row],[Student_ID]],student_skills[],6,0)*2)+(VLOOKUP(Table7[[#This Row],[Student_ID]],student_internships[],2,0)*5)</f>
        <v>76.900000000000006</v>
      </c>
      <c r="D187" s="1">
        <f>AVERAGE(VLOOKUP(Table7[[#This Row],[Student_ID]],student_skills[],3,0),VLOOKUP(Table7[[#This Row],[Student_ID]],student_skills[],4,0),VLOOKUP(Table7[[#This Row],[Student_ID]],student_skills[],5,0),VLOOKUP(Table7[[#This Row],[Student_ID]],student_skills[],6,0))</f>
        <v>5.5</v>
      </c>
      <c r="E187" s="1" t="str">
        <f>IF(VLOOKUP(Table7[[#This Row],[Student_ID]],student_internships[#All],2,0)&gt;1,"EXPERIENCED",IF(VLOOKUP(Table7[[#This Row],[Student_ID]],student_internships[#All],2,0)=1,"BEGINNER","NOT EXPERIENCED"))</f>
        <v>EXPERIENCED</v>
      </c>
      <c r="F187" s="1">
        <f>VLOOKUP(Table7[[#This Row],[Student_ID]],student_data[],5,0)</f>
        <v>9.3800000000000008</v>
      </c>
      <c r="G187" s="1">
        <f>VLOOKUP(Table7[[#This Row],[Student_ID]],student_data[#All],6,0)</f>
        <v>0</v>
      </c>
      <c r="H187" s="1">
        <f>VLOOKUP(Table7[[#This Row],[Student_ID]],student_internships[],2,0)</f>
        <v>2</v>
      </c>
      <c r="I187" s="1">
        <f>VLOOKUP(Table7[[#This Row],[Student_ID]],Placements!A187:E1186,5,0)</f>
        <v>0</v>
      </c>
      <c r="J187" s="1" t="str">
        <f>IF(VLOOKUP(Table7[[#This Row],[Student_ID]],student_data[#All],5,0)&gt;8,"HIGH",IF(VLOOKUP(Table7[[#This Row],[Student_ID]],student_data[#All],5,0)&lt;6.5,"LOW","MEDIUM"))</f>
        <v>HIGH</v>
      </c>
    </row>
    <row r="188" spans="1:10" x14ac:dyDescent="0.2">
      <c r="A188" s="1" t="s">
        <v>197</v>
      </c>
      <c r="B188" s="1" t="str">
        <f>VLOOKUP(Table7[[#This Row],[Student_ID]],student_data[#All],2,0)</f>
        <v>Electronics</v>
      </c>
      <c r="C188" s="1">
        <f>(VLOOKUP(Table7[[#This Row],[Student_ID]],student_data[],5,0)*5)+(VLOOKUP(Table7[[#This Row],[Student_ID]],student_data[],6,0)*3)+(VLOOKUP(Table7[[#This Row],[Student_ID]],student_skills[],6,0)*2)+(VLOOKUP(Table7[[#This Row],[Student_ID]],student_internships[],2,0)*5)</f>
        <v>61.55</v>
      </c>
      <c r="D188" s="1">
        <f>AVERAGE(VLOOKUP(Table7[[#This Row],[Student_ID]],student_skills[],3,0),VLOOKUP(Table7[[#This Row],[Student_ID]],student_skills[],4,0),VLOOKUP(Table7[[#This Row],[Student_ID]],student_skills[],5,0),VLOOKUP(Table7[[#This Row],[Student_ID]],student_skills[],6,0))</f>
        <v>6</v>
      </c>
      <c r="E188" s="1" t="str">
        <f>IF(VLOOKUP(Table7[[#This Row],[Student_ID]],student_internships[#All],2,0)&gt;1,"EXPERIENCED",IF(VLOOKUP(Table7[[#This Row],[Student_ID]],student_internships[#All],2,0)=1,"BEGINNER","NOT EXPERIENCED"))</f>
        <v>NOT EXPERIENCED</v>
      </c>
      <c r="F188" s="1">
        <f>VLOOKUP(Table7[[#This Row],[Student_ID]],student_data[],5,0)</f>
        <v>5.91</v>
      </c>
      <c r="G188" s="1">
        <f>VLOOKUP(Table7[[#This Row],[Student_ID]],student_data[#All],6,0)</f>
        <v>4</v>
      </c>
      <c r="H188" s="1">
        <f>VLOOKUP(Table7[[#This Row],[Student_ID]],student_internships[],2,0)</f>
        <v>0</v>
      </c>
      <c r="I188" s="1">
        <f>VLOOKUP(Table7[[#This Row],[Student_ID]],Placements!A188:E1187,5,0)</f>
        <v>3.9</v>
      </c>
      <c r="J188" s="1" t="str">
        <f>IF(VLOOKUP(Table7[[#This Row],[Student_ID]],student_data[#All],5,0)&gt;8,"HIGH",IF(VLOOKUP(Table7[[#This Row],[Student_ID]],student_data[#All],5,0)&lt;6.5,"LOW","MEDIUM"))</f>
        <v>LOW</v>
      </c>
    </row>
    <row r="189" spans="1:10" x14ac:dyDescent="0.2">
      <c r="A189" s="1" t="s">
        <v>198</v>
      </c>
      <c r="B189" s="1" t="str">
        <f>VLOOKUP(Table7[[#This Row],[Student_ID]],student_data[#All],2,0)</f>
        <v>Civil</v>
      </c>
      <c r="C189" s="1">
        <f>(VLOOKUP(Table7[[#This Row],[Student_ID]],student_data[],5,0)*5)+(VLOOKUP(Table7[[#This Row],[Student_ID]],student_data[],6,0)*3)+(VLOOKUP(Table7[[#This Row],[Student_ID]],student_skills[],6,0)*2)+(VLOOKUP(Table7[[#This Row],[Student_ID]],student_internships[],2,0)*5)</f>
        <v>61.95</v>
      </c>
      <c r="D189" s="1">
        <f>AVERAGE(VLOOKUP(Table7[[#This Row],[Student_ID]],student_skills[],3,0),VLOOKUP(Table7[[#This Row],[Student_ID]],student_skills[],4,0),VLOOKUP(Table7[[#This Row],[Student_ID]],student_skills[],5,0),VLOOKUP(Table7[[#This Row],[Student_ID]],student_skills[],6,0))</f>
        <v>5.25</v>
      </c>
      <c r="E189" s="1" t="str">
        <f>IF(VLOOKUP(Table7[[#This Row],[Student_ID]],student_internships[#All],2,0)&gt;1,"EXPERIENCED",IF(VLOOKUP(Table7[[#This Row],[Student_ID]],student_internships[#All],2,0)=1,"BEGINNER","NOT EXPERIENCED"))</f>
        <v>BEGINNER</v>
      </c>
      <c r="F189" s="1">
        <f>VLOOKUP(Table7[[#This Row],[Student_ID]],student_data[],5,0)</f>
        <v>6.39</v>
      </c>
      <c r="G189" s="1">
        <f>VLOOKUP(Table7[[#This Row],[Student_ID]],student_data[#All],6,0)</f>
        <v>5</v>
      </c>
      <c r="H189" s="1">
        <f>VLOOKUP(Table7[[#This Row],[Student_ID]],student_internships[],2,0)</f>
        <v>1</v>
      </c>
      <c r="I189" s="1">
        <f>VLOOKUP(Table7[[#This Row],[Student_ID]],Placements!A189:E1188,5,0)</f>
        <v>0</v>
      </c>
      <c r="J189" s="1" t="str">
        <f>IF(VLOOKUP(Table7[[#This Row],[Student_ID]],student_data[#All],5,0)&gt;8,"HIGH",IF(VLOOKUP(Table7[[#This Row],[Student_ID]],student_data[#All],5,0)&lt;6.5,"LOW","MEDIUM"))</f>
        <v>LOW</v>
      </c>
    </row>
    <row r="190" spans="1:10" x14ac:dyDescent="0.2">
      <c r="A190" s="1" t="s">
        <v>199</v>
      </c>
      <c r="B190" s="1" t="str">
        <f>VLOOKUP(Table7[[#This Row],[Student_ID]],student_data[#All],2,0)</f>
        <v>Information Technology</v>
      </c>
      <c r="C190" s="1">
        <f>(VLOOKUP(Table7[[#This Row],[Student_ID]],student_data[],5,0)*5)+(VLOOKUP(Table7[[#This Row],[Student_ID]],student_data[],6,0)*3)+(VLOOKUP(Table7[[#This Row],[Student_ID]],student_skills[],6,0)*2)+(VLOOKUP(Table7[[#This Row],[Student_ID]],student_internships[],2,0)*5)</f>
        <v>48.25</v>
      </c>
      <c r="D190" s="1">
        <f>AVERAGE(VLOOKUP(Table7[[#This Row],[Student_ID]],student_skills[],3,0),VLOOKUP(Table7[[#This Row],[Student_ID]],student_skills[],4,0),VLOOKUP(Table7[[#This Row],[Student_ID]],student_skills[],5,0),VLOOKUP(Table7[[#This Row],[Student_ID]],student_skills[],6,0))</f>
        <v>5.25</v>
      </c>
      <c r="E190" s="1" t="str">
        <f>IF(VLOOKUP(Table7[[#This Row],[Student_ID]],student_internships[#All],2,0)&gt;1,"EXPERIENCED",IF(VLOOKUP(Table7[[#This Row],[Student_ID]],student_internships[#All],2,0)=1,"BEGINNER","NOT EXPERIENCED"))</f>
        <v>EXPERIENCED</v>
      </c>
      <c r="F190" s="1">
        <f>VLOOKUP(Table7[[#This Row],[Student_ID]],student_data[],5,0)</f>
        <v>5.65</v>
      </c>
      <c r="G190" s="1">
        <f>VLOOKUP(Table7[[#This Row],[Student_ID]],student_data[#All],6,0)</f>
        <v>2</v>
      </c>
      <c r="H190" s="1">
        <f>VLOOKUP(Table7[[#This Row],[Student_ID]],student_internships[],2,0)</f>
        <v>2</v>
      </c>
      <c r="I190" s="1">
        <f>VLOOKUP(Table7[[#This Row],[Student_ID]],Placements!A190:E1189,5,0)</f>
        <v>3.69</v>
      </c>
      <c r="J190" s="1" t="str">
        <f>IF(VLOOKUP(Table7[[#This Row],[Student_ID]],student_data[#All],5,0)&gt;8,"HIGH",IF(VLOOKUP(Table7[[#This Row],[Student_ID]],student_data[#All],5,0)&lt;6.5,"LOW","MEDIUM"))</f>
        <v>LOW</v>
      </c>
    </row>
    <row r="191" spans="1:10" x14ac:dyDescent="0.2">
      <c r="A191" s="1" t="s">
        <v>200</v>
      </c>
      <c r="B191" s="1" t="str">
        <f>VLOOKUP(Table7[[#This Row],[Student_ID]],student_data[#All],2,0)</f>
        <v>Computer Science</v>
      </c>
      <c r="C191" s="1">
        <f>(VLOOKUP(Table7[[#This Row],[Student_ID]],student_data[],5,0)*5)+(VLOOKUP(Table7[[#This Row],[Student_ID]],student_data[],6,0)*3)+(VLOOKUP(Table7[[#This Row],[Student_ID]],student_skills[],6,0)*2)+(VLOOKUP(Table7[[#This Row],[Student_ID]],student_internships[],2,0)*5)</f>
        <v>76.900000000000006</v>
      </c>
      <c r="D191" s="1">
        <f>AVERAGE(VLOOKUP(Table7[[#This Row],[Student_ID]],student_skills[],3,0),VLOOKUP(Table7[[#This Row],[Student_ID]],student_skills[],4,0),VLOOKUP(Table7[[#This Row],[Student_ID]],student_skills[],5,0),VLOOKUP(Table7[[#This Row],[Student_ID]],student_skills[],6,0))</f>
        <v>6.25</v>
      </c>
      <c r="E191" s="1" t="str">
        <f>IF(VLOOKUP(Table7[[#This Row],[Student_ID]],student_internships[#All],2,0)&gt;1,"EXPERIENCED",IF(VLOOKUP(Table7[[#This Row],[Student_ID]],student_internships[#All],2,0)=1,"BEGINNER","NOT EXPERIENCED"))</f>
        <v>BEGINNER</v>
      </c>
      <c r="F191" s="1">
        <f>VLOOKUP(Table7[[#This Row],[Student_ID]],student_data[],5,0)</f>
        <v>8.3800000000000008</v>
      </c>
      <c r="G191" s="1">
        <f>VLOOKUP(Table7[[#This Row],[Student_ID]],student_data[#All],6,0)</f>
        <v>4</v>
      </c>
      <c r="H191" s="1">
        <f>VLOOKUP(Table7[[#This Row],[Student_ID]],student_internships[],2,0)</f>
        <v>1</v>
      </c>
      <c r="I191" s="1">
        <f>VLOOKUP(Table7[[#This Row],[Student_ID]],Placements!A191:E1190,5,0)</f>
        <v>0</v>
      </c>
      <c r="J191" s="1" t="str">
        <f>IF(VLOOKUP(Table7[[#This Row],[Student_ID]],student_data[#All],5,0)&gt;8,"HIGH",IF(VLOOKUP(Table7[[#This Row],[Student_ID]],student_data[#All],5,0)&lt;6.5,"LOW","MEDIUM"))</f>
        <v>HIGH</v>
      </c>
    </row>
    <row r="192" spans="1:10" x14ac:dyDescent="0.2">
      <c r="A192" s="1" t="s">
        <v>201</v>
      </c>
      <c r="B192" s="1" t="str">
        <f>VLOOKUP(Table7[[#This Row],[Student_ID]],student_data[#All],2,0)</f>
        <v>Computer Science</v>
      </c>
      <c r="C192" s="1">
        <f>(VLOOKUP(Table7[[#This Row],[Student_ID]],student_data[],5,0)*5)+(VLOOKUP(Table7[[#This Row],[Student_ID]],student_data[],6,0)*3)+(VLOOKUP(Table7[[#This Row],[Student_ID]],student_skills[],6,0)*2)+(VLOOKUP(Table7[[#This Row],[Student_ID]],student_internships[],2,0)*5)</f>
        <v>69.599999999999994</v>
      </c>
      <c r="D192" s="1">
        <f>AVERAGE(VLOOKUP(Table7[[#This Row],[Student_ID]],student_skills[],3,0),VLOOKUP(Table7[[#This Row],[Student_ID]],student_skills[],4,0),VLOOKUP(Table7[[#This Row],[Student_ID]],student_skills[],5,0),VLOOKUP(Table7[[#This Row],[Student_ID]],student_skills[],6,0))</f>
        <v>6.75</v>
      </c>
      <c r="E192" s="1" t="str">
        <f>IF(VLOOKUP(Table7[[#This Row],[Student_ID]],student_internships[#All],2,0)&gt;1,"EXPERIENCED",IF(VLOOKUP(Table7[[#This Row],[Student_ID]],student_internships[#All],2,0)=1,"BEGINNER","NOT EXPERIENCED"))</f>
        <v>BEGINNER</v>
      </c>
      <c r="F192" s="1">
        <f>VLOOKUP(Table7[[#This Row],[Student_ID]],student_data[],5,0)</f>
        <v>9.7200000000000006</v>
      </c>
      <c r="G192" s="1">
        <f>VLOOKUP(Table7[[#This Row],[Student_ID]],student_data[#All],6,0)</f>
        <v>0</v>
      </c>
      <c r="H192" s="1">
        <f>VLOOKUP(Table7[[#This Row],[Student_ID]],student_internships[],2,0)</f>
        <v>1</v>
      </c>
      <c r="I192" s="1">
        <f>VLOOKUP(Table7[[#This Row],[Student_ID]],Placements!A192:E1191,5,0)</f>
        <v>5.2</v>
      </c>
      <c r="J192" s="1" t="str">
        <f>IF(VLOOKUP(Table7[[#This Row],[Student_ID]],student_data[#All],5,0)&gt;8,"HIGH",IF(VLOOKUP(Table7[[#This Row],[Student_ID]],student_data[#All],5,0)&lt;6.5,"LOW","MEDIUM"))</f>
        <v>HIGH</v>
      </c>
    </row>
    <row r="193" spans="1:10" x14ac:dyDescent="0.2">
      <c r="A193" s="1" t="s">
        <v>202</v>
      </c>
      <c r="B193" s="1" t="str">
        <f>VLOOKUP(Table7[[#This Row],[Student_ID]],student_data[#All],2,0)</f>
        <v>Mechanical</v>
      </c>
      <c r="C193" s="1">
        <f>(VLOOKUP(Table7[[#This Row],[Student_ID]],student_data[],5,0)*5)+(VLOOKUP(Table7[[#This Row],[Student_ID]],student_data[],6,0)*3)+(VLOOKUP(Table7[[#This Row],[Student_ID]],student_skills[],6,0)*2)+(VLOOKUP(Table7[[#This Row],[Student_ID]],student_internships[],2,0)*5)</f>
        <v>46.7</v>
      </c>
      <c r="D193" s="1">
        <f>AVERAGE(VLOOKUP(Table7[[#This Row],[Student_ID]],student_skills[],3,0),VLOOKUP(Table7[[#This Row],[Student_ID]],student_skills[],4,0),VLOOKUP(Table7[[#This Row],[Student_ID]],student_skills[],5,0),VLOOKUP(Table7[[#This Row],[Student_ID]],student_skills[],6,0))</f>
        <v>5.5</v>
      </c>
      <c r="E193" s="1" t="str">
        <f>IF(VLOOKUP(Table7[[#This Row],[Student_ID]],student_internships[#All],2,0)&gt;1,"EXPERIENCED",IF(VLOOKUP(Table7[[#This Row],[Student_ID]],student_internships[#All],2,0)=1,"BEGINNER","NOT EXPERIENCED"))</f>
        <v>NOT EXPERIENCED</v>
      </c>
      <c r="F193" s="1">
        <f>VLOOKUP(Table7[[#This Row],[Student_ID]],student_data[],5,0)</f>
        <v>6.34</v>
      </c>
      <c r="G193" s="1">
        <f>VLOOKUP(Table7[[#This Row],[Student_ID]],student_data[#All],6,0)</f>
        <v>3</v>
      </c>
      <c r="H193" s="1">
        <f>VLOOKUP(Table7[[#This Row],[Student_ID]],student_internships[],2,0)</f>
        <v>0</v>
      </c>
      <c r="I193" s="1">
        <f>VLOOKUP(Table7[[#This Row],[Student_ID]],Placements!A193:E1192,5,0)</f>
        <v>5.77</v>
      </c>
      <c r="J193" s="1" t="str">
        <f>IF(VLOOKUP(Table7[[#This Row],[Student_ID]],student_data[#All],5,0)&gt;8,"HIGH",IF(VLOOKUP(Table7[[#This Row],[Student_ID]],student_data[#All],5,0)&lt;6.5,"LOW","MEDIUM"))</f>
        <v>LOW</v>
      </c>
    </row>
    <row r="194" spans="1:10" x14ac:dyDescent="0.2">
      <c r="A194" s="1" t="s">
        <v>203</v>
      </c>
      <c r="B194" s="1" t="str">
        <f>VLOOKUP(Table7[[#This Row],[Student_ID]],student_data[#All],2,0)</f>
        <v>Electronics</v>
      </c>
      <c r="C194" s="1">
        <f>(VLOOKUP(Table7[[#This Row],[Student_ID]],student_data[],5,0)*5)+(VLOOKUP(Table7[[#This Row],[Student_ID]],student_data[],6,0)*3)+(VLOOKUP(Table7[[#This Row],[Student_ID]],student_skills[],6,0)*2)+(VLOOKUP(Table7[[#This Row],[Student_ID]],student_internships[],2,0)*5)</f>
        <v>55.9</v>
      </c>
      <c r="D194" s="1">
        <f>AVERAGE(VLOOKUP(Table7[[#This Row],[Student_ID]],student_skills[],3,0),VLOOKUP(Table7[[#This Row],[Student_ID]],student_skills[],4,0),VLOOKUP(Table7[[#This Row],[Student_ID]],student_skills[],5,0),VLOOKUP(Table7[[#This Row],[Student_ID]],student_skills[],6,0))</f>
        <v>5</v>
      </c>
      <c r="E194" s="1" t="str">
        <f>IF(VLOOKUP(Table7[[#This Row],[Student_ID]],student_internships[#All],2,0)&gt;1,"EXPERIENCED",IF(VLOOKUP(Table7[[#This Row],[Student_ID]],student_internships[#All],2,0)=1,"BEGINNER","NOT EXPERIENCED"))</f>
        <v>NOT EXPERIENCED</v>
      </c>
      <c r="F194" s="1">
        <f>VLOOKUP(Table7[[#This Row],[Student_ID]],student_data[],5,0)</f>
        <v>7.38</v>
      </c>
      <c r="G194" s="1">
        <f>VLOOKUP(Table7[[#This Row],[Student_ID]],student_data[#All],6,0)</f>
        <v>1</v>
      </c>
      <c r="H194" s="1">
        <f>VLOOKUP(Table7[[#This Row],[Student_ID]],student_internships[],2,0)</f>
        <v>0</v>
      </c>
      <c r="I194" s="1">
        <f>VLOOKUP(Table7[[#This Row],[Student_ID]],Placements!A194:E1193,5,0)</f>
        <v>0</v>
      </c>
      <c r="J194" s="1" t="str">
        <f>IF(VLOOKUP(Table7[[#This Row],[Student_ID]],student_data[#All],5,0)&gt;8,"HIGH",IF(VLOOKUP(Table7[[#This Row],[Student_ID]],student_data[#All],5,0)&lt;6.5,"LOW","MEDIUM"))</f>
        <v>MEDIUM</v>
      </c>
    </row>
    <row r="195" spans="1:10" x14ac:dyDescent="0.2">
      <c r="A195" s="1" t="s">
        <v>204</v>
      </c>
      <c r="B195" s="1" t="str">
        <f>VLOOKUP(Table7[[#This Row],[Student_ID]],student_data[#All],2,0)</f>
        <v>Information Technology</v>
      </c>
      <c r="C195" s="1">
        <f>(VLOOKUP(Table7[[#This Row],[Student_ID]],student_data[],5,0)*5)+(VLOOKUP(Table7[[#This Row],[Student_ID]],student_data[],6,0)*3)+(VLOOKUP(Table7[[#This Row],[Student_ID]],student_skills[],6,0)*2)+(VLOOKUP(Table7[[#This Row],[Student_ID]],student_internships[],2,0)*5)</f>
        <v>83.85</v>
      </c>
      <c r="D195" s="1">
        <f>AVERAGE(VLOOKUP(Table7[[#This Row],[Student_ID]],student_skills[],3,0),VLOOKUP(Table7[[#This Row],[Student_ID]],student_skills[],4,0),VLOOKUP(Table7[[#This Row],[Student_ID]],student_skills[],5,0),VLOOKUP(Table7[[#This Row],[Student_ID]],student_skills[],6,0))</f>
        <v>5.75</v>
      </c>
      <c r="E195" s="1" t="str">
        <f>IF(VLOOKUP(Table7[[#This Row],[Student_ID]],student_internships[#All],2,0)&gt;1,"EXPERIENCED",IF(VLOOKUP(Table7[[#This Row],[Student_ID]],student_internships[#All],2,0)=1,"BEGINNER","NOT EXPERIENCED"))</f>
        <v>EXPERIENCED</v>
      </c>
      <c r="F195" s="1">
        <f>VLOOKUP(Table7[[#This Row],[Student_ID]],student_data[],5,0)</f>
        <v>8.17</v>
      </c>
      <c r="G195" s="1">
        <f>VLOOKUP(Table7[[#This Row],[Student_ID]],student_data[#All],6,0)</f>
        <v>5</v>
      </c>
      <c r="H195" s="1">
        <f>VLOOKUP(Table7[[#This Row],[Student_ID]],student_internships[],2,0)</f>
        <v>2</v>
      </c>
      <c r="I195" s="1">
        <f>VLOOKUP(Table7[[#This Row],[Student_ID]],Placements!A195:E1194,5,0)</f>
        <v>4.5</v>
      </c>
      <c r="J195" s="1" t="str">
        <f>IF(VLOOKUP(Table7[[#This Row],[Student_ID]],student_data[#All],5,0)&gt;8,"HIGH",IF(VLOOKUP(Table7[[#This Row],[Student_ID]],student_data[#All],5,0)&lt;6.5,"LOW","MEDIUM"))</f>
        <v>HIGH</v>
      </c>
    </row>
    <row r="196" spans="1:10" x14ac:dyDescent="0.2">
      <c r="A196" s="1" t="s">
        <v>205</v>
      </c>
      <c r="B196" s="1" t="str">
        <f>VLOOKUP(Table7[[#This Row],[Student_ID]],student_data[#All],2,0)</f>
        <v>Civil</v>
      </c>
      <c r="C196" s="1">
        <f>(VLOOKUP(Table7[[#This Row],[Student_ID]],student_data[],5,0)*5)+(VLOOKUP(Table7[[#This Row],[Student_ID]],student_data[],6,0)*3)+(VLOOKUP(Table7[[#This Row],[Student_ID]],student_skills[],6,0)*2)+(VLOOKUP(Table7[[#This Row],[Student_ID]],student_internships[],2,0)*5)</f>
        <v>86</v>
      </c>
      <c r="D196" s="1">
        <f>AVERAGE(VLOOKUP(Table7[[#This Row],[Student_ID]],student_skills[],3,0),VLOOKUP(Table7[[#This Row],[Student_ID]],student_skills[],4,0),VLOOKUP(Table7[[#This Row],[Student_ID]],student_skills[],5,0),VLOOKUP(Table7[[#This Row],[Student_ID]],student_skills[],6,0))</f>
        <v>5</v>
      </c>
      <c r="E196" s="1" t="str">
        <f>IF(VLOOKUP(Table7[[#This Row],[Student_ID]],student_internships[#All],2,0)&gt;1,"EXPERIENCED",IF(VLOOKUP(Table7[[#This Row],[Student_ID]],student_internships[#All],2,0)=1,"BEGINNER","NOT EXPERIENCED"))</f>
        <v>EXPERIENCED</v>
      </c>
      <c r="F196" s="1">
        <f>VLOOKUP(Table7[[#This Row],[Student_ID]],student_data[],5,0)</f>
        <v>10</v>
      </c>
      <c r="G196" s="1">
        <f>VLOOKUP(Table7[[#This Row],[Student_ID]],student_data[#All],6,0)</f>
        <v>5</v>
      </c>
      <c r="H196" s="1">
        <f>VLOOKUP(Table7[[#This Row],[Student_ID]],student_internships[],2,0)</f>
        <v>3</v>
      </c>
      <c r="I196" s="1">
        <f>VLOOKUP(Table7[[#This Row],[Student_ID]],Placements!A196:E1195,5,0)</f>
        <v>0</v>
      </c>
      <c r="J196" s="1" t="str">
        <f>IF(VLOOKUP(Table7[[#This Row],[Student_ID]],student_data[#All],5,0)&gt;8,"HIGH",IF(VLOOKUP(Table7[[#This Row],[Student_ID]],student_data[#All],5,0)&lt;6.5,"LOW","MEDIUM"))</f>
        <v>HIGH</v>
      </c>
    </row>
    <row r="197" spans="1:10" x14ac:dyDescent="0.2">
      <c r="A197" s="1" t="s">
        <v>206</v>
      </c>
      <c r="B197" s="1" t="str">
        <f>VLOOKUP(Table7[[#This Row],[Student_ID]],student_data[#All],2,0)</f>
        <v>Electronics</v>
      </c>
      <c r="C197" s="1">
        <f>(VLOOKUP(Table7[[#This Row],[Student_ID]],student_data[],5,0)*5)+(VLOOKUP(Table7[[#This Row],[Student_ID]],student_data[],6,0)*3)+(VLOOKUP(Table7[[#This Row],[Student_ID]],student_skills[],6,0)*2)+(VLOOKUP(Table7[[#This Row],[Student_ID]],student_internships[],2,0)*5)</f>
        <v>47.599999999999994</v>
      </c>
      <c r="D197" s="1">
        <f>AVERAGE(VLOOKUP(Table7[[#This Row],[Student_ID]],student_skills[],3,0),VLOOKUP(Table7[[#This Row],[Student_ID]],student_skills[],4,0),VLOOKUP(Table7[[#This Row],[Student_ID]],student_skills[],5,0),VLOOKUP(Table7[[#This Row],[Student_ID]],student_skills[],6,0))</f>
        <v>4.25</v>
      </c>
      <c r="E197" s="1" t="str">
        <f>IF(VLOOKUP(Table7[[#This Row],[Student_ID]],student_internships[#All],2,0)&gt;1,"EXPERIENCED",IF(VLOOKUP(Table7[[#This Row],[Student_ID]],student_internships[#All],2,0)=1,"BEGINNER","NOT EXPERIENCED"))</f>
        <v>BEGINNER</v>
      </c>
      <c r="F197" s="1">
        <f>VLOOKUP(Table7[[#This Row],[Student_ID]],student_data[],5,0)</f>
        <v>5.52</v>
      </c>
      <c r="G197" s="1">
        <f>VLOOKUP(Table7[[#This Row],[Student_ID]],student_data[#All],6,0)</f>
        <v>3</v>
      </c>
      <c r="H197" s="1">
        <f>VLOOKUP(Table7[[#This Row],[Student_ID]],student_internships[],2,0)</f>
        <v>1</v>
      </c>
      <c r="I197" s="1">
        <f>VLOOKUP(Table7[[#This Row],[Student_ID]],Placements!A197:E1196,5,0)</f>
        <v>5.19</v>
      </c>
      <c r="J197" s="1" t="str">
        <f>IF(VLOOKUP(Table7[[#This Row],[Student_ID]],student_data[#All],5,0)&gt;8,"HIGH",IF(VLOOKUP(Table7[[#This Row],[Student_ID]],student_data[#All],5,0)&lt;6.5,"LOW","MEDIUM"))</f>
        <v>LOW</v>
      </c>
    </row>
    <row r="198" spans="1:10" x14ac:dyDescent="0.2">
      <c r="A198" s="1" t="s">
        <v>207</v>
      </c>
      <c r="B198" s="1" t="str">
        <f>VLOOKUP(Table7[[#This Row],[Student_ID]],student_data[#All],2,0)</f>
        <v>Civil</v>
      </c>
      <c r="C198" s="1">
        <f>(VLOOKUP(Table7[[#This Row],[Student_ID]],student_data[],5,0)*5)+(VLOOKUP(Table7[[#This Row],[Student_ID]],student_data[],6,0)*3)+(VLOOKUP(Table7[[#This Row],[Student_ID]],student_skills[],6,0)*2)+(VLOOKUP(Table7[[#This Row],[Student_ID]],student_internships[],2,0)*5)</f>
        <v>55.45</v>
      </c>
      <c r="D198" s="1">
        <f>AVERAGE(VLOOKUP(Table7[[#This Row],[Student_ID]],student_skills[],3,0),VLOOKUP(Table7[[#This Row],[Student_ID]],student_skills[],4,0),VLOOKUP(Table7[[#This Row],[Student_ID]],student_skills[],5,0),VLOOKUP(Table7[[#This Row],[Student_ID]],student_skills[],6,0))</f>
        <v>4.75</v>
      </c>
      <c r="E198" s="1" t="str">
        <f>IF(VLOOKUP(Table7[[#This Row],[Student_ID]],student_internships[#All],2,0)&gt;1,"EXPERIENCED",IF(VLOOKUP(Table7[[#This Row],[Student_ID]],student_internships[#All],2,0)=1,"BEGINNER","NOT EXPERIENCED"))</f>
        <v>BEGINNER</v>
      </c>
      <c r="F198" s="1">
        <f>VLOOKUP(Table7[[#This Row],[Student_ID]],student_data[],5,0)</f>
        <v>7.49</v>
      </c>
      <c r="G198" s="1">
        <f>VLOOKUP(Table7[[#This Row],[Student_ID]],student_data[#All],6,0)</f>
        <v>3</v>
      </c>
      <c r="H198" s="1">
        <f>VLOOKUP(Table7[[#This Row],[Student_ID]],student_internships[],2,0)</f>
        <v>1</v>
      </c>
      <c r="I198" s="1">
        <f>VLOOKUP(Table7[[#This Row],[Student_ID]],Placements!A198:E1197,5,0)</f>
        <v>4.88</v>
      </c>
      <c r="J198" s="1" t="str">
        <f>IF(VLOOKUP(Table7[[#This Row],[Student_ID]],student_data[#All],5,0)&gt;8,"HIGH",IF(VLOOKUP(Table7[[#This Row],[Student_ID]],student_data[#All],5,0)&lt;6.5,"LOW","MEDIUM"))</f>
        <v>MEDIUM</v>
      </c>
    </row>
    <row r="199" spans="1:10" x14ac:dyDescent="0.2">
      <c r="A199" s="1" t="s">
        <v>208</v>
      </c>
      <c r="B199" s="1" t="str">
        <f>VLOOKUP(Table7[[#This Row],[Student_ID]],student_data[#All],2,0)</f>
        <v>Mechanical</v>
      </c>
      <c r="C199" s="1">
        <f>(VLOOKUP(Table7[[#This Row],[Student_ID]],student_data[],5,0)*5)+(VLOOKUP(Table7[[#This Row],[Student_ID]],student_data[],6,0)*3)+(VLOOKUP(Table7[[#This Row],[Student_ID]],student_skills[],6,0)*2)+(VLOOKUP(Table7[[#This Row],[Student_ID]],student_internships[],2,0)*5)</f>
        <v>55.65</v>
      </c>
      <c r="D199" s="1">
        <f>AVERAGE(VLOOKUP(Table7[[#This Row],[Student_ID]],student_skills[],3,0),VLOOKUP(Table7[[#This Row],[Student_ID]],student_skills[],4,0),VLOOKUP(Table7[[#This Row],[Student_ID]],student_skills[],5,0),VLOOKUP(Table7[[#This Row],[Student_ID]],student_skills[],6,0))</f>
        <v>7.75</v>
      </c>
      <c r="E199" s="1" t="str">
        <f>IF(VLOOKUP(Table7[[#This Row],[Student_ID]],student_internships[#All],2,0)&gt;1,"EXPERIENCED",IF(VLOOKUP(Table7[[#This Row],[Student_ID]],student_internships[#All],2,0)=1,"BEGINNER","NOT EXPERIENCED"))</f>
        <v>BEGINNER</v>
      </c>
      <c r="F199" s="1">
        <f>VLOOKUP(Table7[[#This Row],[Student_ID]],student_data[],5,0)</f>
        <v>6.93</v>
      </c>
      <c r="G199" s="1">
        <f>VLOOKUP(Table7[[#This Row],[Student_ID]],student_data[#All],6,0)</f>
        <v>0</v>
      </c>
      <c r="H199" s="1">
        <f>VLOOKUP(Table7[[#This Row],[Student_ID]],student_internships[],2,0)</f>
        <v>1</v>
      </c>
      <c r="I199" s="1">
        <f>VLOOKUP(Table7[[#This Row],[Student_ID]],Placements!A199:E1198,5,0)</f>
        <v>4.76</v>
      </c>
      <c r="J199" s="1" t="str">
        <f>IF(VLOOKUP(Table7[[#This Row],[Student_ID]],student_data[#All],5,0)&gt;8,"HIGH",IF(VLOOKUP(Table7[[#This Row],[Student_ID]],student_data[#All],5,0)&lt;6.5,"LOW","MEDIUM"))</f>
        <v>MEDIUM</v>
      </c>
    </row>
    <row r="200" spans="1:10" x14ac:dyDescent="0.2">
      <c r="A200" s="1" t="s">
        <v>209</v>
      </c>
      <c r="B200" s="1" t="str">
        <f>VLOOKUP(Table7[[#This Row],[Student_ID]],student_data[#All],2,0)</f>
        <v>Mechanical</v>
      </c>
      <c r="C200" s="1">
        <f>(VLOOKUP(Table7[[#This Row],[Student_ID]],student_data[],5,0)*5)+(VLOOKUP(Table7[[#This Row],[Student_ID]],student_data[],6,0)*3)+(VLOOKUP(Table7[[#This Row],[Student_ID]],student_skills[],6,0)*2)+(VLOOKUP(Table7[[#This Row],[Student_ID]],student_internships[],2,0)*5)</f>
        <v>88.65</v>
      </c>
      <c r="D200" s="1">
        <f>AVERAGE(VLOOKUP(Table7[[#This Row],[Student_ID]],student_skills[],3,0),VLOOKUP(Table7[[#This Row],[Student_ID]],student_skills[],4,0),VLOOKUP(Table7[[#This Row],[Student_ID]],student_skills[],5,0),VLOOKUP(Table7[[#This Row],[Student_ID]],student_skills[],6,0))</f>
        <v>7</v>
      </c>
      <c r="E200" s="1" t="str">
        <f>IF(VLOOKUP(Table7[[#This Row],[Student_ID]],student_internships[#All],2,0)&gt;1,"EXPERIENCED",IF(VLOOKUP(Table7[[#This Row],[Student_ID]],student_internships[#All],2,0)=1,"BEGINNER","NOT EXPERIENCED"))</f>
        <v>EXPERIENCED</v>
      </c>
      <c r="F200" s="1">
        <f>VLOOKUP(Table7[[#This Row],[Student_ID]],student_data[],5,0)</f>
        <v>9.33</v>
      </c>
      <c r="G200" s="1">
        <f>VLOOKUP(Table7[[#This Row],[Student_ID]],student_data[#All],6,0)</f>
        <v>4</v>
      </c>
      <c r="H200" s="1">
        <f>VLOOKUP(Table7[[#This Row],[Student_ID]],student_internships[],2,0)</f>
        <v>2</v>
      </c>
      <c r="I200" s="1">
        <f>VLOOKUP(Table7[[#This Row],[Student_ID]],Placements!A200:E1199,5,0)</f>
        <v>0</v>
      </c>
      <c r="J200" s="1" t="str">
        <f>IF(VLOOKUP(Table7[[#This Row],[Student_ID]],student_data[#All],5,0)&gt;8,"HIGH",IF(VLOOKUP(Table7[[#This Row],[Student_ID]],student_data[#All],5,0)&lt;6.5,"LOW","MEDIUM"))</f>
        <v>HIGH</v>
      </c>
    </row>
    <row r="201" spans="1:10" x14ac:dyDescent="0.2">
      <c r="A201" s="1" t="s">
        <v>210</v>
      </c>
      <c r="B201" s="1" t="str">
        <f>VLOOKUP(Table7[[#This Row],[Student_ID]],student_data[#All],2,0)</f>
        <v>Computer Science</v>
      </c>
      <c r="C201" s="1">
        <f>(VLOOKUP(Table7[[#This Row],[Student_ID]],student_data[],5,0)*5)+(VLOOKUP(Table7[[#This Row],[Student_ID]],student_data[],6,0)*3)+(VLOOKUP(Table7[[#This Row],[Student_ID]],student_skills[],6,0)*2)+(VLOOKUP(Table7[[#This Row],[Student_ID]],student_internships[],2,0)*5)</f>
        <v>54.9</v>
      </c>
      <c r="D201" s="1">
        <f>AVERAGE(VLOOKUP(Table7[[#This Row],[Student_ID]],student_skills[],3,0),VLOOKUP(Table7[[#This Row],[Student_ID]],student_skills[],4,0),VLOOKUP(Table7[[#This Row],[Student_ID]],student_skills[],5,0),VLOOKUP(Table7[[#This Row],[Student_ID]],student_skills[],6,0))</f>
        <v>3</v>
      </c>
      <c r="E201" s="1" t="str">
        <f>IF(VLOOKUP(Table7[[#This Row],[Student_ID]],student_internships[#All],2,0)&gt;1,"EXPERIENCED",IF(VLOOKUP(Table7[[#This Row],[Student_ID]],student_internships[#All],2,0)=1,"BEGINNER","NOT EXPERIENCED"))</f>
        <v>EXPERIENCED</v>
      </c>
      <c r="F201" s="1">
        <f>VLOOKUP(Table7[[#This Row],[Student_ID]],student_data[],5,0)</f>
        <v>7.38</v>
      </c>
      <c r="G201" s="1">
        <f>VLOOKUP(Table7[[#This Row],[Student_ID]],student_data[#All],6,0)</f>
        <v>2</v>
      </c>
      <c r="H201" s="1">
        <f>VLOOKUP(Table7[[#This Row],[Student_ID]],student_internships[],2,0)</f>
        <v>2</v>
      </c>
      <c r="I201" s="1">
        <f>VLOOKUP(Table7[[#This Row],[Student_ID]],Placements!A201:E1200,5,0)</f>
        <v>0</v>
      </c>
      <c r="J201" s="1" t="str">
        <f>IF(VLOOKUP(Table7[[#This Row],[Student_ID]],student_data[#All],5,0)&gt;8,"HIGH",IF(VLOOKUP(Table7[[#This Row],[Student_ID]],student_data[#All],5,0)&lt;6.5,"LOW","MEDIUM"))</f>
        <v>MEDIUM</v>
      </c>
    </row>
    <row r="202" spans="1:10" x14ac:dyDescent="0.2">
      <c r="A202" s="1" t="s">
        <v>211</v>
      </c>
      <c r="B202" s="1" t="str">
        <f>VLOOKUP(Table7[[#This Row],[Student_ID]],student_data[#All],2,0)</f>
        <v>Information Technology</v>
      </c>
      <c r="C202" s="1">
        <f>(VLOOKUP(Table7[[#This Row],[Student_ID]],student_data[],5,0)*5)+(VLOOKUP(Table7[[#This Row],[Student_ID]],student_data[],6,0)*3)+(VLOOKUP(Table7[[#This Row],[Student_ID]],student_skills[],6,0)*2)+(VLOOKUP(Table7[[#This Row],[Student_ID]],student_internships[],2,0)*5)</f>
        <v>68.75</v>
      </c>
      <c r="D202" s="1">
        <f>AVERAGE(VLOOKUP(Table7[[#This Row],[Student_ID]],student_skills[],3,0),VLOOKUP(Table7[[#This Row],[Student_ID]],student_skills[],4,0),VLOOKUP(Table7[[#This Row],[Student_ID]],student_skills[],5,0),VLOOKUP(Table7[[#This Row],[Student_ID]],student_skills[],6,0))</f>
        <v>4.25</v>
      </c>
      <c r="E202" s="1" t="str">
        <f>IF(VLOOKUP(Table7[[#This Row],[Student_ID]],student_internships[#All],2,0)&gt;1,"EXPERIENCED",IF(VLOOKUP(Table7[[#This Row],[Student_ID]],student_internships[#All],2,0)=1,"BEGINNER","NOT EXPERIENCED"))</f>
        <v>EXPERIENCED</v>
      </c>
      <c r="F202" s="1">
        <f>VLOOKUP(Table7[[#This Row],[Student_ID]],student_data[],5,0)</f>
        <v>5.55</v>
      </c>
      <c r="G202" s="1">
        <f>VLOOKUP(Table7[[#This Row],[Student_ID]],student_data[#All],6,0)</f>
        <v>5</v>
      </c>
      <c r="H202" s="1">
        <f>VLOOKUP(Table7[[#This Row],[Student_ID]],student_internships[],2,0)</f>
        <v>2</v>
      </c>
      <c r="I202" s="1">
        <f>VLOOKUP(Table7[[#This Row],[Student_ID]],Placements!A202:E1201,5,0)</f>
        <v>34.450000000000003</v>
      </c>
      <c r="J202" s="1" t="str">
        <f>IF(VLOOKUP(Table7[[#This Row],[Student_ID]],student_data[#All],5,0)&gt;8,"HIGH",IF(VLOOKUP(Table7[[#This Row],[Student_ID]],student_data[#All],5,0)&lt;6.5,"LOW","MEDIUM"))</f>
        <v>LOW</v>
      </c>
    </row>
    <row r="203" spans="1:10" x14ac:dyDescent="0.2">
      <c r="A203" s="1" t="s">
        <v>212</v>
      </c>
      <c r="B203" s="1" t="str">
        <f>VLOOKUP(Table7[[#This Row],[Student_ID]],student_data[#All],2,0)</f>
        <v>Civil</v>
      </c>
      <c r="C203" s="1">
        <f>(VLOOKUP(Table7[[#This Row],[Student_ID]],student_data[],5,0)*5)+(VLOOKUP(Table7[[#This Row],[Student_ID]],student_data[],6,0)*3)+(VLOOKUP(Table7[[#This Row],[Student_ID]],student_skills[],6,0)*2)+(VLOOKUP(Table7[[#This Row],[Student_ID]],student_internships[],2,0)*5)</f>
        <v>79.849999999999994</v>
      </c>
      <c r="D203" s="1">
        <f>AVERAGE(VLOOKUP(Table7[[#This Row],[Student_ID]],student_skills[],3,0),VLOOKUP(Table7[[#This Row],[Student_ID]],student_skills[],4,0),VLOOKUP(Table7[[#This Row],[Student_ID]],student_skills[],5,0),VLOOKUP(Table7[[#This Row],[Student_ID]],student_skills[],6,0))</f>
        <v>5.75</v>
      </c>
      <c r="E203" s="1" t="str">
        <f>IF(VLOOKUP(Table7[[#This Row],[Student_ID]],student_internships[#All],2,0)&gt;1,"EXPERIENCED",IF(VLOOKUP(Table7[[#This Row],[Student_ID]],student_internships[#All],2,0)=1,"BEGINNER","NOT EXPERIENCED"))</f>
        <v>EXPERIENCED</v>
      </c>
      <c r="F203" s="1">
        <f>VLOOKUP(Table7[[#This Row],[Student_ID]],student_data[],5,0)</f>
        <v>8.17</v>
      </c>
      <c r="G203" s="1">
        <f>VLOOKUP(Table7[[#This Row],[Student_ID]],student_data[#All],6,0)</f>
        <v>5</v>
      </c>
      <c r="H203" s="1">
        <f>VLOOKUP(Table7[[#This Row],[Student_ID]],student_internships[],2,0)</f>
        <v>2</v>
      </c>
      <c r="I203" s="1">
        <f>VLOOKUP(Table7[[#This Row],[Student_ID]],Placements!A203:E1202,5,0)</f>
        <v>6.34</v>
      </c>
      <c r="J203" s="1" t="str">
        <f>IF(VLOOKUP(Table7[[#This Row],[Student_ID]],student_data[#All],5,0)&gt;8,"HIGH",IF(VLOOKUP(Table7[[#This Row],[Student_ID]],student_data[#All],5,0)&lt;6.5,"LOW","MEDIUM"))</f>
        <v>HIGH</v>
      </c>
    </row>
    <row r="204" spans="1:10" x14ac:dyDescent="0.2">
      <c r="A204" s="1" t="s">
        <v>213</v>
      </c>
      <c r="B204" s="1" t="str">
        <f>VLOOKUP(Table7[[#This Row],[Student_ID]],student_data[#All],2,0)</f>
        <v>Electronics</v>
      </c>
      <c r="C204" s="1">
        <f>(VLOOKUP(Table7[[#This Row],[Student_ID]],student_data[],5,0)*5)+(VLOOKUP(Table7[[#This Row],[Student_ID]],student_data[],6,0)*3)+(VLOOKUP(Table7[[#This Row],[Student_ID]],student_skills[],6,0)*2)+(VLOOKUP(Table7[[#This Row],[Student_ID]],student_internships[],2,0)*5)</f>
        <v>72.25</v>
      </c>
      <c r="D204" s="1">
        <f>AVERAGE(VLOOKUP(Table7[[#This Row],[Student_ID]],student_skills[],3,0),VLOOKUP(Table7[[#This Row],[Student_ID]],student_skills[],4,0),VLOOKUP(Table7[[#This Row],[Student_ID]],student_skills[],5,0),VLOOKUP(Table7[[#This Row],[Student_ID]],student_skills[],6,0))</f>
        <v>7.25</v>
      </c>
      <c r="E204" s="1" t="str">
        <f>IF(VLOOKUP(Table7[[#This Row],[Student_ID]],student_internships[#All],2,0)&gt;1,"EXPERIENCED",IF(VLOOKUP(Table7[[#This Row],[Student_ID]],student_internships[#All],2,0)=1,"BEGINNER","NOT EXPERIENCED"))</f>
        <v>BEGINNER</v>
      </c>
      <c r="F204" s="1">
        <f>VLOOKUP(Table7[[#This Row],[Student_ID]],student_data[],5,0)</f>
        <v>8.85</v>
      </c>
      <c r="G204" s="1">
        <f>VLOOKUP(Table7[[#This Row],[Student_ID]],student_data[#All],6,0)</f>
        <v>3</v>
      </c>
      <c r="H204" s="1">
        <f>VLOOKUP(Table7[[#This Row],[Student_ID]],student_internships[],2,0)</f>
        <v>1</v>
      </c>
      <c r="I204" s="1">
        <f>VLOOKUP(Table7[[#This Row],[Student_ID]],Placements!A204:E1203,5,0)</f>
        <v>14.65</v>
      </c>
      <c r="J204" s="1" t="str">
        <f>IF(VLOOKUP(Table7[[#This Row],[Student_ID]],student_data[#All],5,0)&gt;8,"HIGH",IF(VLOOKUP(Table7[[#This Row],[Student_ID]],student_data[#All],5,0)&lt;6.5,"LOW","MEDIUM"))</f>
        <v>HIGH</v>
      </c>
    </row>
    <row r="205" spans="1:10" x14ac:dyDescent="0.2">
      <c r="A205" s="1" t="s">
        <v>214</v>
      </c>
      <c r="B205" s="1" t="str">
        <f>VLOOKUP(Table7[[#This Row],[Student_ID]],student_data[#All],2,0)</f>
        <v>Mechanical</v>
      </c>
      <c r="C205" s="1">
        <f>(VLOOKUP(Table7[[#This Row],[Student_ID]],student_data[],5,0)*5)+(VLOOKUP(Table7[[#This Row],[Student_ID]],student_data[],6,0)*3)+(VLOOKUP(Table7[[#This Row],[Student_ID]],student_skills[],6,0)*2)+(VLOOKUP(Table7[[#This Row],[Student_ID]],student_internships[],2,0)*5)</f>
        <v>43.05</v>
      </c>
      <c r="D205" s="1">
        <f>AVERAGE(VLOOKUP(Table7[[#This Row],[Student_ID]],student_skills[],3,0),VLOOKUP(Table7[[#This Row],[Student_ID]],student_skills[],4,0),VLOOKUP(Table7[[#This Row],[Student_ID]],student_skills[],5,0),VLOOKUP(Table7[[#This Row],[Student_ID]],student_skills[],6,0))</f>
        <v>3</v>
      </c>
      <c r="E205" s="1" t="str">
        <f>IF(VLOOKUP(Table7[[#This Row],[Student_ID]],student_internships[#All],2,0)&gt;1,"EXPERIENCED",IF(VLOOKUP(Table7[[#This Row],[Student_ID]],student_internships[#All],2,0)=1,"BEGINNER","NOT EXPERIENCED"))</f>
        <v>NOT EXPERIENCED</v>
      </c>
      <c r="F205" s="1">
        <f>VLOOKUP(Table7[[#This Row],[Student_ID]],student_data[],5,0)</f>
        <v>5.01</v>
      </c>
      <c r="G205" s="1">
        <f>VLOOKUP(Table7[[#This Row],[Student_ID]],student_data[#All],6,0)</f>
        <v>4</v>
      </c>
      <c r="H205" s="1">
        <f>VLOOKUP(Table7[[#This Row],[Student_ID]],student_internships[],2,0)</f>
        <v>0</v>
      </c>
      <c r="I205" s="1">
        <f>VLOOKUP(Table7[[#This Row],[Student_ID]],Placements!A205:E1204,5,0)</f>
        <v>3.78</v>
      </c>
      <c r="J205" s="1" t="str">
        <f>IF(VLOOKUP(Table7[[#This Row],[Student_ID]],student_data[#All],5,0)&gt;8,"HIGH",IF(VLOOKUP(Table7[[#This Row],[Student_ID]],student_data[#All],5,0)&lt;6.5,"LOW","MEDIUM"))</f>
        <v>LOW</v>
      </c>
    </row>
    <row r="206" spans="1:10" x14ac:dyDescent="0.2">
      <c r="A206" s="1" t="s">
        <v>215</v>
      </c>
      <c r="B206" s="1" t="str">
        <f>VLOOKUP(Table7[[#This Row],[Student_ID]],student_data[#All],2,0)</f>
        <v>Computer Science</v>
      </c>
      <c r="C206" s="1">
        <f>(VLOOKUP(Table7[[#This Row],[Student_ID]],student_data[],5,0)*5)+(VLOOKUP(Table7[[#This Row],[Student_ID]],student_data[],6,0)*3)+(VLOOKUP(Table7[[#This Row],[Student_ID]],student_skills[],6,0)*2)+(VLOOKUP(Table7[[#This Row],[Student_ID]],student_internships[],2,0)*5)</f>
        <v>63.449999999999996</v>
      </c>
      <c r="D206" s="1">
        <f>AVERAGE(VLOOKUP(Table7[[#This Row],[Student_ID]],student_skills[],3,0),VLOOKUP(Table7[[#This Row],[Student_ID]],student_skills[],4,0),VLOOKUP(Table7[[#This Row],[Student_ID]],student_skills[],5,0),VLOOKUP(Table7[[#This Row],[Student_ID]],student_skills[],6,0))</f>
        <v>6.25</v>
      </c>
      <c r="E206" s="1" t="str">
        <f>IF(VLOOKUP(Table7[[#This Row],[Student_ID]],student_internships[#All],2,0)&gt;1,"EXPERIENCED",IF(VLOOKUP(Table7[[#This Row],[Student_ID]],student_internships[#All],2,0)=1,"BEGINNER","NOT EXPERIENCED"))</f>
        <v>NOT EXPERIENCED</v>
      </c>
      <c r="F206" s="1">
        <f>VLOOKUP(Table7[[#This Row],[Student_ID]],student_data[],5,0)</f>
        <v>9.2899999999999991</v>
      </c>
      <c r="G206" s="1">
        <f>VLOOKUP(Table7[[#This Row],[Student_ID]],student_data[#All],6,0)</f>
        <v>5</v>
      </c>
      <c r="H206" s="1">
        <f>VLOOKUP(Table7[[#This Row],[Student_ID]],student_internships[],2,0)</f>
        <v>0</v>
      </c>
      <c r="I206" s="1">
        <f>VLOOKUP(Table7[[#This Row],[Student_ID]],Placements!A206:E1205,5,0)</f>
        <v>5.78</v>
      </c>
      <c r="J206" s="1" t="str">
        <f>IF(VLOOKUP(Table7[[#This Row],[Student_ID]],student_data[#All],5,0)&gt;8,"HIGH",IF(VLOOKUP(Table7[[#This Row],[Student_ID]],student_data[#All],5,0)&lt;6.5,"LOW","MEDIUM"))</f>
        <v>HIGH</v>
      </c>
    </row>
    <row r="207" spans="1:10" x14ac:dyDescent="0.2">
      <c r="A207" s="1" t="s">
        <v>216</v>
      </c>
      <c r="B207" s="1" t="str">
        <f>VLOOKUP(Table7[[#This Row],[Student_ID]],student_data[#All],2,0)</f>
        <v>Computer Science</v>
      </c>
      <c r="C207" s="1">
        <f>(VLOOKUP(Table7[[#This Row],[Student_ID]],student_data[],5,0)*5)+(VLOOKUP(Table7[[#This Row],[Student_ID]],student_data[],6,0)*3)+(VLOOKUP(Table7[[#This Row],[Student_ID]],student_skills[],6,0)*2)+(VLOOKUP(Table7[[#This Row],[Student_ID]],student_internships[],2,0)*5)</f>
        <v>53.65</v>
      </c>
      <c r="D207" s="1">
        <f>AVERAGE(VLOOKUP(Table7[[#This Row],[Student_ID]],student_skills[],3,0),VLOOKUP(Table7[[#This Row],[Student_ID]],student_skills[],4,0),VLOOKUP(Table7[[#This Row],[Student_ID]],student_skills[],5,0),VLOOKUP(Table7[[#This Row],[Student_ID]],student_skills[],6,0))</f>
        <v>5.75</v>
      </c>
      <c r="E207" s="1" t="str">
        <f>IF(VLOOKUP(Table7[[#This Row],[Student_ID]],student_internships[#All],2,0)&gt;1,"EXPERIENCED",IF(VLOOKUP(Table7[[#This Row],[Student_ID]],student_internships[#All],2,0)=1,"BEGINNER","NOT EXPERIENCED"))</f>
        <v>EXPERIENCED</v>
      </c>
      <c r="F207" s="1">
        <f>VLOOKUP(Table7[[#This Row],[Student_ID]],student_data[],5,0)</f>
        <v>5.93</v>
      </c>
      <c r="G207" s="1">
        <f>VLOOKUP(Table7[[#This Row],[Student_ID]],student_data[#All],6,0)</f>
        <v>2</v>
      </c>
      <c r="H207" s="1">
        <f>VLOOKUP(Table7[[#This Row],[Student_ID]],student_internships[],2,0)</f>
        <v>2</v>
      </c>
      <c r="I207" s="1">
        <f>VLOOKUP(Table7[[#This Row],[Student_ID]],Placements!A207:E1206,5,0)</f>
        <v>0</v>
      </c>
      <c r="J207" s="1" t="str">
        <f>IF(VLOOKUP(Table7[[#This Row],[Student_ID]],student_data[#All],5,0)&gt;8,"HIGH",IF(VLOOKUP(Table7[[#This Row],[Student_ID]],student_data[#All],5,0)&lt;6.5,"LOW","MEDIUM"))</f>
        <v>LOW</v>
      </c>
    </row>
    <row r="208" spans="1:10" x14ac:dyDescent="0.2">
      <c r="A208" s="1" t="s">
        <v>217</v>
      </c>
      <c r="B208" s="1" t="str">
        <f>VLOOKUP(Table7[[#This Row],[Student_ID]],student_data[#All],2,0)</f>
        <v>Civil</v>
      </c>
      <c r="C208" s="1">
        <f>(VLOOKUP(Table7[[#This Row],[Student_ID]],student_data[],5,0)*5)+(VLOOKUP(Table7[[#This Row],[Student_ID]],student_data[],6,0)*3)+(VLOOKUP(Table7[[#This Row],[Student_ID]],student_skills[],6,0)*2)+(VLOOKUP(Table7[[#This Row],[Student_ID]],student_internships[],2,0)*5)</f>
        <v>70.8</v>
      </c>
      <c r="D208" s="1">
        <f>AVERAGE(VLOOKUP(Table7[[#This Row],[Student_ID]],student_skills[],3,0),VLOOKUP(Table7[[#This Row],[Student_ID]],student_skills[],4,0),VLOOKUP(Table7[[#This Row],[Student_ID]],student_skills[],5,0),VLOOKUP(Table7[[#This Row],[Student_ID]],student_skills[],6,0))</f>
        <v>5.75</v>
      </c>
      <c r="E208" s="1" t="str">
        <f>IF(VLOOKUP(Table7[[#This Row],[Student_ID]],student_internships[#All],2,0)&gt;1,"EXPERIENCED",IF(VLOOKUP(Table7[[#This Row],[Student_ID]],student_internships[#All],2,0)=1,"BEGINNER","NOT EXPERIENCED"))</f>
        <v>BEGINNER</v>
      </c>
      <c r="F208" s="1">
        <f>VLOOKUP(Table7[[#This Row],[Student_ID]],student_data[],5,0)</f>
        <v>7.76</v>
      </c>
      <c r="G208" s="1">
        <f>VLOOKUP(Table7[[#This Row],[Student_ID]],student_data[#All],6,0)</f>
        <v>3</v>
      </c>
      <c r="H208" s="1">
        <f>VLOOKUP(Table7[[#This Row],[Student_ID]],student_internships[],2,0)</f>
        <v>1</v>
      </c>
      <c r="I208" s="1">
        <f>VLOOKUP(Table7[[#This Row],[Student_ID]],Placements!A208:E1207,5,0)</f>
        <v>0</v>
      </c>
      <c r="J208" s="1" t="str">
        <f>IF(VLOOKUP(Table7[[#This Row],[Student_ID]],student_data[#All],5,0)&gt;8,"HIGH",IF(VLOOKUP(Table7[[#This Row],[Student_ID]],student_data[#All],5,0)&lt;6.5,"LOW","MEDIUM"))</f>
        <v>MEDIUM</v>
      </c>
    </row>
    <row r="209" spans="1:10" x14ac:dyDescent="0.2">
      <c r="A209" s="1" t="s">
        <v>218</v>
      </c>
      <c r="B209" s="1" t="str">
        <f>VLOOKUP(Table7[[#This Row],[Student_ID]],student_data[#All],2,0)</f>
        <v>Mechanical</v>
      </c>
      <c r="C209" s="1">
        <f>(VLOOKUP(Table7[[#This Row],[Student_ID]],student_data[],5,0)*5)+(VLOOKUP(Table7[[#This Row],[Student_ID]],student_data[],6,0)*3)+(VLOOKUP(Table7[[#This Row],[Student_ID]],student_skills[],6,0)*2)+(VLOOKUP(Table7[[#This Row],[Student_ID]],student_internships[],2,0)*5)</f>
        <v>51.4</v>
      </c>
      <c r="D209" s="1">
        <f>AVERAGE(VLOOKUP(Table7[[#This Row],[Student_ID]],student_skills[],3,0),VLOOKUP(Table7[[#This Row],[Student_ID]],student_skills[],4,0),VLOOKUP(Table7[[#This Row],[Student_ID]],student_skills[],5,0),VLOOKUP(Table7[[#This Row],[Student_ID]],student_skills[],6,0))</f>
        <v>6</v>
      </c>
      <c r="E209" s="1" t="str">
        <f>IF(VLOOKUP(Table7[[#This Row],[Student_ID]],student_internships[#All],2,0)&gt;1,"EXPERIENCED",IF(VLOOKUP(Table7[[#This Row],[Student_ID]],student_internships[#All],2,0)=1,"BEGINNER","NOT EXPERIENCED"))</f>
        <v>NOT EXPERIENCED</v>
      </c>
      <c r="F209" s="1">
        <f>VLOOKUP(Table7[[#This Row],[Student_ID]],student_data[],5,0)</f>
        <v>7.08</v>
      </c>
      <c r="G209" s="1">
        <f>VLOOKUP(Table7[[#This Row],[Student_ID]],student_data[#All],6,0)</f>
        <v>2</v>
      </c>
      <c r="H209" s="1">
        <f>VLOOKUP(Table7[[#This Row],[Student_ID]],student_internships[],2,0)</f>
        <v>0</v>
      </c>
      <c r="I209" s="1">
        <f>VLOOKUP(Table7[[#This Row],[Student_ID]],Placements!A209:E1208,5,0)</f>
        <v>10.66</v>
      </c>
      <c r="J209" s="1" t="str">
        <f>IF(VLOOKUP(Table7[[#This Row],[Student_ID]],student_data[#All],5,0)&gt;8,"HIGH",IF(VLOOKUP(Table7[[#This Row],[Student_ID]],student_data[#All],5,0)&lt;6.5,"LOW","MEDIUM"))</f>
        <v>MEDIUM</v>
      </c>
    </row>
    <row r="210" spans="1:10" x14ac:dyDescent="0.2">
      <c r="A210" s="1" t="s">
        <v>219</v>
      </c>
      <c r="B210" s="1" t="str">
        <f>VLOOKUP(Table7[[#This Row],[Student_ID]],student_data[#All],2,0)</f>
        <v>Information Technology</v>
      </c>
      <c r="C210" s="1">
        <f>(VLOOKUP(Table7[[#This Row],[Student_ID]],student_data[],5,0)*5)+(VLOOKUP(Table7[[#This Row],[Student_ID]],student_data[],6,0)*3)+(VLOOKUP(Table7[[#This Row],[Student_ID]],student_skills[],6,0)*2)+(VLOOKUP(Table7[[#This Row],[Student_ID]],student_internships[],2,0)*5)</f>
        <v>57</v>
      </c>
      <c r="D210" s="1">
        <f>AVERAGE(VLOOKUP(Table7[[#This Row],[Student_ID]],student_skills[],3,0),VLOOKUP(Table7[[#This Row],[Student_ID]],student_skills[],4,0),VLOOKUP(Table7[[#This Row],[Student_ID]],student_skills[],5,0),VLOOKUP(Table7[[#This Row],[Student_ID]],student_skills[],6,0))</f>
        <v>5.25</v>
      </c>
      <c r="E210" s="1" t="str">
        <f>IF(VLOOKUP(Table7[[#This Row],[Student_ID]],student_internships[#All],2,0)&gt;1,"EXPERIENCED",IF(VLOOKUP(Table7[[#This Row],[Student_ID]],student_internships[#All],2,0)=1,"BEGINNER","NOT EXPERIENCED"))</f>
        <v>NOT EXPERIENCED</v>
      </c>
      <c r="F210" s="1">
        <f>VLOOKUP(Table7[[#This Row],[Student_ID]],student_data[],5,0)</f>
        <v>8.6</v>
      </c>
      <c r="G210" s="1">
        <f>VLOOKUP(Table7[[#This Row],[Student_ID]],student_data[#All],6,0)</f>
        <v>4</v>
      </c>
      <c r="H210" s="1">
        <f>VLOOKUP(Table7[[#This Row],[Student_ID]],student_internships[],2,0)</f>
        <v>0</v>
      </c>
      <c r="I210" s="1">
        <f>VLOOKUP(Table7[[#This Row],[Student_ID]],Placements!A210:E1209,5,0)</f>
        <v>5.76</v>
      </c>
      <c r="J210" s="1" t="str">
        <f>IF(VLOOKUP(Table7[[#This Row],[Student_ID]],student_data[#All],5,0)&gt;8,"HIGH",IF(VLOOKUP(Table7[[#This Row],[Student_ID]],student_data[#All],5,0)&lt;6.5,"LOW","MEDIUM"))</f>
        <v>HIGH</v>
      </c>
    </row>
    <row r="211" spans="1:10" x14ac:dyDescent="0.2">
      <c r="A211" s="1" t="s">
        <v>220</v>
      </c>
      <c r="B211" s="1" t="str">
        <f>VLOOKUP(Table7[[#This Row],[Student_ID]],student_data[#All],2,0)</f>
        <v>Mechanical</v>
      </c>
      <c r="C211" s="1">
        <f>(VLOOKUP(Table7[[#This Row],[Student_ID]],student_data[],5,0)*5)+(VLOOKUP(Table7[[#This Row],[Student_ID]],student_data[],6,0)*3)+(VLOOKUP(Table7[[#This Row],[Student_ID]],student_skills[],6,0)*2)+(VLOOKUP(Table7[[#This Row],[Student_ID]],student_internships[],2,0)*5)</f>
        <v>64.300000000000011</v>
      </c>
      <c r="D211" s="1">
        <f>AVERAGE(VLOOKUP(Table7[[#This Row],[Student_ID]],student_skills[],3,0),VLOOKUP(Table7[[#This Row],[Student_ID]],student_skills[],4,0),VLOOKUP(Table7[[#This Row],[Student_ID]],student_skills[],5,0),VLOOKUP(Table7[[#This Row],[Student_ID]],student_skills[],6,0))</f>
        <v>5</v>
      </c>
      <c r="E211" s="1" t="str">
        <f>IF(VLOOKUP(Table7[[#This Row],[Student_ID]],student_internships[#All],2,0)&gt;1,"EXPERIENCED",IF(VLOOKUP(Table7[[#This Row],[Student_ID]],student_internships[#All],2,0)=1,"BEGINNER","NOT EXPERIENCED"))</f>
        <v>BEGINNER</v>
      </c>
      <c r="F211" s="1">
        <f>VLOOKUP(Table7[[#This Row],[Student_ID]],student_data[],5,0)</f>
        <v>6.86</v>
      </c>
      <c r="G211" s="1">
        <f>VLOOKUP(Table7[[#This Row],[Student_ID]],student_data[#All],6,0)</f>
        <v>5</v>
      </c>
      <c r="H211" s="1">
        <f>VLOOKUP(Table7[[#This Row],[Student_ID]],student_internships[],2,0)</f>
        <v>1</v>
      </c>
      <c r="I211" s="1">
        <f>VLOOKUP(Table7[[#This Row],[Student_ID]],Placements!A211:E1210,5,0)</f>
        <v>5.32</v>
      </c>
      <c r="J211" s="1" t="str">
        <f>IF(VLOOKUP(Table7[[#This Row],[Student_ID]],student_data[#All],5,0)&gt;8,"HIGH",IF(VLOOKUP(Table7[[#This Row],[Student_ID]],student_data[#All],5,0)&lt;6.5,"LOW","MEDIUM"))</f>
        <v>MEDIUM</v>
      </c>
    </row>
    <row r="212" spans="1:10" x14ac:dyDescent="0.2">
      <c r="A212" s="1" t="s">
        <v>221</v>
      </c>
      <c r="B212" s="1" t="str">
        <f>VLOOKUP(Table7[[#This Row],[Student_ID]],student_data[#All],2,0)</f>
        <v>Civil</v>
      </c>
      <c r="C212" s="1">
        <f>(VLOOKUP(Table7[[#This Row],[Student_ID]],student_data[],5,0)*5)+(VLOOKUP(Table7[[#This Row],[Student_ID]],student_data[],6,0)*3)+(VLOOKUP(Table7[[#This Row],[Student_ID]],student_skills[],6,0)*2)+(VLOOKUP(Table7[[#This Row],[Student_ID]],student_internships[],2,0)*5)</f>
        <v>65.75</v>
      </c>
      <c r="D212" s="1">
        <f>AVERAGE(VLOOKUP(Table7[[#This Row],[Student_ID]],student_skills[],3,0),VLOOKUP(Table7[[#This Row],[Student_ID]],student_skills[],4,0),VLOOKUP(Table7[[#This Row],[Student_ID]],student_skills[],5,0),VLOOKUP(Table7[[#This Row],[Student_ID]],student_skills[],6,0))</f>
        <v>9.25</v>
      </c>
      <c r="E212" s="1" t="str">
        <f>IF(VLOOKUP(Table7[[#This Row],[Student_ID]],student_internships[#All],2,0)&gt;1,"EXPERIENCED",IF(VLOOKUP(Table7[[#This Row],[Student_ID]],student_internships[#All],2,0)=1,"BEGINNER","NOT EXPERIENCED"))</f>
        <v>NOT EXPERIENCED</v>
      </c>
      <c r="F212" s="1">
        <f>VLOOKUP(Table7[[#This Row],[Student_ID]],student_data[],5,0)</f>
        <v>9.35</v>
      </c>
      <c r="G212" s="1">
        <f>VLOOKUP(Table7[[#This Row],[Student_ID]],student_data[#All],6,0)</f>
        <v>1</v>
      </c>
      <c r="H212" s="1">
        <f>VLOOKUP(Table7[[#This Row],[Student_ID]],student_internships[],2,0)</f>
        <v>0</v>
      </c>
      <c r="I212" s="1">
        <f>VLOOKUP(Table7[[#This Row],[Student_ID]],Placements!A212:E1211,5,0)</f>
        <v>0</v>
      </c>
      <c r="J212" s="1" t="str">
        <f>IF(VLOOKUP(Table7[[#This Row],[Student_ID]],student_data[#All],5,0)&gt;8,"HIGH",IF(VLOOKUP(Table7[[#This Row],[Student_ID]],student_data[#All],5,0)&lt;6.5,"LOW","MEDIUM"))</f>
        <v>HIGH</v>
      </c>
    </row>
    <row r="213" spans="1:10" x14ac:dyDescent="0.2">
      <c r="A213" s="1" t="s">
        <v>222</v>
      </c>
      <c r="B213" s="1" t="str">
        <f>VLOOKUP(Table7[[#This Row],[Student_ID]],student_data[#All],2,0)</f>
        <v>Civil</v>
      </c>
      <c r="C213" s="1">
        <f>(VLOOKUP(Table7[[#This Row],[Student_ID]],student_data[],5,0)*5)+(VLOOKUP(Table7[[#This Row],[Student_ID]],student_data[],6,0)*3)+(VLOOKUP(Table7[[#This Row],[Student_ID]],student_skills[],6,0)*2)+(VLOOKUP(Table7[[#This Row],[Student_ID]],student_internships[],2,0)*5)</f>
        <v>74.25</v>
      </c>
      <c r="D213" s="1">
        <f>AVERAGE(VLOOKUP(Table7[[#This Row],[Student_ID]],student_skills[],3,0),VLOOKUP(Table7[[#This Row],[Student_ID]],student_skills[],4,0),VLOOKUP(Table7[[#This Row],[Student_ID]],student_skills[],5,0),VLOOKUP(Table7[[#This Row],[Student_ID]],student_skills[],6,0))</f>
        <v>6.25</v>
      </c>
      <c r="E213" s="1" t="str">
        <f>IF(VLOOKUP(Table7[[#This Row],[Student_ID]],student_internships[#All],2,0)&gt;1,"EXPERIENCED",IF(VLOOKUP(Table7[[#This Row],[Student_ID]],student_internships[#All],2,0)=1,"BEGINNER","NOT EXPERIENCED"))</f>
        <v>NOT EXPERIENCED</v>
      </c>
      <c r="F213" s="1">
        <f>VLOOKUP(Table7[[#This Row],[Student_ID]],student_data[],5,0)</f>
        <v>8.65</v>
      </c>
      <c r="G213" s="1">
        <f>VLOOKUP(Table7[[#This Row],[Student_ID]],student_data[#All],6,0)</f>
        <v>5</v>
      </c>
      <c r="H213" s="1">
        <f>VLOOKUP(Table7[[#This Row],[Student_ID]],student_internships[],2,0)</f>
        <v>0</v>
      </c>
      <c r="I213" s="1">
        <f>VLOOKUP(Table7[[#This Row],[Student_ID]],Placements!A213:E1212,5,0)</f>
        <v>5.27</v>
      </c>
      <c r="J213" s="1" t="str">
        <f>IF(VLOOKUP(Table7[[#This Row],[Student_ID]],student_data[#All],5,0)&gt;8,"HIGH",IF(VLOOKUP(Table7[[#This Row],[Student_ID]],student_data[#All],5,0)&lt;6.5,"LOW","MEDIUM"))</f>
        <v>HIGH</v>
      </c>
    </row>
    <row r="214" spans="1:10" x14ac:dyDescent="0.2">
      <c r="A214" s="1" t="s">
        <v>223</v>
      </c>
      <c r="B214" s="1" t="str">
        <f>VLOOKUP(Table7[[#This Row],[Student_ID]],student_data[#All],2,0)</f>
        <v>Mechanical</v>
      </c>
      <c r="C214" s="1">
        <f>(VLOOKUP(Table7[[#This Row],[Student_ID]],student_data[],5,0)*5)+(VLOOKUP(Table7[[#This Row],[Student_ID]],student_data[],6,0)*3)+(VLOOKUP(Table7[[#This Row],[Student_ID]],student_skills[],6,0)*2)+(VLOOKUP(Table7[[#This Row],[Student_ID]],student_internships[],2,0)*5)</f>
        <v>68.2</v>
      </c>
      <c r="D214" s="1">
        <f>AVERAGE(VLOOKUP(Table7[[#This Row],[Student_ID]],student_skills[],3,0),VLOOKUP(Table7[[#This Row],[Student_ID]],student_skills[],4,0),VLOOKUP(Table7[[#This Row],[Student_ID]],student_skills[],5,0),VLOOKUP(Table7[[#This Row],[Student_ID]],student_skills[],6,0))</f>
        <v>5.75</v>
      </c>
      <c r="E214" s="1" t="str">
        <f>IF(VLOOKUP(Table7[[#This Row],[Student_ID]],student_internships[#All],2,0)&gt;1,"EXPERIENCED",IF(VLOOKUP(Table7[[#This Row],[Student_ID]],student_internships[#All],2,0)=1,"BEGINNER","NOT EXPERIENCED"))</f>
        <v>BEGINNER</v>
      </c>
      <c r="F214" s="1">
        <f>VLOOKUP(Table7[[#This Row],[Student_ID]],student_data[],5,0)</f>
        <v>8.24</v>
      </c>
      <c r="G214" s="1">
        <f>VLOOKUP(Table7[[#This Row],[Student_ID]],student_data[#All],6,0)</f>
        <v>4</v>
      </c>
      <c r="H214" s="1">
        <f>VLOOKUP(Table7[[#This Row],[Student_ID]],student_internships[],2,0)</f>
        <v>1</v>
      </c>
      <c r="I214" s="1">
        <f>VLOOKUP(Table7[[#This Row],[Student_ID]],Placements!A214:E1213,5,0)</f>
        <v>6.98</v>
      </c>
      <c r="J214" s="1" t="str">
        <f>IF(VLOOKUP(Table7[[#This Row],[Student_ID]],student_data[#All],5,0)&gt;8,"HIGH",IF(VLOOKUP(Table7[[#This Row],[Student_ID]],student_data[#All],5,0)&lt;6.5,"LOW","MEDIUM"))</f>
        <v>HIGH</v>
      </c>
    </row>
    <row r="215" spans="1:10" x14ac:dyDescent="0.2">
      <c r="A215" s="1" t="s">
        <v>224</v>
      </c>
      <c r="B215" s="1" t="str">
        <f>VLOOKUP(Table7[[#This Row],[Student_ID]],student_data[#All],2,0)</f>
        <v>Civil</v>
      </c>
      <c r="C215" s="1">
        <f>(VLOOKUP(Table7[[#This Row],[Student_ID]],student_data[],5,0)*5)+(VLOOKUP(Table7[[#This Row],[Student_ID]],student_data[],6,0)*3)+(VLOOKUP(Table7[[#This Row],[Student_ID]],student_skills[],6,0)*2)+(VLOOKUP(Table7[[#This Row],[Student_ID]],student_internships[],2,0)*5)</f>
        <v>82.9</v>
      </c>
      <c r="D215" s="1">
        <f>AVERAGE(VLOOKUP(Table7[[#This Row],[Student_ID]],student_skills[],3,0),VLOOKUP(Table7[[#This Row],[Student_ID]],student_skills[],4,0),VLOOKUP(Table7[[#This Row],[Student_ID]],student_skills[],5,0),VLOOKUP(Table7[[#This Row],[Student_ID]],student_skills[],6,0))</f>
        <v>5</v>
      </c>
      <c r="E215" s="1" t="str">
        <f>IF(VLOOKUP(Table7[[#This Row],[Student_ID]],student_internships[#All],2,0)&gt;1,"EXPERIENCED",IF(VLOOKUP(Table7[[#This Row],[Student_ID]],student_internships[#All],2,0)=1,"BEGINNER","NOT EXPERIENCED"))</f>
        <v>BEGINNER</v>
      </c>
      <c r="F215" s="1">
        <f>VLOOKUP(Table7[[#This Row],[Student_ID]],student_data[],5,0)</f>
        <v>8.98</v>
      </c>
      <c r="G215" s="1">
        <f>VLOOKUP(Table7[[#This Row],[Student_ID]],student_data[#All],6,0)</f>
        <v>5</v>
      </c>
      <c r="H215" s="1">
        <f>VLOOKUP(Table7[[#This Row],[Student_ID]],student_internships[],2,0)</f>
        <v>1</v>
      </c>
      <c r="I215" s="1">
        <f>VLOOKUP(Table7[[#This Row],[Student_ID]],Placements!A215:E1214,5,0)</f>
        <v>0</v>
      </c>
      <c r="J215" s="1" t="str">
        <f>IF(VLOOKUP(Table7[[#This Row],[Student_ID]],student_data[#All],5,0)&gt;8,"HIGH",IF(VLOOKUP(Table7[[#This Row],[Student_ID]],student_data[#All],5,0)&lt;6.5,"LOW","MEDIUM"))</f>
        <v>HIGH</v>
      </c>
    </row>
    <row r="216" spans="1:10" x14ac:dyDescent="0.2">
      <c r="A216" s="1" t="s">
        <v>225</v>
      </c>
      <c r="B216" s="1" t="str">
        <f>VLOOKUP(Table7[[#This Row],[Student_ID]],student_data[#All],2,0)</f>
        <v>Mechanical</v>
      </c>
      <c r="C216" s="1">
        <f>(VLOOKUP(Table7[[#This Row],[Student_ID]],student_data[],5,0)*5)+(VLOOKUP(Table7[[#This Row],[Student_ID]],student_data[],6,0)*3)+(VLOOKUP(Table7[[#This Row],[Student_ID]],student_skills[],6,0)*2)+(VLOOKUP(Table7[[#This Row],[Student_ID]],student_internships[],2,0)*5)</f>
        <v>65.849999999999994</v>
      </c>
      <c r="D216" s="1">
        <f>AVERAGE(VLOOKUP(Table7[[#This Row],[Student_ID]],student_skills[],3,0),VLOOKUP(Table7[[#This Row],[Student_ID]],student_skills[],4,0),VLOOKUP(Table7[[#This Row],[Student_ID]],student_skills[],5,0),VLOOKUP(Table7[[#This Row],[Student_ID]],student_skills[],6,0))</f>
        <v>4.5</v>
      </c>
      <c r="E216" s="1" t="str">
        <f>IF(VLOOKUP(Table7[[#This Row],[Student_ID]],student_internships[#All],2,0)&gt;1,"EXPERIENCED",IF(VLOOKUP(Table7[[#This Row],[Student_ID]],student_internships[#All],2,0)=1,"BEGINNER","NOT EXPERIENCED"))</f>
        <v>BEGINNER</v>
      </c>
      <c r="F216" s="1">
        <f>VLOOKUP(Table7[[#This Row],[Student_ID]],student_data[],5,0)</f>
        <v>8.77</v>
      </c>
      <c r="G216" s="1">
        <f>VLOOKUP(Table7[[#This Row],[Student_ID]],student_data[#All],6,0)</f>
        <v>5</v>
      </c>
      <c r="H216" s="1">
        <f>VLOOKUP(Table7[[#This Row],[Student_ID]],student_internships[],2,0)</f>
        <v>1</v>
      </c>
      <c r="I216" s="1">
        <f>VLOOKUP(Table7[[#This Row],[Student_ID]],Placements!A216:E1215,5,0)</f>
        <v>5.14</v>
      </c>
      <c r="J216" s="1" t="str">
        <f>IF(VLOOKUP(Table7[[#This Row],[Student_ID]],student_data[#All],5,0)&gt;8,"HIGH",IF(VLOOKUP(Table7[[#This Row],[Student_ID]],student_data[#All],5,0)&lt;6.5,"LOW","MEDIUM"))</f>
        <v>HIGH</v>
      </c>
    </row>
    <row r="217" spans="1:10" x14ac:dyDescent="0.2">
      <c r="A217" s="1" t="s">
        <v>226</v>
      </c>
      <c r="B217" s="1" t="str">
        <f>VLOOKUP(Table7[[#This Row],[Student_ID]],student_data[#All],2,0)</f>
        <v>Electronics</v>
      </c>
      <c r="C217" s="1">
        <f>(VLOOKUP(Table7[[#This Row],[Student_ID]],student_data[],5,0)*5)+(VLOOKUP(Table7[[#This Row],[Student_ID]],student_data[],6,0)*3)+(VLOOKUP(Table7[[#This Row],[Student_ID]],student_skills[],6,0)*2)+(VLOOKUP(Table7[[#This Row],[Student_ID]],student_internships[],2,0)*5)</f>
        <v>33.9</v>
      </c>
      <c r="D217" s="1">
        <f>AVERAGE(VLOOKUP(Table7[[#This Row],[Student_ID]],student_skills[],3,0),VLOOKUP(Table7[[#This Row],[Student_ID]],student_skills[],4,0),VLOOKUP(Table7[[#This Row],[Student_ID]],student_skills[],5,0),VLOOKUP(Table7[[#This Row],[Student_ID]],student_skills[],6,0))</f>
        <v>4.5</v>
      </c>
      <c r="E217" s="1" t="str">
        <f>IF(VLOOKUP(Table7[[#This Row],[Student_ID]],student_internships[#All],2,0)&gt;1,"EXPERIENCED",IF(VLOOKUP(Table7[[#This Row],[Student_ID]],student_internships[#All],2,0)=1,"BEGINNER","NOT EXPERIENCED"))</f>
        <v>NOT EXPERIENCED</v>
      </c>
      <c r="F217" s="1">
        <f>VLOOKUP(Table7[[#This Row],[Student_ID]],student_data[],5,0)</f>
        <v>5.18</v>
      </c>
      <c r="G217" s="1">
        <f>VLOOKUP(Table7[[#This Row],[Student_ID]],student_data[#All],6,0)</f>
        <v>0</v>
      </c>
      <c r="H217" s="1">
        <f>VLOOKUP(Table7[[#This Row],[Student_ID]],student_internships[],2,0)</f>
        <v>0</v>
      </c>
      <c r="I217" s="1">
        <f>VLOOKUP(Table7[[#This Row],[Student_ID]],Placements!A217:E1216,5,0)</f>
        <v>5.1100000000000003</v>
      </c>
      <c r="J217" s="1" t="str">
        <f>IF(VLOOKUP(Table7[[#This Row],[Student_ID]],student_data[#All],5,0)&gt;8,"HIGH",IF(VLOOKUP(Table7[[#This Row],[Student_ID]],student_data[#All],5,0)&lt;6.5,"LOW","MEDIUM"))</f>
        <v>LOW</v>
      </c>
    </row>
    <row r="218" spans="1:10" x14ac:dyDescent="0.2">
      <c r="A218" s="1" t="s">
        <v>227</v>
      </c>
      <c r="B218" s="1" t="str">
        <f>VLOOKUP(Table7[[#This Row],[Student_ID]],student_data[#All],2,0)</f>
        <v>Mechanical</v>
      </c>
      <c r="C218" s="1">
        <f>(VLOOKUP(Table7[[#This Row],[Student_ID]],student_data[],5,0)*5)+(VLOOKUP(Table7[[#This Row],[Student_ID]],student_data[],6,0)*3)+(VLOOKUP(Table7[[#This Row],[Student_ID]],student_skills[],6,0)*2)+(VLOOKUP(Table7[[#This Row],[Student_ID]],student_internships[],2,0)*5)</f>
        <v>65.849999999999994</v>
      </c>
      <c r="D218" s="1">
        <f>AVERAGE(VLOOKUP(Table7[[#This Row],[Student_ID]],student_skills[],3,0),VLOOKUP(Table7[[#This Row],[Student_ID]],student_skills[],4,0),VLOOKUP(Table7[[#This Row],[Student_ID]],student_skills[],5,0),VLOOKUP(Table7[[#This Row],[Student_ID]],student_skills[],6,0))</f>
        <v>7.25</v>
      </c>
      <c r="E218" s="1" t="str">
        <f>IF(VLOOKUP(Table7[[#This Row],[Student_ID]],student_internships[#All],2,0)&gt;1,"EXPERIENCED",IF(VLOOKUP(Table7[[#This Row],[Student_ID]],student_internships[#All],2,0)=1,"BEGINNER","NOT EXPERIENCED"))</f>
        <v>EXPERIENCED</v>
      </c>
      <c r="F218" s="1">
        <f>VLOOKUP(Table7[[#This Row],[Student_ID]],student_data[],5,0)</f>
        <v>6.97</v>
      </c>
      <c r="G218" s="1">
        <f>VLOOKUP(Table7[[#This Row],[Student_ID]],student_data[#All],6,0)</f>
        <v>5</v>
      </c>
      <c r="H218" s="1">
        <f>VLOOKUP(Table7[[#This Row],[Student_ID]],student_internships[],2,0)</f>
        <v>2</v>
      </c>
      <c r="I218" s="1">
        <f>VLOOKUP(Table7[[#This Row],[Student_ID]],Placements!A218:E1217,5,0)</f>
        <v>4.3499999999999996</v>
      </c>
      <c r="J218" s="1" t="str">
        <f>IF(VLOOKUP(Table7[[#This Row],[Student_ID]],student_data[#All],5,0)&gt;8,"HIGH",IF(VLOOKUP(Table7[[#This Row],[Student_ID]],student_data[#All],5,0)&lt;6.5,"LOW","MEDIUM"))</f>
        <v>MEDIUM</v>
      </c>
    </row>
    <row r="219" spans="1:10" x14ac:dyDescent="0.2">
      <c r="A219" s="1" t="s">
        <v>228</v>
      </c>
      <c r="B219" s="1" t="str">
        <f>VLOOKUP(Table7[[#This Row],[Student_ID]],student_data[#All],2,0)</f>
        <v>Mechanical</v>
      </c>
      <c r="C219" s="1">
        <f>(VLOOKUP(Table7[[#This Row],[Student_ID]],student_data[],5,0)*5)+(VLOOKUP(Table7[[#This Row],[Student_ID]],student_data[],6,0)*3)+(VLOOKUP(Table7[[#This Row],[Student_ID]],student_skills[],6,0)*2)+(VLOOKUP(Table7[[#This Row],[Student_ID]],student_internships[],2,0)*5)</f>
        <v>67.25</v>
      </c>
      <c r="D219" s="1">
        <f>AVERAGE(VLOOKUP(Table7[[#This Row],[Student_ID]],student_skills[],3,0),VLOOKUP(Table7[[#This Row],[Student_ID]],student_skills[],4,0),VLOOKUP(Table7[[#This Row],[Student_ID]],student_skills[],5,0),VLOOKUP(Table7[[#This Row],[Student_ID]],student_skills[],6,0))</f>
        <v>3.75</v>
      </c>
      <c r="E219" s="1" t="str">
        <f>IF(VLOOKUP(Table7[[#This Row],[Student_ID]],student_internships[#All],2,0)&gt;1,"EXPERIENCED",IF(VLOOKUP(Table7[[#This Row],[Student_ID]],student_internships[#All],2,0)=1,"BEGINNER","NOT EXPERIENCED"))</f>
        <v>NOT EXPERIENCED</v>
      </c>
      <c r="F219" s="1">
        <f>VLOOKUP(Table7[[#This Row],[Student_ID]],student_data[],5,0)</f>
        <v>9.65</v>
      </c>
      <c r="G219" s="1">
        <f>VLOOKUP(Table7[[#This Row],[Student_ID]],student_data[#All],6,0)</f>
        <v>5</v>
      </c>
      <c r="H219" s="1">
        <f>VLOOKUP(Table7[[#This Row],[Student_ID]],student_internships[],2,0)</f>
        <v>0</v>
      </c>
      <c r="I219" s="1">
        <f>VLOOKUP(Table7[[#This Row],[Student_ID]],Placements!A219:E1218,5,0)</f>
        <v>4.0199999999999996</v>
      </c>
      <c r="J219" s="1" t="str">
        <f>IF(VLOOKUP(Table7[[#This Row],[Student_ID]],student_data[#All],5,0)&gt;8,"HIGH",IF(VLOOKUP(Table7[[#This Row],[Student_ID]],student_data[#All],5,0)&lt;6.5,"LOW","MEDIUM"))</f>
        <v>HIGH</v>
      </c>
    </row>
    <row r="220" spans="1:10" x14ac:dyDescent="0.2">
      <c r="A220" s="1" t="s">
        <v>229</v>
      </c>
      <c r="B220" s="1" t="str">
        <f>VLOOKUP(Table7[[#This Row],[Student_ID]],student_data[#All],2,0)</f>
        <v>Civil</v>
      </c>
      <c r="C220" s="1">
        <f>(VLOOKUP(Table7[[#This Row],[Student_ID]],student_data[],5,0)*5)+(VLOOKUP(Table7[[#This Row],[Student_ID]],student_data[],6,0)*3)+(VLOOKUP(Table7[[#This Row],[Student_ID]],student_skills[],6,0)*2)+(VLOOKUP(Table7[[#This Row],[Student_ID]],student_internships[],2,0)*5)</f>
        <v>55.15</v>
      </c>
      <c r="D220" s="1">
        <f>AVERAGE(VLOOKUP(Table7[[#This Row],[Student_ID]],student_skills[],3,0),VLOOKUP(Table7[[#This Row],[Student_ID]],student_skills[],4,0),VLOOKUP(Table7[[#This Row],[Student_ID]],student_skills[],5,0),VLOOKUP(Table7[[#This Row],[Student_ID]],student_skills[],6,0))</f>
        <v>5.5</v>
      </c>
      <c r="E220" s="1" t="str">
        <f>IF(VLOOKUP(Table7[[#This Row],[Student_ID]],student_internships[#All],2,0)&gt;1,"EXPERIENCED",IF(VLOOKUP(Table7[[#This Row],[Student_ID]],student_internships[#All],2,0)=1,"BEGINNER","NOT EXPERIENCED"))</f>
        <v>BEGINNER</v>
      </c>
      <c r="F220" s="1">
        <f>VLOOKUP(Table7[[#This Row],[Student_ID]],student_data[],5,0)</f>
        <v>5.63</v>
      </c>
      <c r="G220" s="1">
        <f>VLOOKUP(Table7[[#This Row],[Student_ID]],student_data[#All],6,0)</f>
        <v>2</v>
      </c>
      <c r="H220" s="1">
        <f>VLOOKUP(Table7[[#This Row],[Student_ID]],student_internships[],2,0)</f>
        <v>1</v>
      </c>
      <c r="I220" s="1">
        <f>VLOOKUP(Table7[[#This Row],[Student_ID]],Placements!A220:E1219,5,0)</f>
        <v>0</v>
      </c>
      <c r="J220" s="1" t="str">
        <f>IF(VLOOKUP(Table7[[#This Row],[Student_ID]],student_data[#All],5,0)&gt;8,"HIGH",IF(VLOOKUP(Table7[[#This Row],[Student_ID]],student_data[#All],5,0)&lt;6.5,"LOW","MEDIUM"))</f>
        <v>LOW</v>
      </c>
    </row>
    <row r="221" spans="1:10" x14ac:dyDescent="0.2">
      <c r="A221" s="1" t="s">
        <v>230</v>
      </c>
      <c r="B221" s="1" t="str">
        <f>VLOOKUP(Table7[[#This Row],[Student_ID]],student_data[#All],2,0)</f>
        <v>Civil</v>
      </c>
      <c r="C221" s="1">
        <f>(VLOOKUP(Table7[[#This Row],[Student_ID]],student_data[],5,0)*5)+(VLOOKUP(Table7[[#This Row],[Student_ID]],student_data[],6,0)*3)+(VLOOKUP(Table7[[#This Row],[Student_ID]],student_skills[],6,0)*2)+(VLOOKUP(Table7[[#This Row],[Student_ID]],student_internships[],2,0)*5)</f>
        <v>70.449999999999989</v>
      </c>
      <c r="D221" s="1">
        <f>AVERAGE(VLOOKUP(Table7[[#This Row],[Student_ID]],student_skills[],3,0),VLOOKUP(Table7[[#This Row],[Student_ID]],student_skills[],4,0),VLOOKUP(Table7[[#This Row],[Student_ID]],student_skills[],5,0),VLOOKUP(Table7[[#This Row],[Student_ID]],student_skills[],6,0))</f>
        <v>7.25</v>
      </c>
      <c r="E221" s="1" t="str">
        <f>IF(VLOOKUP(Table7[[#This Row],[Student_ID]],student_internships[#All],2,0)&gt;1,"EXPERIENCED",IF(VLOOKUP(Table7[[#This Row],[Student_ID]],student_internships[#All],2,0)=1,"BEGINNER","NOT EXPERIENCED"))</f>
        <v>EXPERIENCED</v>
      </c>
      <c r="F221" s="1">
        <f>VLOOKUP(Table7[[#This Row],[Student_ID]],student_data[],5,0)</f>
        <v>8.69</v>
      </c>
      <c r="G221" s="1">
        <f>VLOOKUP(Table7[[#This Row],[Student_ID]],student_data[#All],6,0)</f>
        <v>1</v>
      </c>
      <c r="H221" s="1">
        <f>VLOOKUP(Table7[[#This Row],[Student_ID]],student_internships[],2,0)</f>
        <v>2</v>
      </c>
      <c r="I221" s="1">
        <f>VLOOKUP(Table7[[#This Row],[Student_ID]],Placements!A221:E1220,5,0)</f>
        <v>11.38</v>
      </c>
      <c r="J221" s="1" t="str">
        <f>IF(VLOOKUP(Table7[[#This Row],[Student_ID]],student_data[#All],5,0)&gt;8,"HIGH",IF(VLOOKUP(Table7[[#This Row],[Student_ID]],student_data[#All],5,0)&lt;6.5,"LOW","MEDIUM"))</f>
        <v>HIGH</v>
      </c>
    </row>
    <row r="222" spans="1:10" x14ac:dyDescent="0.2">
      <c r="A222" s="1" t="s">
        <v>231</v>
      </c>
      <c r="B222" s="1" t="str">
        <f>VLOOKUP(Table7[[#This Row],[Student_ID]],student_data[#All],2,0)</f>
        <v>Computer Science</v>
      </c>
      <c r="C222" s="1">
        <f>(VLOOKUP(Table7[[#This Row],[Student_ID]],student_data[],5,0)*5)+(VLOOKUP(Table7[[#This Row],[Student_ID]],student_data[],6,0)*3)+(VLOOKUP(Table7[[#This Row],[Student_ID]],student_skills[],6,0)*2)+(VLOOKUP(Table7[[#This Row],[Student_ID]],student_internships[],2,0)*5)</f>
        <v>78.349999999999994</v>
      </c>
      <c r="D222" s="1">
        <f>AVERAGE(VLOOKUP(Table7[[#This Row],[Student_ID]],student_skills[],3,0),VLOOKUP(Table7[[#This Row],[Student_ID]],student_skills[],4,0),VLOOKUP(Table7[[#This Row],[Student_ID]],student_skills[],5,0),VLOOKUP(Table7[[#This Row],[Student_ID]],student_skills[],6,0))</f>
        <v>4.5</v>
      </c>
      <c r="E222" s="1" t="str">
        <f>IF(VLOOKUP(Table7[[#This Row],[Student_ID]],student_internships[#All],2,0)&gt;1,"EXPERIENCED",IF(VLOOKUP(Table7[[#This Row],[Student_ID]],student_internships[#All],2,0)=1,"BEGINNER","NOT EXPERIENCED"))</f>
        <v>BEGINNER</v>
      </c>
      <c r="F222" s="1">
        <f>VLOOKUP(Table7[[#This Row],[Student_ID]],student_data[],5,0)</f>
        <v>9.8699999999999992</v>
      </c>
      <c r="G222" s="1">
        <f>VLOOKUP(Table7[[#This Row],[Student_ID]],student_data[#All],6,0)</f>
        <v>2</v>
      </c>
      <c r="H222" s="1">
        <f>VLOOKUP(Table7[[#This Row],[Student_ID]],student_internships[],2,0)</f>
        <v>1</v>
      </c>
      <c r="I222" s="1">
        <f>VLOOKUP(Table7[[#This Row],[Student_ID]],Placements!A222:E1221,5,0)</f>
        <v>4.2</v>
      </c>
      <c r="J222" s="1" t="str">
        <f>IF(VLOOKUP(Table7[[#This Row],[Student_ID]],student_data[#All],5,0)&gt;8,"HIGH",IF(VLOOKUP(Table7[[#This Row],[Student_ID]],student_data[#All],5,0)&lt;6.5,"LOW","MEDIUM"))</f>
        <v>HIGH</v>
      </c>
    </row>
    <row r="223" spans="1:10" x14ac:dyDescent="0.2">
      <c r="A223" s="1" t="s">
        <v>232</v>
      </c>
      <c r="B223" s="1" t="str">
        <f>VLOOKUP(Table7[[#This Row],[Student_ID]],student_data[#All],2,0)</f>
        <v>Computer Science</v>
      </c>
      <c r="C223" s="1">
        <f>(VLOOKUP(Table7[[#This Row],[Student_ID]],student_data[],5,0)*5)+(VLOOKUP(Table7[[#This Row],[Student_ID]],student_data[],6,0)*3)+(VLOOKUP(Table7[[#This Row],[Student_ID]],student_skills[],6,0)*2)+(VLOOKUP(Table7[[#This Row],[Student_ID]],student_internships[],2,0)*5)</f>
        <v>46.3</v>
      </c>
      <c r="D223" s="1">
        <f>AVERAGE(VLOOKUP(Table7[[#This Row],[Student_ID]],student_skills[],3,0),VLOOKUP(Table7[[#This Row],[Student_ID]],student_skills[],4,0),VLOOKUP(Table7[[#This Row],[Student_ID]],student_skills[],5,0),VLOOKUP(Table7[[#This Row],[Student_ID]],student_skills[],6,0))</f>
        <v>6.25</v>
      </c>
      <c r="E223" s="1" t="str">
        <f>IF(VLOOKUP(Table7[[#This Row],[Student_ID]],student_internships[#All],2,0)&gt;1,"EXPERIENCED",IF(VLOOKUP(Table7[[#This Row],[Student_ID]],student_internships[#All],2,0)=1,"BEGINNER","NOT EXPERIENCED"))</f>
        <v>EXPERIENCED</v>
      </c>
      <c r="F223" s="1">
        <f>VLOOKUP(Table7[[#This Row],[Student_ID]],student_data[],5,0)</f>
        <v>5.26</v>
      </c>
      <c r="G223" s="1">
        <f>VLOOKUP(Table7[[#This Row],[Student_ID]],student_data[#All],6,0)</f>
        <v>2</v>
      </c>
      <c r="H223" s="1">
        <f>VLOOKUP(Table7[[#This Row],[Student_ID]],student_internships[],2,0)</f>
        <v>2</v>
      </c>
      <c r="I223" s="1">
        <f>VLOOKUP(Table7[[#This Row],[Student_ID]],Placements!A223:E1222,5,0)</f>
        <v>6.93</v>
      </c>
      <c r="J223" s="1" t="str">
        <f>IF(VLOOKUP(Table7[[#This Row],[Student_ID]],student_data[#All],5,0)&gt;8,"HIGH",IF(VLOOKUP(Table7[[#This Row],[Student_ID]],student_data[#All],5,0)&lt;6.5,"LOW","MEDIUM"))</f>
        <v>LOW</v>
      </c>
    </row>
    <row r="224" spans="1:10" x14ac:dyDescent="0.2">
      <c r="A224" s="1" t="s">
        <v>233</v>
      </c>
      <c r="B224" s="1" t="str">
        <f>VLOOKUP(Table7[[#This Row],[Student_ID]],student_data[#All],2,0)</f>
        <v>Electronics</v>
      </c>
      <c r="C224" s="1">
        <f>(VLOOKUP(Table7[[#This Row],[Student_ID]],student_data[],5,0)*5)+(VLOOKUP(Table7[[#This Row],[Student_ID]],student_data[],6,0)*3)+(VLOOKUP(Table7[[#This Row],[Student_ID]],student_skills[],6,0)*2)+(VLOOKUP(Table7[[#This Row],[Student_ID]],student_internships[],2,0)*5)</f>
        <v>64.05</v>
      </c>
      <c r="D224" s="1">
        <f>AVERAGE(VLOOKUP(Table7[[#This Row],[Student_ID]],student_skills[],3,0),VLOOKUP(Table7[[#This Row],[Student_ID]],student_skills[],4,0),VLOOKUP(Table7[[#This Row],[Student_ID]],student_skills[],5,0),VLOOKUP(Table7[[#This Row],[Student_ID]],student_skills[],6,0))</f>
        <v>2.75</v>
      </c>
      <c r="E224" s="1" t="str">
        <f>IF(VLOOKUP(Table7[[#This Row],[Student_ID]],student_internships[#All],2,0)&gt;1,"EXPERIENCED",IF(VLOOKUP(Table7[[#This Row],[Student_ID]],student_internships[#All],2,0)=1,"BEGINNER","NOT EXPERIENCED"))</f>
        <v>BEGINNER</v>
      </c>
      <c r="F224" s="1">
        <f>VLOOKUP(Table7[[#This Row],[Student_ID]],student_data[],5,0)</f>
        <v>8.41</v>
      </c>
      <c r="G224" s="1">
        <f>VLOOKUP(Table7[[#This Row],[Student_ID]],student_data[#All],6,0)</f>
        <v>3</v>
      </c>
      <c r="H224" s="1">
        <f>VLOOKUP(Table7[[#This Row],[Student_ID]],student_internships[],2,0)</f>
        <v>1</v>
      </c>
      <c r="I224" s="1">
        <f>VLOOKUP(Table7[[#This Row],[Student_ID]],Placements!A224:E1223,5,0)</f>
        <v>6.07</v>
      </c>
      <c r="J224" s="1" t="str">
        <f>IF(VLOOKUP(Table7[[#This Row],[Student_ID]],student_data[#All],5,0)&gt;8,"HIGH",IF(VLOOKUP(Table7[[#This Row],[Student_ID]],student_data[#All],5,0)&lt;6.5,"LOW","MEDIUM"))</f>
        <v>HIGH</v>
      </c>
    </row>
    <row r="225" spans="1:10" x14ac:dyDescent="0.2">
      <c r="A225" s="1" t="s">
        <v>234</v>
      </c>
      <c r="B225" s="1" t="str">
        <f>VLOOKUP(Table7[[#This Row],[Student_ID]],student_data[#All],2,0)</f>
        <v>Computer Science</v>
      </c>
      <c r="C225" s="1">
        <f>(VLOOKUP(Table7[[#This Row],[Student_ID]],student_data[],5,0)*5)+(VLOOKUP(Table7[[#This Row],[Student_ID]],student_data[],6,0)*3)+(VLOOKUP(Table7[[#This Row],[Student_ID]],student_skills[],6,0)*2)+(VLOOKUP(Table7[[#This Row],[Student_ID]],student_internships[],2,0)*5)</f>
        <v>53.7</v>
      </c>
      <c r="D225" s="1">
        <f>AVERAGE(VLOOKUP(Table7[[#This Row],[Student_ID]],student_skills[],3,0),VLOOKUP(Table7[[#This Row],[Student_ID]],student_skills[],4,0),VLOOKUP(Table7[[#This Row],[Student_ID]],student_skills[],5,0),VLOOKUP(Table7[[#This Row],[Student_ID]],student_skills[],6,0))</f>
        <v>5.5</v>
      </c>
      <c r="E225" s="1" t="str">
        <f>IF(VLOOKUP(Table7[[#This Row],[Student_ID]],student_internships[#All],2,0)&gt;1,"EXPERIENCED",IF(VLOOKUP(Table7[[#This Row],[Student_ID]],student_internships[#All],2,0)=1,"BEGINNER","NOT EXPERIENCED"))</f>
        <v>BEGINNER</v>
      </c>
      <c r="F225" s="1">
        <f>VLOOKUP(Table7[[#This Row],[Student_ID]],student_data[],5,0)</f>
        <v>7.34</v>
      </c>
      <c r="G225" s="1">
        <f>VLOOKUP(Table7[[#This Row],[Student_ID]],student_data[#All],6,0)</f>
        <v>0</v>
      </c>
      <c r="H225" s="1">
        <f>VLOOKUP(Table7[[#This Row],[Student_ID]],student_internships[],2,0)</f>
        <v>1</v>
      </c>
      <c r="I225" s="1">
        <f>VLOOKUP(Table7[[#This Row],[Student_ID]],Placements!A225:E1224,5,0)</f>
        <v>5.33</v>
      </c>
      <c r="J225" s="1" t="str">
        <f>IF(VLOOKUP(Table7[[#This Row],[Student_ID]],student_data[#All],5,0)&gt;8,"HIGH",IF(VLOOKUP(Table7[[#This Row],[Student_ID]],student_data[#All],5,0)&lt;6.5,"LOW","MEDIUM"))</f>
        <v>MEDIUM</v>
      </c>
    </row>
    <row r="226" spans="1:10" x14ac:dyDescent="0.2">
      <c r="A226" s="1" t="s">
        <v>235</v>
      </c>
      <c r="B226" s="1" t="str">
        <f>VLOOKUP(Table7[[#This Row],[Student_ID]],student_data[#All],2,0)</f>
        <v>Mechanical</v>
      </c>
      <c r="C226" s="1">
        <f>(VLOOKUP(Table7[[#This Row],[Student_ID]],student_data[],5,0)*5)+(VLOOKUP(Table7[[#This Row],[Student_ID]],student_data[],6,0)*3)+(VLOOKUP(Table7[[#This Row],[Student_ID]],student_skills[],6,0)*2)+(VLOOKUP(Table7[[#This Row],[Student_ID]],student_internships[],2,0)*5)</f>
        <v>51.5</v>
      </c>
      <c r="D226" s="1">
        <f>AVERAGE(VLOOKUP(Table7[[#This Row],[Student_ID]],student_skills[],3,0),VLOOKUP(Table7[[#This Row],[Student_ID]],student_skills[],4,0),VLOOKUP(Table7[[#This Row],[Student_ID]],student_skills[],5,0),VLOOKUP(Table7[[#This Row],[Student_ID]],student_skills[],6,0))</f>
        <v>4</v>
      </c>
      <c r="E226" s="1" t="str">
        <f>IF(VLOOKUP(Table7[[#This Row],[Student_ID]],student_internships[#All],2,0)&gt;1,"EXPERIENCED",IF(VLOOKUP(Table7[[#This Row],[Student_ID]],student_internships[#All],2,0)=1,"BEGINNER","NOT EXPERIENCED"))</f>
        <v>NOT EXPERIENCED</v>
      </c>
      <c r="F226" s="1">
        <f>VLOOKUP(Table7[[#This Row],[Student_ID]],student_data[],5,0)</f>
        <v>7.9</v>
      </c>
      <c r="G226" s="1">
        <f>VLOOKUP(Table7[[#This Row],[Student_ID]],student_data[#All],6,0)</f>
        <v>2</v>
      </c>
      <c r="H226" s="1">
        <f>VLOOKUP(Table7[[#This Row],[Student_ID]],student_internships[],2,0)</f>
        <v>0</v>
      </c>
      <c r="I226" s="1">
        <f>VLOOKUP(Table7[[#This Row],[Student_ID]],Placements!A226:E1225,5,0)</f>
        <v>0</v>
      </c>
      <c r="J226" s="1" t="str">
        <f>IF(VLOOKUP(Table7[[#This Row],[Student_ID]],student_data[#All],5,0)&gt;8,"HIGH",IF(VLOOKUP(Table7[[#This Row],[Student_ID]],student_data[#All],5,0)&lt;6.5,"LOW","MEDIUM"))</f>
        <v>MEDIUM</v>
      </c>
    </row>
    <row r="227" spans="1:10" x14ac:dyDescent="0.2">
      <c r="A227" s="1" t="s">
        <v>236</v>
      </c>
      <c r="B227" s="1" t="str">
        <f>VLOOKUP(Table7[[#This Row],[Student_ID]],student_data[#All],2,0)</f>
        <v>Civil</v>
      </c>
      <c r="C227" s="1">
        <f>(VLOOKUP(Table7[[#This Row],[Student_ID]],student_data[],5,0)*5)+(VLOOKUP(Table7[[#This Row],[Student_ID]],student_data[],6,0)*3)+(VLOOKUP(Table7[[#This Row],[Student_ID]],student_skills[],6,0)*2)+(VLOOKUP(Table7[[#This Row],[Student_ID]],student_internships[],2,0)*5)</f>
        <v>60.15</v>
      </c>
      <c r="D227" s="1">
        <f>AVERAGE(VLOOKUP(Table7[[#This Row],[Student_ID]],student_skills[],3,0),VLOOKUP(Table7[[#This Row],[Student_ID]],student_skills[],4,0),VLOOKUP(Table7[[#This Row],[Student_ID]],student_skills[],5,0),VLOOKUP(Table7[[#This Row],[Student_ID]],student_skills[],6,0))</f>
        <v>3.5</v>
      </c>
      <c r="E227" s="1" t="str">
        <f>IF(VLOOKUP(Table7[[#This Row],[Student_ID]],student_internships[#All],2,0)&gt;1,"EXPERIENCED",IF(VLOOKUP(Table7[[#This Row],[Student_ID]],student_internships[#All],2,0)=1,"BEGINNER","NOT EXPERIENCED"))</f>
        <v>BEGINNER</v>
      </c>
      <c r="F227" s="1">
        <f>VLOOKUP(Table7[[#This Row],[Student_ID]],student_data[],5,0)</f>
        <v>5.43</v>
      </c>
      <c r="G227" s="1">
        <f>VLOOKUP(Table7[[#This Row],[Student_ID]],student_data[#All],6,0)</f>
        <v>4</v>
      </c>
      <c r="H227" s="1">
        <f>VLOOKUP(Table7[[#This Row],[Student_ID]],student_internships[],2,0)</f>
        <v>1</v>
      </c>
      <c r="I227" s="1">
        <f>VLOOKUP(Table7[[#This Row],[Student_ID]],Placements!A227:E1226,5,0)</f>
        <v>0</v>
      </c>
      <c r="J227" s="1" t="str">
        <f>IF(VLOOKUP(Table7[[#This Row],[Student_ID]],student_data[#All],5,0)&gt;8,"HIGH",IF(VLOOKUP(Table7[[#This Row],[Student_ID]],student_data[#All],5,0)&lt;6.5,"LOW","MEDIUM"))</f>
        <v>LOW</v>
      </c>
    </row>
    <row r="228" spans="1:10" x14ac:dyDescent="0.2">
      <c r="A228" s="1" t="s">
        <v>237</v>
      </c>
      <c r="B228" s="1" t="str">
        <f>VLOOKUP(Table7[[#This Row],[Student_ID]],student_data[#All],2,0)</f>
        <v>Computer Science</v>
      </c>
      <c r="C228" s="1">
        <f>(VLOOKUP(Table7[[#This Row],[Student_ID]],student_data[],5,0)*5)+(VLOOKUP(Table7[[#This Row],[Student_ID]],student_data[],6,0)*3)+(VLOOKUP(Table7[[#This Row],[Student_ID]],student_skills[],6,0)*2)+(VLOOKUP(Table7[[#This Row],[Student_ID]],student_internships[],2,0)*5)</f>
        <v>44.099999999999994</v>
      </c>
      <c r="D228" s="1">
        <f>AVERAGE(VLOOKUP(Table7[[#This Row],[Student_ID]],student_skills[],3,0),VLOOKUP(Table7[[#This Row],[Student_ID]],student_skills[],4,0),VLOOKUP(Table7[[#This Row],[Student_ID]],student_skills[],5,0),VLOOKUP(Table7[[#This Row],[Student_ID]],student_skills[],6,0))</f>
        <v>5</v>
      </c>
      <c r="E228" s="1" t="str">
        <f>IF(VLOOKUP(Table7[[#This Row],[Student_ID]],student_internships[#All],2,0)&gt;1,"EXPERIENCED",IF(VLOOKUP(Table7[[#This Row],[Student_ID]],student_internships[#All],2,0)=1,"BEGINNER","NOT EXPERIENCED"))</f>
        <v>NOT EXPERIENCED</v>
      </c>
      <c r="F228" s="1">
        <f>VLOOKUP(Table7[[#This Row],[Student_ID]],student_data[],5,0)</f>
        <v>5.22</v>
      </c>
      <c r="G228" s="1">
        <f>VLOOKUP(Table7[[#This Row],[Student_ID]],student_data[#All],6,0)</f>
        <v>4</v>
      </c>
      <c r="H228" s="1">
        <f>VLOOKUP(Table7[[#This Row],[Student_ID]],student_internships[],2,0)</f>
        <v>0</v>
      </c>
      <c r="I228" s="1">
        <f>VLOOKUP(Table7[[#This Row],[Student_ID]],Placements!A228:E1227,5,0)</f>
        <v>13.25</v>
      </c>
      <c r="J228" s="1" t="str">
        <f>IF(VLOOKUP(Table7[[#This Row],[Student_ID]],student_data[#All],5,0)&gt;8,"HIGH",IF(VLOOKUP(Table7[[#This Row],[Student_ID]],student_data[#All],5,0)&lt;6.5,"LOW","MEDIUM"))</f>
        <v>LOW</v>
      </c>
    </row>
    <row r="229" spans="1:10" x14ac:dyDescent="0.2">
      <c r="A229" s="1" t="s">
        <v>238</v>
      </c>
      <c r="B229" s="1" t="str">
        <f>VLOOKUP(Table7[[#This Row],[Student_ID]],student_data[#All],2,0)</f>
        <v>Computer Science</v>
      </c>
      <c r="C229" s="1">
        <f>(VLOOKUP(Table7[[#This Row],[Student_ID]],student_data[],5,0)*5)+(VLOOKUP(Table7[[#This Row],[Student_ID]],student_data[],6,0)*3)+(VLOOKUP(Table7[[#This Row],[Student_ID]],student_skills[],6,0)*2)+(VLOOKUP(Table7[[#This Row],[Student_ID]],student_internships[],2,0)*5)</f>
        <v>60.65</v>
      </c>
      <c r="D229" s="1">
        <f>AVERAGE(VLOOKUP(Table7[[#This Row],[Student_ID]],student_skills[],3,0),VLOOKUP(Table7[[#This Row],[Student_ID]],student_skills[],4,0),VLOOKUP(Table7[[#This Row],[Student_ID]],student_skills[],5,0),VLOOKUP(Table7[[#This Row],[Student_ID]],student_skills[],6,0))</f>
        <v>5</v>
      </c>
      <c r="E229" s="1" t="str">
        <f>IF(VLOOKUP(Table7[[#This Row],[Student_ID]],student_internships[#All],2,0)&gt;1,"EXPERIENCED",IF(VLOOKUP(Table7[[#This Row],[Student_ID]],student_internships[#All],2,0)=1,"BEGINNER","NOT EXPERIENCED"))</f>
        <v>NOT EXPERIENCED</v>
      </c>
      <c r="F229" s="1">
        <f>VLOOKUP(Table7[[#This Row],[Student_ID]],student_data[],5,0)</f>
        <v>8.33</v>
      </c>
      <c r="G229" s="1">
        <f>VLOOKUP(Table7[[#This Row],[Student_ID]],student_data[#All],6,0)</f>
        <v>5</v>
      </c>
      <c r="H229" s="1">
        <f>VLOOKUP(Table7[[#This Row],[Student_ID]],student_internships[],2,0)</f>
        <v>0</v>
      </c>
      <c r="I229" s="1">
        <f>VLOOKUP(Table7[[#This Row],[Student_ID]],Placements!A229:E1228,5,0)</f>
        <v>6.59</v>
      </c>
      <c r="J229" s="1" t="str">
        <f>IF(VLOOKUP(Table7[[#This Row],[Student_ID]],student_data[#All],5,0)&gt;8,"HIGH",IF(VLOOKUP(Table7[[#This Row],[Student_ID]],student_data[#All],5,0)&lt;6.5,"LOW","MEDIUM"))</f>
        <v>HIGH</v>
      </c>
    </row>
    <row r="230" spans="1:10" x14ac:dyDescent="0.2">
      <c r="A230" s="1" t="s">
        <v>239</v>
      </c>
      <c r="B230" s="1" t="str">
        <f>VLOOKUP(Table7[[#This Row],[Student_ID]],student_data[#All],2,0)</f>
        <v>Electronics</v>
      </c>
      <c r="C230" s="1">
        <f>(VLOOKUP(Table7[[#This Row],[Student_ID]],student_data[],5,0)*5)+(VLOOKUP(Table7[[#This Row],[Student_ID]],student_data[],6,0)*3)+(VLOOKUP(Table7[[#This Row],[Student_ID]],student_skills[],6,0)*2)+(VLOOKUP(Table7[[#This Row],[Student_ID]],student_internships[],2,0)*5)</f>
        <v>75.599999999999994</v>
      </c>
      <c r="D230" s="1">
        <f>AVERAGE(VLOOKUP(Table7[[#This Row],[Student_ID]],student_skills[],3,0),VLOOKUP(Table7[[#This Row],[Student_ID]],student_skills[],4,0),VLOOKUP(Table7[[#This Row],[Student_ID]],student_skills[],5,0),VLOOKUP(Table7[[#This Row],[Student_ID]],student_skills[],6,0))</f>
        <v>4</v>
      </c>
      <c r="E230" s="1" t="str">
        <f>IF(VLOOKUP(Table7[[#This Row],[Student_ID]],student_internships[#All],2,0)&gt;1,"EXPERIENCED",IF(VLOOKUP(Table7[[#This Row],[Student_ID]],student_internships[#All],2,0)=1,"BEGINNER","NOT EXPERIENCED"))</f>
        <v>EXPERIENCED</v>
      </c>
      <c r="F230" s="1">
        <f>VLOOKUP(Table7[[#This Row],[Student_ID]],student_data[],5,0)</f>
        <v>9.1199999999999992</v>
      </c>
      <c r="G230" s="1">
        <f>VLOOKUP(Table7[[#This Row],[Student_ID]],student_data[#All],6,0)</f>
        <v>3</v>
      </c>
      <c r="H230" s="1">
        <f>VLOOKUP(Table7[[#This Row],[Student_ID]],student_internships[],2,0)</f>
        <v>3</v>
      </c>
      <c r="I230" s="1">
        <f>VLOOKUP(Table7[[#This Row],[Student_ID]],Placements!A230:E1229,5,0)</f>
        <v>4.8899999999999997</v>
      </c>
      <c r="J230" s="1" t="str">
        <f>IF(VLOOKUP(Table7[[#This Row],[Student_ID]],student_data[#All],5,0)&gt;8,"HIGH",IF(VLOOKUP(Table7[[#This Row],[Student_ID]],student_data[#All],5,0)&lt;6.5,"LOW","MEDIUM"))</f>
        <v>HIGH</v>
      </c>
    </row>
    <row r="231" spans="1:10" x14ac:dyDescent="0.2">
      <c r="A231" s="1" t="s">
        <v>240</v>
      </c>
      <c r="B231" s="1" t="str">
        <f>VLOOKUP(Table7[[#This Row],[Student_ID]],student_data[#All],2,0)</f>
        <v>Electronics</v>
      </c>
      <c r="C231" s="1">
        <f>(VLOOKUP(Table7[[#This Row],[Student_ID]],student_data[],5,0)*5)+(VLOOKUP(Table7[[#This Row],[Student_ID]],student_data[],6,0)*3)+(VLOOKUP(Table7[[#This Row],[Student_ID]],student_skills[],6,0)*2)+(VLOOKUP(Table7[[#This Row],[Student_ID]],student_internships[],2,0)*5)</f>
        <v>61.55</v>
      </c>
      <c r="D231" s="1">
        <f>AVERAGE(VLOOKUP(Table7[[#This Row],[Student_ID]],student_skills[],3,0),VLOOKUP(Table7[[#This Row],[Student_ID]],student_skills[],4,0),VLOOKUP(Table7[[#This Row],[Student_ID]],student_skills[],5,0),VLOOKUP(Table7[[#This Row],[Student_ID]],student_skills[],6,0))</f>
        <v>7</v>
      </c>
      <c r="E231" s="1" t="str">
        <f>IF(VLOOKUP(Table7[[#This Row],[Student_ID]],student_internships[#All],2,0)&gt;1,"EXPERIENCED",IF(VLOOKUP(Table7[[#This Row],[Student_ID]],student_internships[#All],2,0)=1,"BEGINNER","NOT EXPERIENCED"))</f>
        <v>BEGINNER</v>
      </c>
      <c r="F231" s="1">
        <f>VLOOKUP(Table7[[#This Row],[Student_ID]],student_data[],5,0)</f>
        <v>8.91</v>
      </c>
      <c r="G231" s="1">
        <f>VLOOKUP(Table7[[#This Row],[Student_ID]],student_data[#All],6,0)</f>
        <v>0</v>
      </c>
      <c r="H231" s="1">
        <f>VLOOKUP(Table7[[#This Row],[Student_ID]],student_internships[],2,0)</f>
        <v>1</v>
      </c>
      <c r="I231" s="1">
        <f>VLOOKUP(Table7[[#This Row],[Student_ID]],Placements!A231:E1230,5,0)</f>
        <v>4.32</v>
      </c>
      <c r="J231" s="1" t="str">
        <f>IF(VLOOKUP(Table7[[#This Row],[Student_ID]],student_data[#All],5,0)&gt;8,"HIGH",IF(VLOOKUP(Table7[[#This Row],[Student_ID]],student_data[#All],5,0)&lt;6.5,"LOW","MEDIUM"))</f>
        <v>HIGH</v>
      </c>
    </row>
    <row r="232" spans="1:10" x14ac:dyDescent="0.2">
      <c r="A232" s="1" t="s">
        <v>241</v>
      </c>
      <c r="B232" s="1" t="str">
        <f>VLOOKUP(Table7[[#This Row],[Student_ID]],student_data[#All],2,0)</f>
        <v>Mechanical</v>
      </c>
      <c r="C232" s="1">
        <f>(VLOOKUP(Table7[[#This Row],[Student_ID]],student_data[],5,0)*5)+(VLOOKUP(Table7[[#This Row],[Student_ID]],student_data[],6,0)*3)+(VLOOKUP(Table7[[#This Row],[Student_ID]],student_skills[],6,0)*2)+(VLOOKUP(Table7[[#This Row],[Student_ID]],student_internships[],2,0)*5)</f>
        <v>52.6</v>
      </c>
      <c r="D232" s="1">
        <f>AVERAGE(VLOOKUP(Table7[[#This Row],[Student_ID]],student_skills[],3,0),VLOOKUP(Table7[[#This Row],[Student_ID]],student_skills[],4,0),VLOOKUP(Table7[[#This Row],[Student_ID]],student_skills[],5,0),VLOOKUP(Table7[[#This Row],[Student_ID]],student_skills[],6,0))</f>
        <v>6.75</v>
      </c>
      <c r="E232" s="1" t="str">
        <f>IF(VLOOKUP(Table7[[#This Row],[Student_ID]],student_internships[#All],2,0)&gt;1,"EXPERIENCED",IF(VLOOKUP(Table7[[#This Row],[Student_ID]],student_internships[#All],2,0)=1,"BEGINNER","NOT EXPERIENCED"))</f>
        <v>EXPERIENCED</v>
      </c>
      <c r="F232" s="1">
        <f>VLOOKUP(Table7[[#This Row],[Student_ID]],student_data[],5,0)</f>
        <v>7.72</v>
      </c>
      <c r="G232" s="1">
        <f>VLOOKUP(Table7[[#This Row],[Student_ID]],student_data[#All],6,0)</f>
        <v>0</v>
      </c>
      <c r="H232" s="1">
        <f>VLOOKUP(Table7[[#This Row],[Student_ID]],student_internships[],2,0)</f>
        <v>2</v>
      </c>
      <c r="I232" s="1">
        <f>VLOOKUP(Table7[[#This Row],[Student_ID]],Placements!A232:E1231,5,0)</f>
        <v>3.87</v>
      </c>
      <c r="J232" s="1" t="str">
        <f>IF(VLOOKUP(Table7[[#This Row],[Student_ID]],student_data[#All],5,0)&gt;8,"HIGH",IF(VLOOKUP(Table7[[#This Row],[Student_ID]],student_data[#All],5,0)&lt;6.5,"LOW","MEDIUM"))</f>
        <v>MEDIUM</v>
      </c>
    </row>
    <row r="233" spans="1:10" x14ac:dyDescent="0.2">
      <c r="A233" s="1" t="s">
        <v>242</v>
      </c>
      <c r="B233" s="1" t="str">
        <f>VLOOKUP(Table7[[#This Row],[Student_ID]],student_data[#All],2,0)</f>
        <v>Civil</v>
      </c>
      <c r="C233" s="1">
        <f>(VLOOKUP(Table7[[#This Row],[Student_ID]],student_data[],5,0)*5)+(VLOOKUP(Table7[[#This Row],[Student_ID]],student_data[],6,0)*3)+(VLOOKUP(Table7[[#This Row],[Student_ID]],student_skills[],6,0)*2)+(VLOOKUP(Table7[[#This Row],[Student_ID]],student_internships[],2,0)*5)</f>
        <v>63.5</v>
      </c>
      <c r="D233" s="1">
        <f>AVERAGE(VLOOKUP(Table7[[#This Row],[Student_ID]],student_skills[],3,0),VLOOKUP(Table7[[#This Row],[Student_ID]],student_skills[],4,0),VLOOKUP(Table7[[#This Row],[Student_ID]],student_skills[],5,0),VLOOKUP(Table7[[#This Row],[Student_ID]],student_skills[],6,0))</f>
        <v>7.25</v>
      </c>
      <c r="E233" s="1" t="str">
        <f>IF(VLOOKUP(Table7[[#This Row],[Student_ID]],student_internships[#All],2,0)&gt;1,"EXPERIENCED",IF(VLOOKUP(Table7[[#This Row],[Student_ID]],student_internships[#All],2,0)=1,"BEGINNER","NOT EXPERIENCED"))</f>
        <v>BEGINNER</v>
      </c>
      <c r="F233" s="1">
        <f>VLOOKUP(Table7[[#This Row],[Student_ID]],student_data[],5,0)</f>
        <v>5.5</v>
      </c>
      <c r="G233" s="1">
        <f>VLOOKUP(Table7[[#This Row],[Student_ID]],student_data[#All],6,0)</f>
        <v>5</v>
      </c>
      <c r="H233" s="1">
        <f>VLOOKUP(Table7[[#This Row],[Student_ID]],student_internships[],2,0)</f>
        <v>1</v>
      </c>
      <c r="I233" s="1">
        <f>VLOOKUP(Table7[[#This Row],[Student_ID]],Placements!A233:E1232,5,0)</f>
        <v>6.92</v>
      </c>
      <c r="J233" s="1" t="str">
        <f>IF(VLOOKUP(Table7[[#This Row],[Student_ID]],student_data[#All],5,0)&gt;8,"HIGH",IF(VLOOKUP(Table7[[#This Row],[Student_ID]],student_data[#All],5,0)&lt;6.5,"LOW","MEDIUM"))</f>
        <v>LOW</v>
      </c>
    </row>
    <row r="234" spans="1:10" x14ac:dyDescent="0.2">
      <c r="A234" s="1" t="s">
        <v>243</v>
      </c>
      <c r="B234" s="1" t="str">
        <f>VLOOKUP(Table7[[#This Row],[Student_ID]],student_data[#All],2,0)</f>
        <v>Electronics</v>
      </c>
      <c r="C234" s="1">
        <f>(VLOOKUP(Table7[[#This Row],[Student_ID]],student_data[],5,0)*5)+(VLOOKUP(Table7[[#This Row],[Student_ID]],student_data[],6,0)*3)+(VLOOKUP(Table7[[#This Row],[Student_ID]],student_skills[],6,0)*2)+(VLOOKUP(Table7[[#This Row],[Student_ID]],student_internships[],2,0)*5)</f>
        <v>66.199999999999989</v>
      </c>
      <c r="D234" s="1">
        <f>AVERAGE(VLOOKUP(Table7[[#This Row],[Student_ID]],student_skills[],3,0),VLOOKUP(Table7[[#This Row],[Student_ID]],student_skills[],4,0),VLOOKUP(Table7[[#This Row],[Student_ID]],student_skills[],5,0),VLOOKUP(Table7[[#This Row],[Student_ID]],student_skills[],6,0))</f>
        <v>2.75</v>
      </c>
      <c r="E234" s="1" t="str">
        <f>IF(VLOOKUP(Table7[[#This Row],[Student_ID]],student_internships[#All],2,0)&gt;1,"EXPERIENCED",IF(VLOOKUP(Table7[[#This Row],[Student_ID]],student_internships[#All],2,0)=1,"BEGINNER","NOT EXPERIENCED"))</f>
        <v>EXPERIENCED</v>
      </c>
      <c r="F234" s="1">
        <f>VLOOKUP(Table7[[#This Row],[Student_ID]],student_data[],5,0)</f>
        <v>8.44</v>
      </c>
      <c r="G234" s="1">
        <f>VLOOKUP(Table7[[#This Row],[Student_ID]],student_data[#All],6,0)</f>
        <v>4</v>
      </c>
      <c r="H234" s="1">
        <f>VLOOKUP(Table7[[#This Row],[Student_ID]],student_internships[],2,0)</f>
        <v>2</v>
      </c>
      <c r="I234" s="1">
        <f>VLOOKUP(Table7[[#This Row],[Student_ID]],Placements!A234:E1233,5,0)</f>
        <v>5.94</v>
      </c>
      <c r="J234" s="1" t="str">
        <f>IF(VLOOKUP(Table7[[#This Row],[Student_ID]],student_data[#All],5,0)&gt;8,"HIGH",IF(VLOOKUP(Table7[[#This Row],[Student_ID]],student_data[#All],5,0)&lt;6.5,"LOW","MEDIUM"))</f>
        <v>HIGH</v>
      </c>
    </row>
    <row r="235" spans="1:10" x14ac:dyDescent="0.2">
      <c r="A235" s="1" t="s">
        <v>244</v>
      </c>
      <c r="B235" s="1" t="str">
        <f>VLOOKUP(Table7[[#This Row],[Student_ID]],student_data[#All],2,0)</f>
        <v>Computer Science</v>
      </c>
      <c r="C235" s="1">
        <f>(VLOOKUP(Table7[[#This Row],[Student_ID]],student_data[],5,0)*5)+(VLOOKUP(Table7[[#This Row],[Student_ID]],student_data[],6,0)*3)+(VLOOKUP(Table7[[#This Row],[Student_ID]],student_skills[],6,0)*2)+(VLOOKUP(Table7[[#This Row],[Student_ID]],student_internships[],2,0)*5)</f>
        <v>53.05</v>
      </c>
      <c r="D235" s="1">
        <f>AVERAGE(VLOOKUP(Table7[[#This Row],[Student_ID]],student_skills[],3,0),VLOOKUP(Table7[[#This Row],[Student_ID]],student_skills[],4,0),VLOOKUP(Table7[[#This Row],[Student_ID]],student_skills[],5,0),VLOOKUP(Table7[[#This Row],[Student_ID]],student_skills[],6,0))</f>
        <v>3.25</v>
      </c>
      <c r="E235" s="1" t="str">
        <f>IF(VLOOKUP(Table7[[#This Row],[Student_ID]],student_internships[#All],2,0)&gt;1,"EXPERIENCED",IF(VLOOKUP(Table7[[#This Row],[Student_ID]],student_internships[#All],2,0)=1,"BEGINNER","NOT EXPERIENCED"))</f>
        <v>BEGINNER</v>
      </c>
      <c r="F235" s="1">
        <f>VLOOKUP(Table7[[#This Row],[Student_ID]],student_data[],5,0)</f>
        <v>6.21</v>
      </c>
      <c r="G235" s="1">
        <f>VLOOKUP(Table7[[#This Row],[Student_ID]],student_data[#All],6,0)</f>
        <v>1</v>
      </c>
      <c r="H235" s="1">
        <f>VLOOKUP(Table7[[#This Row],[Student_ID]],student_internships[],2,0)</f>
        <v>1</v>
      </c>
      <c r="I235" s="1">
        <f>VLOOKUP(Table7[[#This Row],[Student_ID]],Placements!A235:E1234,5,0)</f>
        <v>4.71</v>
      </c>
      <c r="J235" s="1" t="str">
        <f>IF(VLOOKUP(Table7[[#This Row],[Student_ID]],student_data[#All],5,0)&gt;8,"HIGH",IF(VLOOKUP(Table7[[#This Row],[Student_ID]],student_data[#All],5,0)&lt;6.5,"LOW","MEDIUM"))</f>
        <v>LOW</v>
      </c>
    </row>
    <row r="236" spans="1:10" x14ac:dyDescent="0.2">
      <c r="A236" s="1" t="s">
        <v>245</v>
      </c>
      <c r="B236" s="1" t="str">
        <f>VLOOKUP(Table7[[#This Row],[Student_ID]],student_data[#All],2,0)</f>
        <v>Civil</v>
      </c>
      <c r="C236" s="1">
        <f>(VLOOKUP(Table7[[#This Row],[Student_ID]],student_data[],5,0)*5)+(VLOOKUP(Table7[[#This Row],[Student_ID]],student_data[],6,0)*3)+(VLOOKUP(Table7[[#This Row],[Student_ID]],student_skills[],6,0)*2)+(VLOOKUP(Table7[[#This Row],[Student_ID]],student_internships[],2,0)*5)</f>
        <v>65.800000000000011</v>
      </c>
      <c r="D236" s="1">
        <f>AVERAGE(VLOOKUP(Table7[[#This Row],[Student_ID]],student_skills[],3,0),VLOOKUP(Table7[[#This Row],[Student_ID]],student_skills[],4,0),VLOOKUP(Table7[[#This Row],[Student_ID]],student_skills[],5,0),VLOOKUP(Table7[[#This Row],[Student_ID]],student_skills[],6,0))</f>
        <v>3.25</v>
      </c>
      <c r="E236" s="1" t="str">
        <f>IF(VLOOKUP(Table7[[#This Row],[Student_ID]],student_internships[#All],2,0)&gt;1,"EXPERIENCED",IF(VLOOKUP(Table7[[#This Row],[Student_ID]],student_internships[#All],2,0)=1,"BEGINNER","NOT EXPERIENCED"))</f>
        <v>BEGINNER</v>
      </c>
      <c r="F236" s="1">
        <f>VLOOKUP(Table7[[#This Row],[Student_ID]],student_data[],5,0)</f>
        <v>9.56</v>
      </c>
      <c r="G236" s="1">
        <f>VLOOKUP(Table7[[#This Row],[Student_ID]],student_data[#All],6,0)</f>
        <v>3</v>
      </c>
      <c r="H236" s="1">
        <f>VLOOKUP(Table7[[#This Row],[Student_ID]],student_internships[],2,0)</f>
        <v>1</v>
      </c>
      <c r="I236" s="1">
        <f>VLOOKUP(Table7[[#This Row],[Student_ID]],Placements!A236:E1235,5,0)</f>
        <v>6.03</v>
      </c>
      <c r="J236" s="1" t="str">
        <f>IF(VLOOKUP(Table7[[#This Row],[Student_ID]],student_data[#All],5,0)&gt;8,"HIGH",IF(VLOOKUP(Table7[[#This Row],[Student_ID]],student_data[#All],5,0)&lt;6.5,"LOW","MEDIUM"))</f>
        <v>HIGH</v>
      </c>
    </row>
    <row r="237" spans="1:10" x14ac:dyDescent="0.2">
      <c r="A237" s="1" t="s">
        <v>246</v>
      </c>
      <c r="B237" s="1" t="str">
        <f>VLOOKUP(Table7[[#This Row],[Student_ID]],student_data[#All],2,0)</f>
        <v>Civil</v>
      </c>
      <c r="C237" s="1">
        <f>(VLOOKUP(Table7[[#This Row],[Student_ID]],student_data[],5,0)*5)+(VLOOKUP(Table7[[#This Row],[Student_ID]],student_data[],6,0)*3)+(VLOOKUP(Table7[[#This Row],[Student_ID]],student_skills[],6,0)*2)+(VLOOKUP(Table7[[#This Row],[Student_ID]],student_internships[],2,0)*5)</f>
        <v>85.949999999999989</v>
      </c>
      <c r="D237" s="1">
        <f>AVERAGE(VLOOKUP(Table7[[#This Row],[Student_ID]],student_skills[],3,0),VLOOKUP(Table7[[#This Row],[Student_ID]],student_skills[],4,0),VLOOKUP(Table7[[#This Row],[Student_ID]],student_skills[],5,0),VLOOKUP(Table7[[#This Row],[Student_ID]],student_skills[],6,0))</f>
        <v>6.75</v>
      </c>
      <c r="E237" s="1" t="str">
        <f>IF(VLOOKUP(Table7[[#This Row],[Student_ID]],student_internships[#All],2,0)&gt;1,"EXPERIENCED",IF(VLOOKUP(Table7[[#This Row],[Student_ID]],student_internships[#All],2,0)=1,"BEGINNER","NOT EXPERIENCED"))</f>
        <v>BEGINNER</v>
      </c>
      <c r="F237" s="1">
        <f>VLOOKUP(Table7[[#This Row],[Student_ID]],student_data[],5,0)</f>
        <v>9.19</v>
      </c>
      <c r="G237" s="1">
        <f>VLOOKUP(Table7[[#This Row],[Student_ID]],student_data[#All],6,0)</f>
        <v>5</v>
      </c>
      <c r="H237" s="1">
        <f>VLOOKUP(Table7[[#This Row],[Student_ID]],student_internships[],2,0)</f>
        <v>1</v>
      </c>
      <c r="I237" s="1">
        <f>VLOOKUP(Table7[[#This Row],[Student_ID]],Placements!A237:E1236,5,0)</f>
        <v>0</v>
      </c>
      <c r="J237" s="1" t="str">
        <f>IF(VLOOKUP(Table7[[#This Row],[Student_ID]],student_data[#All],5,0)&gt;8,"HIGH",IF(VLOOKUP(Table7[[#This Row],[Student_ID]],student_data[#All],5,0)&lt;6.5,"LOW","MEDIUM"))</f>
        <v>HIGH</v>
      </c>
    </row>
    <row r="238" spans="1:10" x14ac:dyDescent="0.2">
      <c r="A238" s="1" t="s">
        <v>247</v>
      </c>
      <c r="B238" s="1" t="str">
        <f>VLOOKUP(Table7[[#This Row],[Student_ID]],student_data[#All],2,0)</f>
        <v>Computer Science</v>
      </c>
      <c r="C238" s="1">
        <f>(VLOOKUP(Table7[[#This Row],[Student_ID]],student_data[],5,0)*5)+(VLOOKUP(Table7[[#This Row],[Student_ID]],student_data[],6,0)*3)+(VLOOKUP(Table7[[#This Row],[Student_ID]],student_skills[],6,0)*2)+(VLOOKUP(Table7[[#This Row],[Student_ID]],student_internships[],2,0)*5)</f>
        <v>63.75</v>
      </c>
      <c r="D238" s="1">
        <f>AVERAGE(VLOOKUP(Table7[[#This Row],[Student_ID]],student_skills[],3,0),VLOOKUP(Table7[[#This Row],[Student_ID]],student_skills[],4,0),VLOOKUP(Table7[[#This Row],[Student_ID]],student_skills[],5,0),VLOOKUP(Table7[[#This Row],[Student_ID]],student_skills[],6,0))</f>
        <v>4.25</v>
      </c>
      <c r="E238" s="1" t="str">
        <f>IF(VLOOKUP(Table7[[#This Row],[Student_ID]],student_internships[#All],2,0)&gt;1,"EXPERIENCED",IF(VLOOKUP(Table7[[#This Row],[Student_ID]],student_internships[#All],2,0)=1,"BEGINNER","NOT EXPERIENCED"))</f>
        <v>NOT EXPERIENCED</v>
      </c>
      <c r="F238" s="1">
        <f>VLOOKUP(Table7[[#This Row],[Student_ID]],student_data[],5,0)</f>
        <v>8.5500000000000007</v>
      </c>
      <c r="G238" s="1">
        <f>VLOOKUP(Table7[[#This Row],[Student_ID]],student_data[#All],6,0)</f>
        <v>3</v>
      </c>
      <c r="H238" s="1">
        <f>VLOOKUP(Table7[[#This Row],[Student_ID]],student_internships[],2,0)</f>
        <v>0</v>
      </c>
      <c r="I238" s="1">
        <f>VLOOKUP(Table7[[#This Row],[Student_ID]],Placements!A238:E1237,5,0)</f>
        <v>4.17</v>
      </c>
      <c r="J238" s="1" t="str">
        <f>IF(VLOOKUP(Table7[[#This Row],[Student_ID]],student_data[#All],5,0)&gt;8,"HIGH",IF(VLOOKUP(Table7[[#This Row],[Student_ID]],student_data[#All],5,0)&lt;6.5,"LOW","MEDIUM"))</f>
        <v>HIGH</v>
      </c>
    </row>
    <row r="239" spans="1:10" x14ac:dyDescent="0.2">
      <c r="A239" s="1" t="s">
        <v>248</v>
      </c>
      <c r="B239" s="1" t="str">
        <f>VLOOKUP(Table7[[#This Row],[Student_ID]],student_data[#All],2,0)</f>
        <v>Electronics</v>
      </c>
      <c r="C239" s="1">
        <f>(VLOOKUP(Table7[[#This Row],[Student_ID]],student_data[],5,0)*5)+(VLOOKUP(Table7[[#This Row],[Student_ID]],student_data[],6,0)*3)+(VLOOKUP(Table7[[#This Row],[Student_ID]],student_skills[],6,0)*2)+(VLOOKUP(Table7[[#This Row],[Student_ID]],student_internships[],2,0)*5)</f>
        <v>74.7</v>
      </c>
      <c r="D239" s="1">
        <f>AVERAGE(VLOOKUP(Table7[[#This Row],[Student_ID]],student_skills[],3,0),VLOOKUP(Table7[[#This Row],[Student_ID]],student_skills[],4,0),VLOOKUP(Table7[[#This Row],[Student_ID]],student_skills[],5,0),VLOOKUP(Table7[[#This Row],[Student_ID]],student_skills[],6,0))</f>
        <v>5.5</v>
      </c>
      <c r="E239" s="1" t="str">
        <f>IF(VLOOKUP(Table7[[#This Row],[Student_ID]],student_internships[#All],2,0)&gt;1,"EXPERIENCED",IF(VLOOKUP(Table7[[#This Row],[Student_ID]],student_internships[#All],2,0)=1,"BEGINNER","NOT EXPERIENCED"))</f>
        <v>EXPERIENCED</v>
      </c>
      <c r="F239" s="1">
        <f>VLOOKUP(Table7[[#This Row],[Student_ID]],student_data[],5,0)</f>
        <v>9.74</v>
      </c>
      <c r="G239" s="1">
        <f>VLOOKUP(Table7[[#This Row],[Student_ID]],student_data[#All],6,0)</f>
        <v>4</v>
      </c>
      <c r="H239" s="1">
        <f>VLOOKUP(Table7[[#This Row],[Student_ID]],student_internships[],2,0)</f>
        <v>2</v>
      </c>
      <c r="I239" s="1">
        <f>VLOOKUP(Table7[[#This Row],[Student_ID]],Placements!A239:E1238,5,0)</f>
        <v>0</v>
      </c>
      <c r="J239" s="1" t="str">
        <f>IF(VLOOKUP(Table7[[#This Row],[Student_ID]],student_data[#All],5,0)&gt;8,"HIGH",IF(VLOOKUP(Table7[[#This Row],[Student_ID]],student_data[#All],5,0)&lt;6.5,"LOW","MEDIUM"))</f>
        <v>HIGH</v>
      </c>
    </row>
    <row r="240" spans="1:10" x14ac:dyDescent="0.2">
      <c r="A240" s="1" t="s">
        <v>249</v>
      </c>
      <c r="B240" s="1" t="str">
        <f>VLOOKUP(Table7[[#This Row],[Student_ID]],student_data[#All],2,0)</f>
        <v>Computer Science</v>
      </c>
      <c r="C240" s="1">
        <f>(VLOOKUP(Table7[[#This Row],[Student_ID]],student_data[],5,0)*5)+(VLOOKUP(Table7[[#This Row],[Student_ID]],student_data[],6,0)*3)+(VLOOKUP(Table7[[#This Row],[Student_ID]],student_skills[],6,0)*2)+(VLOOKUP(Table7[[#This Row],[Student_ID]],student_internships[],2,0)*5)</f>
        <v>41.8</v>
      </c>
      <c r="D240" s="1">
        <f>AVERAGE(VLOOKUP(Table7[[#This Row],[Student_ID]],student_skills[],3,0),VLOOKUP(Table7[[#This Row],[Student_ID]],student_skills[],4,0),VLOOKUP(Table7[[#This Row],[Student_ID]],student_skills[],5,0),VLOOKUP(Table7[[#This Row],[Student_ID]],student_skills[],6,0))</f>
        <v>3.75</v>
      </c>
      <c r="E240" s="1" t="str">
        <f>IF(VLOOKUP(Table7[[#This Row],[Student_ID]],student_internships[#All],2,0)&gt;1,"EXPERIENCED",IF(VLOOKUP(Table7[[#This Row],[Student_ID]],student_internships[#All],2,0)=1,"BEGINNER","NOT EXPERIENCED"))</f>
        <v>NOT EXPERIENCED</v>
      </c>
      <c r="F240" s="1">
        <f>VLOOKUP(Table7[[#This Row],[Student_ID]],student_data[],5,0)</f>
        <v>5.16</v>
      </c>
      <c r="G240" s="1">
        <f>VLOOKUP(Table7[[#This Row],[Student_ID]],student_data[#All],6,0)</f>
        <v>4</v>
      </c>
      <c r="H240" s="1">
        <f>VLOOKUP(Table7[[#This Row],[Student_ID]],student_internships[],2,0)</f>
        <v>0</v>
      </c>
      <c r="I240" s="1">
        <f>VLOOKUP(Table7[[#This Row],[Student_ID]],Placements!A240:E1239,5,0)</f>
        <v>6.01</v>
      </c>
      <c r="J240" s="1" t="str">
        <f>IF(VLOOKUP(Table7[[#This Row],[Student_ID]],student_data[#All],5,0)&gt;8,"HIGH",IF(VLOOKUP(Table7[[#This Row],[Student_ID]],student_data[#All],5,0)&lt;6.5,"LOW","MEDIUM"))</f>
        <v>LOW</v>
      </c>
    </row>
    <row r="241" spans="1:10" x14ac:dyDescent="0.2">
      <c r="A241" s="1" t="s">
        <v>250</v>
      </c>
      <c r="B241" s="1" t="str">
        <f>VLOOKUP(Table7[[#This Row],[Student_ID]],student_data[#All],2,0)</f>
        <v>Civil</v>
      </c>
      <c r="C241" s="1">
        <f>(VLOOKUP(Table7[[#This Row],[Student_ID]],student_data[],5,0)*5)+(VLOOKUP(Table7[[#This Row],[Student_ID]],student_data[],6,0)*3)+(VLOOKUP(Table7[[#This Row],[Student_ID]],student_skills[],6,0)*2)+(VLOOKUP(Table7[[#This Row],[Student_ID]],student_internships[],2,0)*5)</f>
        <v>66.400000000000006</v>
      </c>
      <c r="D241" s="1">
        <f>AVERAGE(VLOOKUP(Table7[[#This Row],[Student_ID]],student_skills[],3,0),VLOOKUP(Table7[[#This Row],[Student_ID]],student_skills[],4,0),VLOOKUP(Table7[[#This Row],[Student_ID]],student_skills[],5,0),VLOOKUP(Table7[[#This Row],[Student_ID]],student_skills[],6,0))</f>
        <v>8</v>
      </c>
      <c r="E241" s="1" t="str">
        <f>IF(VLOOKUP(Table7[[#This Row],[Student_ID]],student_internships[#All],2,0)&gt;1,"EXPERIENCED",IF(VLOOKUP(Table7[[#This Row],[Student_ID]],student_internships[#All],2,0)=1,"BEGINNER","NOT EXPERIENCED"))</f>
        <v>NOT EXPERIENCED</v>
      </c>
      <c r="F241" s="1">
        <f>VLOOKUP(Table7[[#This Row],[Student_ID]],student_data[],5,0)</f>
        <v>8.68</v>
      </c>
      <c r="G241" s="1">
        <f>VLOOKUP(Table7[[#This Row],[Student_ID]],student_data[#All],6,0)</f>
        <v>1</v>
      </c>
      <c r="H241" s="1">
        <f>VLOOKUP(Table7[[#This Row],[Student_ID]],student_internships[],2,0)</f>
        <v>0</v>
      </c>
      <c r="I241" s="1">
        <f>VLOOKUP(Table7[[#This Row],[Student_ID]],Placements!A241:E1240,5,0)</f>
        <v>0</v>
      </c>
      <c r="J241" s="1" t="str">
        <f>IF(VLOOKUP(Table7[[#This Row],[Student_ID]],student_data[#All],5,0)&gt;8,"HIGH",IF(VLOOKUP(Table7[[#This Row],[Student_ID]],student_data[#All],5,0)&lt;6.5,"LOW","MEDIUM"))</f>
        <v>HIGH</v>
      </c>
    </row>
    <row r="242" spans="1:10" x14ac:dyDescent="0.2">
      <c r="A242" s="1" t="s">
        <v>251</v>
      </c>
      <c r="B242" s="1" t="str">
        <f>VLOOKUP(Table7[[#This Row],[Student_ID]],student_data[#All],2,0)</f>
        <v>Information Technology</v>
      </c>
      <c r="C242" s="1">
        <f>(VLOOKUP(Table7[[#This Row],[Student_ID]],student_data[],5,0)*5)+(VLOOKUP(Table7[[#This Row],[Student_ID]],student_data[],6,0)*3)+(VLOOKUP(Table7[[#This Row],[Student_ID]],student_skills[],6,0)*2)+(VLOOKUP(Table7[[#This Row],[Student_ID]],student_internships[],2,0)*5)</f>
        <v>57.25</v>
      </c>
      <c r="D242" s="1">
        <f>AVERAGE(VLOOKUP(Table7[[#This Row],[Student_ID]],student_skills[],3,0),VLOOKUP(Table7[[#This Row],[Student_ID]],student_skills[],4,0),VLOOKUP(Table7[[#This Row],[Student_ID]],student_skills[],5,0),VLOOKUP(Table7[[#This Row],[Student_ID]],student_skills[],6,0))</f>
        <v>8.75</v>
      </c>
      <c r="E242" s="1" t="str">
        <f>IF(VLOOKUP(Table7[[#This Row],[Student_ID]],student_internships[#All],2,0)&gt;1,"EXPERIENCED",IF(VLOOKUP(Table7[[#This Row],[Student_ID]],student_internships[#All],2,0)=1,"BEGINNER","NOT EXPERIENCED"))</f>
        <v>BEGINNER</v>
      </c>
      <c r="F242" s="1">
        <f>VLOOKUP(Table7[[#This Row],[Student_ID]],student_data[],5,0)</f>
        <v>6.65</v>
      </c>
      <c r="G242" s="1">
        <f>VLOOKUP(Table7[[#This Row],[Student_ID]],student_data[#All],6,0)</f>
        <v>1</v>
      </c>
      <c r="H242" s="1">
        <f>VLOOKUP(Table7[[#This Row],[Student_ID]],student_internships[],2,0)</f>
        <v>1</v>
      </c>
      <c r="I242" s="1">
        <f>VLOOKUP(Table7[[#This Row],[Student_ID]],Placements!A242:E1241,5,0)</f>
        <v>3.89</v>
      </c>
      <c r="J242" s="1" t="str">
        <f>IF(VLOOKUP(Table7[[#This Row],[Student_ID]],student_data[#All],5,0)&gt;8,"HIGH",IF(VLOOKUP(Table7[[#This Row],[Student_ID]],student_data[#All],5,0)&lt;6.5,"LOW","MEDIUM"))</f>
        <v>MEDIUM</v>
      </c>
    </row>
    <row r="243" spans="1:10" x14ac:dyDescent="0.2">
      <c r="A243" s="1" t="s">
        <v>252</v>
      </c>
      <c r="B243" s="1" t="str">
        <f>VLOOKUP(Table7[[#This Row],[Student_ID]],student_data[#All],2,0)</f>
        <v>Information Technology</v>
      </c>
      <c r="C243" s="1">
        <f>(VLOOKUP(Table7[[#This Row],[Student_ID]],student_data[],5,0)*5)+(VLOOKUP(Table7[[#This Row],[Student_ID]],student_data[],6,0)*3)+(VLOOKUP(Table7[[#This Row],[Student_ID]],student_skills[],6,0)*2)+(VLOOKUP(Table7[[#This Row],[Student_ID]],student_internships[],2,0)*5)</f>
        <v>51.65</v>
      </c>
      <c r="D243" s="1">
        <f>AVERAGE(VLOOKUP(Table7[[#This Row],[Student_ID]],student_skills[],3,0),VLOOKUP(Table7[[#This Row],[Student_ID]],student_skills[],4,0),VLOOKUP(Table7[[#This Row],[Student_ID]],student_skills[],5,0),VLOOKUP(Table7[[#This Row],[Student_ID]],student_skills[],6,0))</f>
        <v>4</v>
      </c>
      <c r="E243" s="1" t="str">
        <f>IF(VLOOKUP(Table7[[#This Row],[Student_ID]],student_internships[#All],2,0)&gt;1,"EXPERIENCED",IF(VLOOKUP(Table7[[#This Row],[Student_ID]],student_internships[#All],2,0)=1,"BEGINNER","NOT EXPERIENCED"))</f>
        <v>NOT EXPERIENCED</v>
      </c>
      <c r="F243" s="1">
        <f>VLOOKUP(Table7[[#This Row],[Student_ID]],student_data[],5,0)</f>
        <v>9.5299999999999994</v>
      </c>
      <c r="G243" s="1">
        <f>VLOOKUP(Table7[[#This Row],[Student_ID]],student_data[#All],6,0)</f>
        <v>0</v>
      </c>
      <c r="H243" s="1">
        <f>VLOOKUP(Table7[[#This Row],[Student_ID]],student_internships[],2,0)</f>
        <v>0</v>
      </c>
      <c r="I243" s="1">
        <f>VLOOKUP(Table7[[#This Row],[Student_ID]],Placements!A243:E1242,5,0)</f>
        <v>5.75</v>
      </c>
      <c r="J243" s="1" t="str">
        <f>IF(VLOOKUP(Table7[[#This Row],[Student_ID]],student_data[#All],5,0)&gt;8,"HIGH",IF(VLOOKUP(Table7[[#This Row],[Student_ID]],student_data[#All],5,0)&lt;6.5,"LOW","MEDIUM"))</f>
        <v>HIGH</v>
      </c>
    </row>
    <row r="244" spans="1:10" x14ac:dyDescent="0.2">
      <c r="A244" s="1" t="s">
        <v>253</v>
      </c>
      <c r="B244" s="1" t="str">
        <f>VLOOKUP(Table7[[#This Row],[Student_ID]],student_data[#All],2,0)</f>
        <v>Mechanical</v>
      </c>
      <c r="C244" s="1">
        <f>(VLOOKUP(Table7[[#This Row],[Student_ID]],student_data[],5,0)*5)+(VLOOKUP(Table7[[#This Row],[Student_ID]],student_data[],6,0)*3)+(VLOOKUP(Table7[[#This Row],[Student_ID]],student_skills[],6,0)*2)+(VLOOKUP(Table7[[#This Row],[Student_ID]],student_internships[],2,0)*5)</f>
        <v>69.650000000000006</v>
      </c>
      <c r="D244" s="1">
        <f>AVERAGE(VLOOKUP(Table7[[#This Row],[Student_ID]],student_skills[],3,0),VLOOKUP(Table7[[#This Row],[Student_ID]],student_skills[],4,0),VLOOKUP(Table7[[#This Row],[Student_ID]],student_skills[],5,0),VLOOKUP(Table7[[#This Row],[Student_ID]],student_skills[],6,0))</f>
        <v>6.5</v>
      </c>
      <c r="E244" s="1" t="str">
        <f>IF(VLOOKUP(Table7[[#This Row],[Student_ID]],student_internships[#All],2,0)&gt;1,"EXPERIENCED",IF(VLOOKUP(Table7[[#This Row],[Student_ID]],student_internships[#All],2,0)=1,"BEGINNER","NOT EXPERIENCED"))</f>
        <v>EXPERIENCED</v>
      </c>
      <c r="F244" s="1">
        <f>VLOOKUP(Table7[[#This Row],[Student_ID]],student_data[],5,0)</f>
        <v>6.33</v>
      </c>
      <c r="G244" s="1">
        <f>VLOOKUP(Table7[[#This Row],[Student_ID]],student_data[#All],6,0)</f>
        <v>3</v>
      </c>
      <c r="H244" s="1">
        <f>VLOOKUP(Table7[[#This Row],[Student_ID]],student_internships[],2,0)</f>
        <v>3</v>
      </c>
      <c r="I244" s="1">
        <f>VLOOKUP(Table7[[#This Row],[Student_ID]],Placements!A244:E1243,5,0)</f>
        <v>10.6</v>
      </c>
      <c r="J244" s="1" t="str">
        <f>IF(VLOOKUP(Table7[[#This Row],[Student_ID]],student_data[#All],5,0)&gt;8,"HIGH",IF(VLOOKUP(Table7[[#This Row],[Student_ID]],student_data[#All],5,0)&lt;6.5,"LOW","MEDIUM"))</f>
        <v>LOW</v>
      </c>
    </row>
    <row r="245" spans="1:10" x14ac:dyDescent="0.2">
      <c r="A245" s="1" t="s">
        <v>254</v>
      </c>
      <c r="B245" s="1" t="str">
        <f>VLOOKUP(Table7[[#This Row],[Student_ID]],student_data[#All],2,0)</f>
        <v>Computer Science</v>
      </c>
      <c r="C245" s="1">
        <f>(VLOOKUP(Table7[[#This Row],[Student_ID]],student_data[],5,0)*5)+(VLOOKUP(Table7[[#This Row],[Student_ID]],student_data[],6,0)*3)+(VLOOKUP(Table7[[#This Row],[Student_ID]],student_skills[],6,0)*2)+(VLOOKUP(Table7[[#This Row],[Student_ID]],student_internships[],2,0)*5)</f>
        <v>73.099999999999994</v>
      </c>
      <c r="D245" s="1">
        <f>AVERAGE(VLOOKUP(Table7[[#This Row],[Student_ID]],student_skills[],3,0),VLOOKUP(Table7[[#This Row],[Student_ID]],student_skills[],4,0),VLOOKUP(Table7[[#This Row],[Student_ID]],student_skills[],5,0),VLOOKUP(Table7[[#This Row],[Student_ID]],student_skills[],6,0))</f>
        <v>3</v>
      </c>
      <c r="E245" s="1" t="str">
        <f>IF(VLOOKUP(Table7[[#This Row],[Student_ID]],student_internships[#All],2,0)&gt;1,"EXPERIENCED",IF(VLOOKUP(Table7[[#This Row],[Student_ID]],student_internships[#All],2,0)=1,"BEGINNER","NOT EXPERIENCED"))</f>
        <v>EXPERIENCED</v>
      </c>
      <c r="F245" s="1">
        <f>VLOOKUP(Table7[[#This Row],[Student_ID]],student_data[],5,0)</f>
        <v>8.6199999999999992</v>
      </c>
      <c r="G245" s="1">
        <f>VLOOKUP(Table7[[#This Row],[Student_ID]],student_data[#All],6,0)</f>
        <v>3</v>
      </c>
      <c r="H245" s="1">
        <f>VLOOKUP(Table7[[#This Row],[Student_ID]],student_internships[],2,0)</f>
        <v>3</v>
      </c>
      <c r="I245" s="1">
        <f>VLOOKUP(Table7[[#This Row],[Student_ID]],Placements!A245:E1244,5,0)</f>
        <v>3.99</v>
      </c>
      <c r="J245" s="1" t="str">
        <f>IF(VLOOKUP(Table7[[#This Row],[Student_ID]],student_data[#All],5,0)&gt;8,"HIGH",IF(VLOOKUP(Table7[[#This Row],[Student_ID]],student_data[#All],5,0)&lt;6.5,"LOW","MEDIUM"))</f>
        <v>HIGH</v>
      </c>
    </row>
    <row r="246" spans="1:10" x14ac:dyDescent="0.2">
      <c r="A246" s="1" t="s">
        <v>255</v>
      </c>
      <c r="B246" s="1" t="str">
        <f>VLOOKUP(Table7[[#This Row],[Student_ID]],student_data[#All],2,0)</f>
        <v>Computer Science</v>
      </c>
      <c r="C246" s="1">
        <f>(VLOOKUP(Table7[[#This Row],[Student_ID]],student_data[],5,0)*5)+(VLOOKUP(Table7[[#This Row],[Student_ID]],student_data[],6,0)*3)+(VLOOKUP(Table7[[#This Row],[Student_ID]],student_skills[],6,0)*2)+(VLOOKUP(Table7[[#This Row],[Student_ID]],student_internships[],2,0)*5)</f>
        <v>89.95</v>
      </c>
      <c r="D246" s="1">
        <f>AVERAGE(VLOOKUP(Table7[[#This Row],[Student_ID]],student_skills[],3,0),VLOOKUP(Table7[[#This Row],[Student_ID]],student_skills[],4,0),VLOOKUP(Table7[[#This Row],[Student_ID]],student_skills[],5,0),VLOOKUP(Table7[[#This Row],[Student_ID]],student_skills[],6,0))</f>
        <v>7.25</v>
      </c>
      <c r="E246" s="1" t="str">
        <f>IF(VLOOKUP(Table7[[#This Row],[Student_ID]],student_internships[#All],2,0)&gt;1,"EXPERIENCED",IF(VLOOKUP(Table7[[#This Row],[Student_ID]],student_internships[#All],2,0)=1,"BEGINNER","NOT EXPERIENCED"))</f>
        <v>EXPERIENCED</v>
      </c>
      <c r="F246" s="1">
        <f>VLOOKUP(Table7[[#This Row],[Student_ID]],student_data[],5,0)</f>
        <v>9.39</v>
      </c>
      <c r="G246" s="1">
        <f>VLOOKUP(Table7[[#This Row],[Student_ID]],student_data[#All],6,0)</f>
        <v>4</v>
      </c>
      <c r="H246" s="1">
        <f>VLOOKUP(Table7[[#This Row],[Student_ID]],student_internships[],2,0)</f>
        <v>3</v>
      </c>
      <c r="I246" s="1">
        <f>VLOOKUP(Table7[[#This Row],[Student_ID]],Placements!A246:E1245,5,0)</f>
        <v>5.99</v>
      </c>
      <c r="J246" s="1" t="str">
        <f>IF(VLOOKUP(Table7[[#This Row],[Student_ID]],student_data[#All],5,0)&gt;8,"HIGH",IF(VLOOKUP(Table7[[#This Row],[Student_ID]],student_data[#All],5,0)&lt;6.5,"LOW","MEDIUM"))</f>
        <v>HIGH</v>
      </c>
    </row>
    <row r="247" spans="1:10" x14ac:dyDescent="0.2">
      <c r="A247" s="1" t="s">
        <v>256</v>
      </c>
      <c r="B247" s="1" t="str">
        <f>VLOOKUP(Table7[[#This Row],[Student_ID]],student_data[#All],2,0)</f>
        <v>Mechanical</v>
      </c>
      <c r="C247" s="1">
        <f>(VLOOKUP(Table7[[#This Row],[Student_ID]],student_data[],5,0)*5)+(VLOOKUP(Table7[[#This Row],[Student_ID]],student_data[],6,0)*3)+(VLOOKUP(Table7[[#This Row],[Student_ID]],student_skills[],6,0)*2)+(VLOOKUP(Table7[[#This Row],[Student_ID]],student_internships[],2,0)*5)</f>
        <v>45.05</v>
      </c>
      <c r="D247" s="1">
        <f>AVERAGE(VLOOKUP(Table7[[#This Row],[Student_ID]],student_skills[],3,0),VLOOKUP(Table7[[#This Row],[Student_ID]],student_skills[],4,0),VLOOKUP(Table7[[#This Row],[Student_ID]],student_skills[],5,0),VLOOKUP(Table7[[#This Row],[Student_ID]],student_skills[],6,0))</f>
        <v>4.25</v>
      </c>
      <c r="E247" s="1" t="str">
        <f>IF(VLOOKUP(Table7[[#This Row],[Student_ID]],student_internships[#All],2,0)&gt;1,"EXPERIENCED",IF(VLOOKUP(Table7[[#This Row],[Student_ID]],student_internships[#All],2,0)=1,"BEGINNER","NOT EXPERIENCED"))</f>
        <v>BEGINNER</v>
      </c>
      <c r="F247" s="1">
        <f>VLOOKUP(Table7[[#This Row],[Student_ID]],student_data[],5,0)</f>
        <v>5.21</v>
      </c>
      <c r="G247" s="1">
        <f>VLOOKUP(Table7[[#This Row],[Student_ID]],student_data[#All],6,0)</f>
        <v>0</v>
      </c>
      <c r="H247" s="1">
        <f>VLOOKUP(Table7[[#This Row],[Student_ID]],student_internships[],2,0)</f>
        <v>1</v>
      </c>
      <c r="I247" s="1">
        <f>VLOOKUP(Table7[[#This Row],[Student_ID]],Placements!A247:E1246,5,0)</f>
        <v>12.87</v>
      </c>
      <c r="J247" s="1" t="str">
        <f>IF(VLOOKUP(Table7[[#This Row],[Student_ID]],student_data[#All],5,0)&gt;8,"HIGH",IF(VLOOKUP(Table7[[#This Row],[Student_ID]],student_data[#All],5,0)&lt;6.5,"LOW","MEDIUM"))</f>
        <v>LOW</v>
      </c>
    </row>
    <row r="248" spans="1:10" x14ac:dyDescent="0.2">
      <c r="A248" s="1" t="s">
        <v>257</v>
      </c>
      <c r="B248" s="1" t="str">
        <f>VLOOKUP(Table7[[#This Row],[Student_ID]],student_data[#All],2,0)</f>
        <v>Mechanical</v>
      </c>
      <c r="C248" s="1">
        <f>(VLOOKUP(Table7[[#This Row],[Student_ID]],student_data[],5,0)*5)+(VLOOKUP(Table7[[#This Row],[Student_ID]],student_data[],6,0)*3)+(VLOOKUP(Table7[[#This Row],[Student_ID]],student_skills[],6,0)*2)+(VLOOKUP(Table7[[#This Row],[Student_ID]],student_internships[],2,0)*5)</f>
        <v>65.95</v>
      </c>
      <c r="D248" s="1">
        <f>AVERAGE(VLOOKUP(Table7[[#This Row],[Student_ID]],student_skills[],3,0),VLOOKUP(Table7[[#This Row],[Student_ID]],student_skills[],4,0),VLOOKUP(Table7[[#This Row],[Student_ID]],student_skills[],5,0),VLOOKUP(Table7[[#This Row],[Student_ID]],student_skills[],6,0))</f>
        <v>8</v>
      </c>
      <c r="E248" s="1" t="str">
        <f>IF(VLOOKUP(Table7[[#This Row],[Student_ID]],student_internships[#All],2,0)&gt;1,"EXPERIENCED",IF(VLOOKUP(Table7[[#This Row],[Student_ID]],student_internships[#All],2,0)=1,"BEGINNER","NOT EXPERIENCED"))</f>
        <v>NOT EXPERIENCED</v>
      </c>
      <c r="F248" s="1">
        <f>VLOOKUP(Table7[[#This Row],[Student_ID]],student_data[],5,0)</f>
        <v>6.99</v>
      </c>
      <c r="G248" s="1">
        <f>VLOOKUP(Table7[[#This Row],[Student_ID]],student_data[#All],6,0)</f>
        <v>5</v>
      </c>
      <c r="H248" s="1">
        <f>VLOOKUP(Table7[[#This Row],[Student_ID]],student_internships[],2,0)</f>
        <v>0</v>
      </c>
      <c r="I248" s="1">
        <f>VLOOKUP(Table7[[#This Row],[Student_ID]],Placements!A248:E1247,5,0)</f>
        <v>5.92</v>
      </c>
      <c r="J248" s="1" t="str">
        <f>IF(VLOOKUP(Table7[[#This Row],[Student_ID]],student_data[#All],5,0)&gt;8,"HIGH",IF(VLOOKUP(Table7[[#This Row],[Student_ID]],student_data[#All],5,0)&lt;6.5,"LOW","MEDIUM"))</f>
        <v>MEDIUM</v>
      </c>
    </row>
    <row r="249" spans="1:10" x14ac:dyDescent="0.2">
      <c r="A249" s="1" t="s">
        <v>258</v>
      </c>
      <c r="B249" s="1" t="str">
        <f>VLOOKUP(Table7[[#This Row],[Student_ID]],student_data[#All],2,0)</f>
        <v>Mechanical</v>
      </c>
      <c r="C249" s="1">
        <f>(VLOOKUP(Table7[[#This Row],[Student_ID]],student_data[],5,0)*5)+(VLOOKUP(Table7[[#This Row],[Student_ID]],student_data[],6,0)*3)+(VLOOKUP(Table7[[#This Row],[Student_ID]],student_skills[],6,0)*2)+(VLOOKUP(Table7[[#This Row],[Student_ID]],student_internships[],2,0)*5)</f>
        <v>82.050000000000011</v>
      </c>
      <c r="D249" s="1">
        <f>AVERAGE(VLOOKUP(Table7[[#This Row],[Student_ID]],student_skills[],3,0),VLOOKUP(Table7[[#This Row],[Student_ID]],student_skills[],4,0),VLOOKUP(Table7[[#This Row],[Student_ID]],student_skills[],5,0),VLOOKUP(Table7[[#This Row],[Student_ID]],student_skills[],6,0))</f>
        <v>7</v>
      </c>
      <c r="E249" s="1" t="str">
        <f>IF(VLOOKUP(Table7[[#This Row],[Student_ID]],student_internships[#All],2,0)&gt;1,"EXPERIENCED",IF(VLOOKUP(Table7[[#This Row],[Student_ID]],student_internships[#All],2,0)=1,"BEGINNER","NOT EXPERIENCED"))</f>
        <v>EXPERIENCED</v>
      </c>
      <c r="F249" s="1">
        <f>VLOOKUP(Table7[[#This Row],[Student_ID]],student_data[],5,0)</f>
        <v>8.81</v>
      </c>
      <c r="G249" s="1">
        <f>VLOOKUP(Table7[[#This Row],[Student_ID]],student_data[#All],6,0)</f>
        <v>3</v>
      </c>
      <c r="H249" s="1">
        <f>VLOOKUP(Table7[[#This Row],[Student_ID]],student_internships[],2,0)</f>
        <v>3</v>
      </c>
      <c r="I249" s="1">
        <f>VLOOKUP(Table7[[#This Row],[Student_ID]],Placements!A249:E1248,5,0)</f>
        <v>4.4000000000000004</v>
      </c>
      <c r="J249" s="1" t="str">
        <f>IF(VLOOKUP(Table7[[#This Row],[Student_ID]],student_data[#All],5,0)&gt;8,"HIGH",IF(VLOOKUP(Table7[[#This Row],[Student_ID]],student_data[#All],5,0)&lt;6.5,"LOW","MEDIUM"))</f>
        <v>HIGH</v>
      </c>
    </row>
    <row r="250" spans="1:10" x14ac:dyDescent="0.2">
      <c r="A250" s="1" t="s">
        <v>259</v>
      </c>
      <c r="B250" s="1" t="str">
        <f>VLOOKUP(Table7[[#This Row],[Student_ID]],student_data[#All],2,0)</f>
        <v>Civil</v>
      </c>
      <c r="C250" s="1">
        <f>(VLOOKUP(Table7[[#This Row],[Student_ID]],student_data[],5,0)*5)+(VLOOKUP(Table7[[#This Row],[Student_ID]],student_data[],6,0)*3)+(VLOOKUP(Table7[[#This Row],[Student_ID]],student_skills[],6,0)*2)+(VLOOKUP(Table7[[#This Row],[Student_ID]],student_internships[],2,0)*5)</f>
        <v>53.349999999999994</v>
      </c>
      <c r="D250" s="1">
        <f>AVERAGE(VLOOKUP(Table7[[#This Row],[Student_ID]],student_skills[],3,0),VLOOKUP(Table7[[#This Row],[Student_ID]],student_skills[],4,0),VLOOKUP(Table7[[#This Row],[Student_ID]],student_skills[],5,0),VLOOKUP(Table7[[#This Row],[Student_ID]],student_skills[],6,0))</f>
        <v>5</v>
      </c>
      <c r="E250" s="1" t="str">
        <f>IF(VLOOKUP(Table7[[#This Row],[Student_ID]],student_internships[#All],2,0)&gt;1,"EXPERIENCED",IF(VLOOKUP(Table7[[#This Row],[Student_ID]],student_internships[#All],2,0)=1,"BEGINNER","NOT EXPERIENCED"))</f>
        <v>BEGINNER</v>
      </c>
      <c r="F250" s="1">
        <f>VLOOKUP(Table7[[#This Row],[Student_ID]],student_data[],5,0)</f>
        <v>7.27</v>
      </c>
      <c r="G250" s="1">
        <f>VLOOKUP(Table7[[#This Row],[Student_ID]],student_data[#All],6,0)</f>
        <v>0</v>
      </c>
      <c r="H250" s="1">
        <f>VLOOKUP(Table7[[#This Row],[Student_ID]],student_internships[],2,0)</f>
        <v>1</v>
      </c>
      <c r="I250" s="1">
        <f>VLOOKUP(Table7[[#This Row],[Student_ID]],Placements!A250:E1249,5,0)</f>
        <v>0</v>
      </c>
      <c r="J250" s="1" t="str">
        <f>IF(VLOOKUP(Table7[[#This Row],[Student_ID]],student_data[#All],5,0)&gt;8,"HIGH",IF(VLOOKUP(Table7[[#This Row],[Student_ID]],student_data[#All],5,0)&lt;6.5,"LOW","MEDIUM"))</f>
        <v>MEDIUM</v>
      </c>
    </row>
    <row r="251" spans="1:10" x14ac:dyDescent="0.2">
      <c r="A251" s="1" t="s">
        <v>260</v>
      </c>
      <c r="B251" s="1" t="str">
        <f>VLOOKUP(Table7[[#This Row],[Student_ID]],student_data[#All],2,0)</f>
        <v>Computer Science</v>
      </c>
      <c r="C251" s="1">
        <f>(VLOOKUP(Table7[[#This Row],[Student_ID]],student_data[],5,0)*5)+(VLOOKUP(Table7[[#This Row],[Student_ID]],student_data[],6,0)*3)+(VLOOKUP(Table7[[#This Row],[Student_ID]],student_skills[],6,0)*2)+(VLOOKUP(Table7[[#This Row],[Student_ID]],student_internships[],2,0)*5)</f>
        <v>60.7</v>
      </c>
      <c r="D251" s="1">
        <f>AVERAGE(VLOOKUP(Table7[[#This Row],[Student_ID]],student_skills[],3,0),VLOOKUP(Table7[[#This Row],[Student_ID]],student_skills[],4,0),VLOOKUP(Table7[[#This Row],[Student_ID]],student_skills[],5,0),VLOOKUP(Table7[[#This Row],[Student_ID]],student_skills[],6,0))</f>
        <v>4.75</v>
      </c>
      <c r="E251" s="1" t="str">
        <f>IF(VLOOKUP(Table7[[#This Row],[Student_ID]],student_internships[#All],2,0)&gt;1,"EXPERIENCED",IF(VLOOKUP(Table7[[#This Row],[Student_ID]],student_internships[#All],2,0)=1,"BEGINNER","NOT EXPERIENCED"))</f>
        <v>EXPERIENCED</v>
      </c>
      <c r="F251" s="1">
        <f>VLOOKUP(Table7[[#This Row],[Student_ID]],student_data[],5,0)</f>
        <v>6.34</v>
      </c>
      <c r="G251" s="1">
        <f>VLOOKUP(Table7[[#This Row],[Student_ID]],student_data[#All],6,0)</f>
        <v>0</v>
      </c>
      <c r="H251" s="1">
        <f>VLOOKUP(Table7[[#This Row],[Student_ID]],student_internships[],2,0)</f>
        <v>3</v>
      </c>
      <c r="I251" s="1">
        <f>VLOOKUP(Table7[[#This Row],[Student_ID]],Placements!A251:E1250,5,0)</f>
        <v>0</v>
      </c>
      <c r="J251" s="1" t="str">
        <f>IF(VLOOKUP(Table7[[#This Row],[Student_ID]],student_data[#All],5,0)&gt;8,"HIGH",IF(VLOOKUP(Table7[[#This Row],[Student_ID]],student_data[#All],5,0)&lt;6.5,"LOW","MEDIUM"))</f>
        <v>LOW</v>
      </c>
    </row>
    <row r="252" spans="1:10" x14ac:dyDescent="0.2">
      <c r="A252" s="1" t="s">
        <v>261</v>
      </c>
      <c r="B252" s="1" t="str">
        <f>VLOOKUP(Table7[[#This Row],[Student_ID]],student_data[#All],2,0)</f>
        <v>Civil</v>
      </c>
      <c r="C252" s="1">
        <f>(VLOOKUP(Table7[[#This Row],[Student_ID]],student_data[],5,0)*5)+(VLOOKUP(Table7[[#This Row],[Student_ID]],student_data[],6,0)*3)+(VLOOKUP(Table7[[#This Row],[Student_ID]],student_skills[],6,0)*2)+(VLOOKUP(Table7[[#This Row],[Student_ID]],student_internships[],2,0)*5)</f>
        <v>67.5</v>
      </c>
      <c r="D252" s="1">
        <f>AVERAGE(VLOOKUP(Table7[[#This Row],[Student_ID]],student_skills[],3,0),VLOOKUP(Table7[[#This Row],[Student_ID]],student_skills[],4,0),VLOOKUP(Table7[[#This Row],[Student_ID]],student_skills[],5,0),VLOOKUP(Table7[[#This Row],[Student_ID]],student_skills[],6,0))</f>
        <v>3.5</v>
      </c>
      <c r="E252" s="1" t="str">
        <f>IF(VLOOKUP(Table7[[#This Row],[Student_ID]],student_internships[#All],2,0)&gt;1,"EXPERIENCED",IF(VLOOKUP(Table7[[#This Row],[Student_ID]],student_internships[#All],2,0)=1,"BEGINNER","NOT EXPERIENCED"))</f>
        <v>EXPERIENCED</v>
      </c>
      <c r="F252" s="1">
        <f>VLOOKUP(Table7[[#This Row],[Student_ID]],student_data[],5,0)</f>
        <v>6.1</v>
      </c>
      <c r="G252" s="1">
        <f>VLOOKUP(Table7[[#This Row],[Student_ID]],student_data[#All],6,0)</f>
        <v>4</v>
      </c>
      <c r="H252" s="1">
        <f>VLOOKUP(Table7[[#This Row],[Student_ID]],student_internships[],2,0)</f>
        <v>3</v>
      </c>
      <c r="I252" s="1">
        <f>VLOOKUP(Table7[[#This Row],[Student_ID]],Placements!A252:E1251,5,0)</f>
        <v>3.61</v>
      </c>
      <c r="J252" s="1" t="str">
        <f>IF(VLOOKUP(Table7[[#This Row],[Student_ID]],student_data[#All],5,0)&gt;8,"HIGH",IF(VLOOKUP(Table7[[#This Row],[Student_ID]],student_data[#All],5,0)&lt;6.5,"LOW","MEDIUM"))</f>
        <v>LOW</v>
      </c>
    </row>
    <row r="253" spans="1:10" x14ac:dyDescent="0.2">
      <c r="A253" s="1" t="s">
        <v>262</v>
      </c>
      <c r="B253" s="1" t="str">
        <f>VLOOKUP(Table7[[#This Row],[Student_ID]],student_data[#All],2,0)</f>
        <v>Mechanical</v>
      </c>
      <c r="C253" s="1">
        <f>(VLOOKUP(Table7[[#This Row],[Student_ID]],student_data[],5,0)*5)+(VLOOKUP(Table7[[#This Row],[Student_ID]],student_data[],6,0)*3)+(VLOOKUP(Table7[[#This Row],[Student_ID]],student_skills[],6,0)*2)+(VLOOKUP(Table7[[#This Row],[Student_ID]],student_internships[],2,0)*5)</f>
        <v>52.3</v>
      </c>
      <c r="D253" s="1">
        <f>AVERAGE(VLOOKUP(Table7[[#This Row],[Student_ID]],student_skills[],3,0),VLOOKUP(Table7[[#This Row],[Student_ID]],student_skills[],4,0),VLOOKUP(Table7[[#This Row],[Student_ID]],student_skills[],5,0),VLOOKUP(Table7[[#This Row],[Student_ID]],student_skills[],6,0))</f>
        <v>3.25</v>
      </c>
      <c r="E253" s="1" t="str">
        <f>IF(VLOOKUP(Table7[[#This Row],[Student_ID]],student_internships[#All],2,0)&gt;1,"EXPERIENCED",IF(VLOOKUP(Table7[[#This Row],[Student_ID]],student_internships[#All],2,0)=1,"BEGINNER","NOT EXPERIENCED"))</f>
        <v>EXPERIENCED</v>
      </c>
      <c r="F253" s="1">
        <f>VLOOKUP(Table7[[#This Row],[Student_ID]],student_data[],5,0)</f>
        <v>5.66</v>
      </c>
      <c r="G253" s="1">
        <f>VLOOKUP(Table7[[#This Row],[Student_ID]],student_data[#All],6,0)</f>
        <v>0</v>
      </c>
      <c r="H253" s="1">
        <f>VLOOKUP(Table7[[#This Row],[Student_ID]],student_internships[],2,0)</f>
        <v>2</v>
      </c>
      <c r="I253" s="1">
        <f>VLOOKUP(Table7[[#This Row],[Student_ID]],Placements!A253:E1252,5,0)</f>
        <v>5.49</v>
      </c>
      <c r="J253" s="1" t="str">
        <f>IF(VLOOKUP(Table7[[#This Row],[Student_ID]],student_data[#All],5,0)&gt;8,"HIGH",IF(VLOOKUP(Table7[[#This Row],[Student_ID]],student_data[#All],5,0)&lt;6.5,"LOW","MEDIUM"))</f>
        <v>LOW</v>
      </c>
    </row>
    <row r="254" spans="1:10" x14ac:dyDescent="0.2">
      <c r="A254" s="1" t="s">
        <v>263</v>
      </c>
      <c r="B254" s="1" t="str">
        <f>VLOOKUP(Table7[[#This Row],[Student_ID]],student_data[#All],2,0)</f>
        <v>Computer Science</v>
      </c>
      <c r="C254" s="1">
        <f>(VLOOKUP(Table7[[#This Row],[Student_ID]],student_data[],5,0)*5)+(VLOOKUP(Table7[[#This Row],[Student_ID]],student_data[],6,0)*3)+(VLOOKUP(Table7[[#This Row],[Student_ID]],student_skills[],6,0)*2)+(VLOOKUP(Table7[[#This Row],[Student_ID]],student_internships[],2,0)*5)</f>
        <v>51.449999999999996</v>
      </c>
      <c r="D254" s="1">
        <f>AVERAGE(VLOOKUP(Table7[[#This Row],[Student_ID]],student_skills[],3,0),VLOOKUP(Table7[[#This Row],[Student_ID]],student_skills[],4,0),VLOOKUP(Table7[[#This Row],[Student_ID]],student_skills[],5,0),VLOOKUP(Table7[[#This Row],[Student_ID]],student_skills[],6,0))</f>
        <v>5</v>
      </c>
      <c r="E254" s="1" t="str">
        <f>IF(VLOOKUP(Table7[[#This Row],[Student_ID]],student_internships[#All],2,0)&gt;1,"EXPERIENCED",IF(VLOOKUP(Table7[[#This Row],[Student_ID]],student_internships[#All],2,0)=1,"BEGINNER","NOT EXPERIENCED"))</f>
        <v>NOT EXPERIENCED</v>
      </c>
      <c r="F254" s="1">
        <f>VLOOKUP(Table7[[#This Row],[Student_ID]],student_data[],5,0)</f>
        <v>9.2899999999999991</v>
      </c>
      <c r="G254" s="1">
        <f>VLOOKUP(Table7[[#This Row],[Student_ID]],student_data[#All],6,0)</f>
        <v>1</v>
      </c>
      <c r="H254" s="1">
        <f>VLOOKUP(Table7[[#This Row],[Student_ID]],student_internships[],2,0)</f>
        <v>0</v>
      </c>
      <c r="I254" s="1">
        <f>VLOOKUP(Table7[[#This Row],[Student_ID]],Placements!A254:E1253,5,0)</f>
        <v>8.4700000000000006</v>
      </c>
      <c r="J254" s="1" t="str">
        <f>IF(VLOOKUP(Table7[[#This Row],[Student_ID]],student_data[#All],5,0)&gt;8,"HIGH",IF(VLOOKUP(Table7[[#This Row],[Student_ID]],student_data[#All],5,0)&lt;6.5,"LOW","MEDIUM"))</f>
        <v>HIGH</v>
      </c>
    </row>
    <row r="255" spans="1:10" x14ac:dyDescent="0.2">
      <c r="A255" s="1" t="s">
        <v>264</v>
      </c>
      <c r="B255" s="1" t="str">
        <f>VLOOKUP(Table7[[#This Row],[Student_ID]],student_data[#All],2,0)</f>
        <v>Civil</v>
      </c>
      <c r="C255" s="1">
        <f>(VLOOKUP(Table7[[#This Row],[Student_ID]],student_data[],5,0)*5)+(VLOOKUP(Table7[[#This Row],[Student_ID]],student_data[],6,0)*3)+(VLOOKUP(Table7[[#This Row],[Student_ID]],student_skills[],6,0)*2)+(VLOOKUP(Table7[[#This Row],[Student_ID]],student_internships[],2,0)*5)</f>
        <v>49.4</v>
      </c>
      <c r="D255" s="1">
        <f>AVERAGE(VLOOKUP(Table7[[#This Row],[Student_ID]],student_skills[],3,0),VLOOKUP(Table7[[#This Row],[Student_ID]],student_skills[],4,0),VLOOKUP(Table7[[#This Row],[Student_ID]],student_skills[],5,0),VLOOKUP(Table7[[#This Row],[Student_ID]],student_skills[],6,0))</f>
        <v>2.25</v>
      </c>
      <c r="E255" s="1" t="str">
        <f>IF(VLOOKUP(Table7[[#This Row],[Student_ID]],student_internships[#All],2,0)&gt;1,"EXPERIENCED",IF(VLOOKUP(Table7[[#This Row],[Student_ID]],student_internships[#All],2,0)=1,"BEGINNER","NOT EXPERIENCED"))</f>
        <v>BEGINNER</v>
      </c>
      <c r="F255" s="1">
        <f>VLOOKUP(Table7[[#This Row],[Student_ID]],student_data[],5,0)</f>
        <v>7.88</v>
      </c>
      <c r="G255" s="1">
        <f>VLOOKUP(Table7[[#This Row],[Student_ID]],student_data[#All],6,0)</f>
        <v>1</v>
      </c>
      <c r="H255" s="1">
        <f>VLOOKUP(Table7[[#This Row],[Student_ID]],student_internships[],2,0)</f>
        <v>1</v>
      </c>
      <c r="I255" s="1">
        <f>VLOOKUP(Table7[[#This Row],[Student_ID]],Placements!A255:E1254,5,0)</f>
        <v>5.04</v>
      </c>
      <c r="J255" s="1" t="str">
        <f>IF(VLOOKUP(Table7[[#This Row],[Student_ID]],student_data[#All],5,0)&gt;8,"HIGH",IF(VLOOKUP(Table7[[#This Row],[Student_ID]],student_data[#All],5,0)&lt;6.5,"LOW","MEDIUM"))</f>
        <v>MEDIUM</v>
      </c>
    </row>
    <row r="256" spans="1:10" x14ac:dyDescent="0.2">
      <c r="A256" s="1" t="s">
        <v>265</v>
      </c>
      <c r="B256" s="1" t="str">
        <f>VLOOKUP(Table7[[#This Row],[Student_ID]],student_data[#All],2,0)</f>
        <v>Civil</v>
      </c>
      <c r="C256" s="1">
        <f>(VLOOKUP(Table7[[#This Row],[Student_ID]],student_data[],5,0)*5)+(VLOOKUP(Table7[[#This Row],[Student_ID]],student_data[],6,0)*3)+(VLOOKUP(Table7[[#This Row],[Student_ID]],student_skills[],6,0)*2)+(VLOOKUP(Table7[[#This Row],[Student_ID]],student_internships[],2,0)*5)</f>
        <v>60.9</v>
      </c>
      <c r="D256" s="1">
        <f>AVERAGE(VLOOKUP(Table7[[#This Row],[Student_ID]],student_skills[],3,0),VLOOKUP(Table7[[#This Row],[Student_ID]],student_skills[],4,0),VLOOKUP(Table7[[#This Row],[Student_ID]],student_skills[],5,0),VLOOKUP(Table7[[#This Row],[Student_ID]],student_skills[],6,0))</f>
        <v>8.5</v>
      </c>
      <c r="E256" s="1" t="str">
        <f>IF(VLOOKUP(Table7[[#This Row],[Student_ID]],student_internships[#All],2,0)&gt;1,"EXPERIENCED",IF(VLOOKUP(Table7[[#This Row],[Student_ID]],student_internships[#All],2,0)=1,"BEGINNER","NOT EXPERIENCED"))</f>
        <v>EXPERIENCED</v>
      </c>
      <c r="F256" s="1">
        <f>VLOOKUP(Table7[[#This Row],[Student_ID]],student_data[],5,0)</f>
        <v>5.38</v>
      </c>
      <c r="G256" s="1">
        <f>VLOOKUP(Table7[[#This Row],[Student_ID]],student_data[#All],6,0)</f>
        <v>2</v>
      </c>
      <c r="H256" s="1">
        <f>VLOOKUP(Table7[[#This Row],[Student_ID]],student_internships[],2,0)</f>
        <v>2</v>
      </c>
      <c r="I256" s="1">
        <f>VLOOKUP(Table7[[#This Row],[Student_ID]],Placements!A256:E1255,5,0)</f>
        <v>0</v>
      </c>
      <c r="J256" s="1" t="str">
        <f>IF(VLOOKUP(Table7[[#This Row],[Student_ID]],student_data[#All],5,0)&gt;8,"HIGH",IF(VLOOKUP(Table7[[#This Row],[Student_ID]],student_data[#All],5,0)&lt;6.5,"LOW","MEDIUM"))</f>
        <v>LOW</v>
      </c>
    </row>
    <row r="257" spans="1:10" x14ac:dyDescent="0.2">
      <c r="A257" s="1" t="s">
        <v>266</v>
      </c>
      <c r="B257" s="1" t="str">
        <f>VLOOKUP(Table7[[#This Row],[Student_ID]],student_data[#All],2,0)</f>
        <v>Mechanical</v>
      </c>
      <c r="C257" s="1">
        <f>(VLOOKUP(Table7[[#This Row],[Student_ID]],student_data[],5,0)*5)+(VLOOKUP(Table7[[#This Row],[Student_ID]],student_data[],6,0)*3)+(VLOOKUP(Table7[[#This Row],[Student_ID]],student_skills[],6,0)*2)+(VLOOKUP(Table7[[#This Row],[Student_ID]],student_internships[],2,0)*5)</f>
        <v>61.55</v>
      </c>
      <c r="D257" s="1">
        <f>AVERAGE(VLOOKUP(Table7[[#This Row],[Student_ID]],student_skills[],3,0),VLOOKUP(Table7[[#This Row],[Student_ID]],student_skills[],4,0),VLOOKUP(Table7[[#This Row],[Student_ID]],student_skills[],5,0),VLOOKUP(Table7[[#This Row],[Student_ID]],student_skills[],6,0))</f>
        <v>7.75</v>
      </c>
      <c r="E257" s="1" t="str">
        <f>IF(VLOOKUP(Table7[[#This Row],[Student_ID]],student_internships[#All],2,0)&gt;1,"EXPERIENCED",IF(VLOOKUP(Table7[[#This Row],[Student_ID]],student_internships[#All],2,0)=1,"BEGINNER","NOT EXPERIENCED"))</f>
        <v>BEGINNER</v>
      </c>
      <c r="F257" s="1">
        <f>VLOOKUP(Table7[[#This Row],[Student_ID]],student_data[],5,0)</f>
        <v>6.91</v>
      </c>
      <c r="G257" s="1">
        <f>VLOOKUP(Table7[[#This Row],[Student_ID]],student_data[#All],6,0)</f>
        <v>4</v>
      </c>
      <c r="H257" s="1">
        <f>VLOOKUP(Table7[[#This Row],[Student_ID]],student_internships[],2,0)</f>
        <v>1</v>
      </c>
      <c r="I257" s="1">
        <f>VLOOKUP(Table7[[#This Row],[Student_ID]],Placements!A257:E1256,5,0)</f>
        <v>5.55</v>
      </c>
      <c r="J257" s="1" t="str">
        <f>IF(VLOOKUP(Table7[[#This Row],[Student_ID]],student_data[#All],5,0)&gt;8,"HIGH",IF(VLOOKUP(Table7[[#This Row],[Student_ID]],student_data[#All],5,0)&lt;6.5,"LOW","MEDIUM"))</f>
        <v>MEDIUM</v>
      </c>
    </row>
    <row r="258" spans="1:10" x14ac:dyDescent="0.2">
      <c r="A258" s="1" t="s">
        <v>267</v>
      </c>
      <c r="B258" s="1" t="str">
        <f>VLOOKUP(Table7[[#This Row],[Student_ID]],student_data[#All],2,0)</f>
        <v>Computer Science</v>
      </c>
      <c r="C258" s="1">
        <f>(VLOOKUP(Table7[[#This Row],[Student_ID]],student_data[],5,0)*5)+(VLOOKUP(Table7[[#This Row],[Student_ID]],student_data[],6,0)*3)+(VLOOKUP(Table7[[#This Row],[Student_ID]],student_skills[],6,0)*2)+(VLOOKUP(Table7[[#This Row],[Student_ID]],student_internships[],2,0)*5)</f>
        <v>59.2</v>
      </c>
      <c r="D258" s="1">
        <f>AVERAGE(VLOOKUP(Table7[[#This Row],[Student_ID]],student_skills[],3,0),VLOOKUP(Table7[[#This Row],[Student_ID]],student_skills[],4,0),VLOOKUP(Table7[[#This Row],[Student_ID]],student_skills[],5,0),VLOOKUP(Table7[[#This Row],[Student_ID]],student_skills[],6,0))</f>
        <v>4</v>
      </c>
      <c r="E258" s="1" t="str">
        <f>IF(VLOOKUP(Table7[[#This Row],[Student_ID]],student_internships[#All],2,0)&gt;1,"EXPERIENCED",IF(VLOOKUP(Table7[[#This Row],[Student_ID]],student_internships[#All],2,0)=1,"BEGINNER","NOT EXPERIENCED"))</f>
        <v>NOT EXPERIENCED</v>
      </c>
      <c r="F258" s="1">
        <f>VLOOKUP(Table7[[#This Row],[Student_ID]],student_data[],5,0)</f>
        <v>6.84</v>
      </c>
      <c r="G258" s="1">
        <f>VLOOKUP(Table7[[#This Row],[Student_ID]],student_data[#All],6,0)</f>
        <v>5</v>
      </c>
      <c r="H258" s="1">
        <f>VLOOKUP(Table7[[#This Row],[Student_ID]],student_internships[],2,0)</f>
        <v>0</v>
      </c>
      <c r="I258" s="1">
        <f>VLOOKUP(Table7[[#This Row],[Student_ID]],Placements!A258:E1257,5,0)</f>
        <v>10.15</v>
      </c>
      <c r="J258" s="1" t="str">
        <f>IF(VLOOKUP(Table7[[#This Row],[Student_ID]],student_data[#All],5,0)&gt;8,"HIGH",IF(VLOOKUP(Table7[[#This Row],[Student_ID]],student_data[#All],5,0)&lt;6.5,"LOW","MEDIUM"))</f>
        <v>MEDIUM</v>
      </c>
    </row>
    <row r="259" spans="1:10" x14ac:dyDescent="0.2">
      <c r="A259" s="1" t="s">
        <v>268</v>
      </c>
      <c r="B259" s="1" t="str">
        <f>VLOOKUP(Table7[[#This Row],[Student_ID]],student_data[#All],2,0)</f>
        <v>Mechanical</v>
      </c>
      <c r="C259" s="1">
        <f>(VLOOKUP(Table7[[#This Row],[Student_ID]],student_data[],5,0)*5)+(VLOOKUP(Table7[[#This Row],[Student_ID]],student_data[],6,0)*3)+(VLOOKUP(Table7[[#This Row],[Student_ID]],student_skills[],6,0)*2)+(VLOOKUP(Table7[[#This Row],[Student_ID]],student_internships[],2,0)*5)</f>
        <v>46.55</v>
      </c>
      <c r="D259" s="1">
        <f>AVERAGE(VLOOKUP(Table7[[#This Row],[Student_ID]],student_skills[],3,0),VLOOKUP(Table7[[#This Row],[Student_ID]],student_skills[],4,0),VLOOKUP(Table7[[#This Row],[Student_ID]],student_skills[],5,0),VLOOKUP(Table7[[#This Row],[Student_ID]],student_skills[],6,0))</f>
        <v>4.5</v>
      </c>
      <c r="E259" s="1" t="str">
        <f>IF(VLOOKUP(Table7[[#This Row],[Student_ID]],student_internships[#All],2,0)&gt;1,"EXPERIENCED",IF(VLOOKUP(Table7[[#This Row],[Student_ID]],student_internships[#All],2,0)=1,"BEGINNER","NOT EXPERIENCED"))</f>
        <v>BEGINNER</v>
      </c>
      <c r="F259" s="1">
        <f>VLOOKUP(Table7[[#This Row],[Student_ID]],student_data[],5,0)</f>
        <v>5.91</v>
      </c>
      <c r="G259" s="1">
        <f>VLOOKUP(Table7[[#This Row],[Student_ID]],student_data[#All],6,0)</f>
        <v>2</v>
      </c>
      <c r="H259" s="1">
        <f>VLOOKUP(Table7[[#This Row],[Student_ID]],student_internships[],2,0)</f>
        <v>1</v>
      </c>
      <c r="I259" s="1">
        <f>VLOOKUP(Table7[[#This Row],[Student_ID]],Placements!A259:E1258,5,0)</f>
        <v>5.17</v>
      </c>
      <c r="J259" s="1" t="str">
        <f>IF(VLOOKUP(Table7[[#This Row],[Student_ID]],student_data[#All],5,0)&gt;8,"HIGH",IF(VLOOKUP(Table7[[#This Row],[Student_ID]],student_data[#All],5,0)&lt;6.5,"LOW","MEDIUM"))</f>
        <v>LOW</v>
      </c>
    </row>
    <row r="260" spans="1:10" x14ac:dyDescent="0.2">
      <c r="A260" s="1" t="s">
        <v>269</v>
      </c>
      <c r="B260" s="1" t="str">
        <f>VLOOKUP(Table7[[#This Row],[Student_ID]],student_data[#All],2,0)</f>
        <v>Computer Science</v>
      </c>
      <c r="C260" s="1">
        <f>(VLOOKUP(Table7[[#This Row],[Student_ID]],student_data[],5,0)*5)+(VLOOKUP(Table7[[#This Row],[Student_ID]],student_data[],6,0)*3)+(VLOOKUP(Table7[[#This Row],[Student_ID]],student_skills[],6,0)*2)+(VLOOKUP(Table7[[#This Row],[Student_ID]],student_internships[],2,0)*5)</f>
        <v>63.9</v>
      </c>
      <c r="D260" s="1">
        <f>AVERAGE(VLOOKUP(Table7[[#This Row],[Student_ID]],student_skills[],3,0),VLOOKUP(Table7[[#This Row],[Student_ID]],student_skills[],4,0),VLOOKUP(Table7[[#This Row],[Student_ID]],student_skills[],5,0),VLOOKUP(Table7[[#This Row],[Student_ID]],student_skills[],6,0))</f>
        <v>6.25</v>
      </c>
      <c r="E260" s="1" t="str">
        <f>IF(VLOOKUP(Table7[[#This Row],[Student_ID]],student_internships[#All],2,0)&gt;1,"EXPERIENCED",IF(VLOOKUP(Table7[[#This Row],[Student_ID]],student_internships[#All],2,0)=1,"BEGINNER","NOT EXPERIENCED"))</f>
        <v>EXPERIENCED</v>
      </c>
      <c r="F260" s="1">
        <f>VLOOKUP(Table7[[#This Row],[Student_ID]],student_data[],5,0)</f>
        <v>7.18</v>
      </c>
      <c r="G260" s="1">
        <f>VLOOKUP(Table7[[#This Row],[Student_ID]],student_data[#All],6,0)</f>
        <v>1</v>
      </c>
      <c r="H260" s="1">
        <f>VLOOKUP(Table7[[#This Row],[Student_ID]],student_internships[],2,0)</f>
        <v>3</v>
      </c>
      <c r="I260" s="1">
        <f>VLOOKUP(Table7[[#This Row],[Student_ID]],Placements!A260:E1259,5,0)</f>
        <v>0</v>
      </c>
      <c r="J260" s="1" t="str">
        <f>IF(VLOOKUP(Table7[[#This Row],[Student_ID]],student_data[#All],5,0)&gt;8,"HIGH",IF(VLOOKUP(Table7[[#This Row],[Student_ID]],student_data[#All],5,0)&lt;6.5,"LOW","MEDIUM"))</f>
        <v>MEDIUM</v>
      </c>
    </row>
    <row r="261" spans="1:10" x14ac:dyDescent="0.2">
      <c r="A261" s="1" t="s">
        <v>270</v>
      </c>
      <c r="B261" s="1" t="str">
        <f>VLOOKUP(Table7[[#This Row],[Student_ID]],student_data[#All],2,0)</f>
        <v>Information Technology</v>
      </c>
      <c r="C261" s="1">
        <f>(VLOOKUP(Table7[[#This Row],[Student_ID]],student_data[],5,0)*5)+(VLOOKUP(Table7[[#This Row],[Student_ID]],student_data[],6,0)*3)+(VLOOKUP(Table7[[#This Row],[Student_ID]],student_skills[],6,0)*2)+(VLOOKUP(Table7[[#This Row],[Student_ID]],student_internships[],2,0)*5)</f>
        <v>50.3</v>
      </c>
      <c r="D261" s="1">
        <f>AVERAGE(VLOOKUP(Table7[[#This Row],[Student_ID]],student_skills[],3,0),VLOOKUP(Table7[[#This Row],[Student_ID]],student_skills[],4,0),VLOOKUP(Table7[[#This Row],[Student_ID]],student_skills[],5,0),VLOOKUP(Table7[[#This Row],[Student_ID]],student_skills[],6,0))</f>
        <v>5.75</v>
      </c>
      <c r="E261" s="1" t="str">
        <f>IF(VLOOKUP(Table7[[#This Row],[Student_ID]],student_internships[#All],2,0)&gt;1,"EXPERIENCED",IF(VLOOKUP(Table7[[#This Row],[Student_ID]],student_internships[#All],2,0)=1,"BEGINNER","NOT EXPERIENCED"))</f>
        <v>BEGINNER</v>
      </c>
      <c r="F261" s="1">
        <f>VLOOKUP(Table7[[#This Row],[Student_ID]],student_data[],5,0)</f>
        <v>6.66</v>
      </c>
      <c r="G261" s="1">
        <f>VLOOKUP(Table7[[#This Row],[Student_ID]],student_data[#All],6,0)</f>
        <v>2</v>
      </c>
      <c r="H261" s="1">
        <f>VLOOKUP(Table7[[#This Row],[Student_ID]],student_internships[],2,0)</f>
        <v>1</v>
      </c>
      <c r="I261" s="1">
        <f>VLOOKUP(Table7[[#This Row],[Student_ID]],Placements!A261:E1260,5,0)</f>
        <v>4.2</v>
      </c>
      <c r="J261" s="1" t="str">
        <f>IF(VLOOKUP(Table7[[#This Row],[Student_ID]],student_data[#All],5,0)&gt;8,"HIGH",IF(VLOOKUP(Table7[[#This Row],[Student_ID]],student_data[#All],5,0)&lt;6.5,"LOW","MEDIUM"))</f>
        <v>MEDIUM</v>
      </c>
    </row>
    <row r="262" spans="1:10" x14ac:dyDescent="0.2">
      <c r="A262" s="1" t="s">
        <v>271</v>
      </c>
      <c r="B262" s="1" t="str">
        <f>VLOOKUP(Table7[[#This Row],[Student_ID]],student_data[#All],2,0)</f>
        <v>Electronics</v>
      </c>
      <c r="C262" s="1">
        <f>(VLOOKUP(Table7[[#This Row],[Student_ID]],student_data[],5,0)*5)+(VLOOKUP(Table7[[#This Row],[Student_ID]],student_data[],6,0)*3)+(VLOOKUP(Table7[[#This Row],[Student_ID]],student_skills[],6,0)*2)+(VLOOKUP(Table7[[#This Row],[Student_ID]],student_internships[],2,0)*5)</f>
        <v>68.55</v>
      </c>
      <c r="D262" s="1">
        <f>AVERAGE(VLOOKUP(Table7[[#This Row],[Student_ID]],student_skills[],3,0),VLOOKUP(Table7[[#This Row],[Student_ID]],student_skills[],4,0),VLOOKUP(Table7[[#This Row],[Student_ID]],student_skills[],5,0),VLOOKUP(Table7[[#This Row],[Student_ID]],student_skills[],6,0))</f>
        <v>8</v>
      </c>
      <c r="E262" s="1" t="str">
        <f>IF(VLOOKUP(Table7[[#This Row],[Student_ID]],student_internships[#All],2,0)&gt;1,"EXPERIENCED",IF(VLOOKUP(Table7[[#This Row],[Student_ID]],student_internships[#All],2,0)=1,"BEGINNER","NOT EXPERIENCED"))</f>
        <v>BEGINNER</v>
      </c>
      <c r="F262" s="1">
        <f>VLOOKUP(Table7[[#This Row],[Student_ID]],student_data[],5,0)</f>
        <v>6.71</v>
      </c>
      <c r="G262" s="1">
        <f>VLOOKUP(Table7[[#This Row],[Student_ID]],student_data[#All],6,0)</f>
        <v>4</v>
      </c>
      <c r="H262" s="1">
        <f>VLOOKUP(Table7[[#This Row],[Student_ID]],student_internships[],2,0)</f>
        <v>1</v>
      </c>
      <c r="I262" s="1">
        <f>VLOOKUP(Table7[[#This Row],[Student_ID]],Placements!A262:E1261,5,0)</f>
        <v>4.6399999999999997</v>
      </c>
      <c r="J262" s="1" t="str">
        <f>IF(VLOOKUP(Table7[[#This Row],[Student_ID]],student_data[#All],5,0)&gt;8,"HIGH",IF(VLOOKUP(Table7[[#This Row],[Student_ID]],student_data[#All],5,0)&lt;6.5,"LOW","MEDIUM"))</f>
        <v>MEDIUM</v>
      </c>
    </row>
    <row r="263" spans="1:10" x14ac:dyDescent="0.2">
      <c r="A263" s="1" t="s">
        <v>272</v>
      </c>
      <c r="B263" s="1" t="str">
        <f>VLOOKUP(Table7[[#This Row],[Student_ID]],student_data[#All],2,0)</f>
        <v>Electronics</v>
      </c>
      <c r="C263" s="1">
        <f>(VLOOKUP(Table7[[#This Row],[Student_ID]],student_data[],5,0)*5)+(VLOOKUP(Table7[[#This Row],[Student_ID]],student_data[],6,0)*3)+(VLOOKUP(Table7[[#This Row],[Student_ID]],student_skills[],6,0)*2)+(VLOOKUP(Table7[[#This Row],[Student_ID]],student_internships[],2,0)*5)</f>
        <v>73.5</v>
      </c>
      <c r="D263" s="1">
        <f>AVERAGE(VLOOKUP(Table7[[#This Row],[Student_ID]],student_skills[],3,0),VLOOKUP(Table7[[#This Row],[Student_ID]],student_skills[],4,0),VLOOKUP(Table7[[#This Row],[Student_ID]],student_skills[],5,0),VLOOKUP(Table7[[#This Row],[Student_ID]],student_skills[],6,0))</f>
        <v>5</v>
      </c>
      <c r="E263" s="1" t="str">
        <f>IF(VLOOKUP(Table7[[#This Row],[Student_ID]],student_internships[#All],2,0)&gt;1,"EXPERIENCED",IF(VLOOKUP(Table7[[#This Row],[Student_ID]],student_internships[#All],2,0)=1,"BEGINNER","NOT EXPERIENCED"))</f>
        <v>NOT EXPERIENCED</v>
      </c>
      <c r="F263" s="1">
        <f>VLOOKUP(Table7[[#This Row],[Student_ID]],student_data[],5,0)</f>
        <v>8.6999999999999993</v>
      </c>
      <c r="G263" s="1">
        <f>VLOOKUP(Table7[[#This Row],[Student_ID]],student_data[#All],6,0)</f>
        <v>4</v>
      </c>
      <c r="H263" s="1">
        <f>VLOOKUP(Table7[[#This Row],[Student_ID]],student_internships[],2,0)</f>
        <v>0</v>
      </c>
      <c r="I263" s="1">
        <f>VLOOKUP(Table7[[#This Row],[Student_ID]],Placements!A263:E1262,5,0)</f>
        <v>4.12</v>
      </c>
      <c r="J263" s="1" t="str">
        <f>IF(VLOOKUP(Table7[[#This Row],[Student_ID]],student_data[#All],5,0)&gt;8,"HIGH",IF(VLOOKUP(Table7[[#This Row],[Student_ID]],student_data[#All],5,0)&lt;6.5,"LOW","MEDIUM"))</f>
        <v>HIGH</v>
      </c>
    </row>
    <row r="264" spans="1:10" x14ac:dyDescent="0.2">
      <c r="A264" s="1" t="s">
        <v>273</v>
      </c>
      <c r="B264" s="1" t="str">
        <f>VLOOKUP(Table7[[#This Row],[Student_ID]],student_data[#All],2,0)</f>
        <v>Electronics</v>
      </c>
      <c r="C264" s="1">
        <f>(VLOOKUP(Table7[[#This Row],[Student_ID]],student_data[],5,0)*5)+(VLOOKUP(Table7[[#This Row],[Student_ID]],student_data[],6,0)*3)+(VLOOKUP(Table7[[#This Row],[Student_ID]],student_skills[],6,0)*2)+(VLOOKUP(Table7[[#This Row],[Student_ID]],student_internships[],2,0)*5)</f>
        <v>47.6</v>
      </c>
      <c r="D264" s="1">
        <f>AVERAGE(VLOOKUP(Table7[[#This Row],[Student_ID]],student_skills[],3,0),VLOOKUP(Table7[[#This Row],[Student_ID]],student_skills[],4,0),VLOOKUP(Table7[[#This Row],[Student_ID]],student_skills[],5,0),VLOOKUP(Table7[[#This Row],[Student_ID]],student_skills[],6,0))</f>
        <v>2.5</v>
      </c>
      <c r="E264" s="1" t="str">
        <f>IF(VLOOKUP(Table7[[#This Row],[Student_ID]],student_internships[#All],2,0)&gt;1,"EXPERIENCED",IF(VLOOKUP(Table7[[#This Row],[Student_ID]],student_internships[#All],2,0)=1,"BEGINNER","NOT EXPERIENCED"))</f>
        <v>BEGINNER</v>
      </c>
      <c r="F264" s="1">
        <f>VLOOKUP(Table7[[#This Row],[Student_ID]],student_data[],5,0)</f>
        <v>6.12</v>
      </c>
      <c r="G264" s="1">
        <f>VLOOKUP(Table7[[#This Row],[Student_ID]],student_data[#All],6,0)</f>
        <v>0</v>
      </c>
      <c r="H264" s="1">
        <f>VLOOKUP(Table7[[#This Row],[Student_ID]],student_internships[],2,0)</f>
        <v>1</v>
      </c>
      <c r="I264" s="1">
        <f>VLOOKUP(Table7[[#This Row],[Student_ID]],Placements!A264:E1263,5,0)</f>
        <v>8.69</v>
      </c>
      <c r="J264" s="1" t="str">
        <f>IF(VLOOKUP(Table7[[#This Row],[Student_ID]],student_data[#All],5,0)&gt;8,"HIGH",IF(VLOOKUP(Table7[[#This Row],[Student_ID]],student_data[#All],5,0)&lt;6.5,"LOW","MEDIUM"))</f>
        <v>LOW</v>
      </c>
    </row>
    <row r="265" spans="1:10" x14ac:dyDescent="0.2">
      <c r="A265" s="1" t="s">
        <v>274</v>
      </c>
      <c r="B265" s="1" t="str">
        <f>VLOOKUP(Table7[[#This Row],[Student_ID]],student_data[#All],2,0)</f>
        <v>Mechanical</v>
      </c>
      <c r="C265" s="1">
        <f>(VLOOKUP(Table7[[#This Row],[Student_ID]],student_data[],5,0)*5)+(VLOOKUP(Table7[[#This Row],[Student_ID]],student_data[],6,0)*3)+(VLOOKUP(Table7[[#This Row],[Student_ID]],student_skills[],6,0)*2)+(VLOOKUP(Table7[[#This Row],[Student_ID]],student_internships[],2,0)*5)</f>
        <v>67.050000000000011</v>
      </c>
      <c r="D265" s="1">
        <f>AVERAGE(VLOOKUP(Table7[[#This Row],[Student_ID]],student_skills[],3,0),VLOOKUP(Table7[[#This Row],[Student_ID]],student_skills[],4,0),VLOOKUP(Table7[[#This Row],[Student_ID]],student_skills[],5,0),VLOOKUP(Table7[[#This Row],[Student_ID]],student_skills[],6,0))</f>
        <v>3.25</v>
      </c>
      <c r="E265" s="1" t="str">
        <f>IF(VLOOKUP(Table7[[#This Row],[Student_ID]],student_internships[#All],2,0)&gt;1,"EXPERIENCED",IF(VLOOKUP(Table7[[#This Row],[Student_ID]],student_internships[#All],2,0)=1,"BEGINNER","NOT EXPERIENCED"))</f>
        <v>EXPERIENCED</v>
      </c>
      <c r="F265" s="1">
        <f>VLOOKUP(Table7[[#This Row],[Student_ID]],student_data[],5,0)</f>
        <v>8.2100000000000009</v>
      </c>
      <c r="G265" s="1">
        <f>VLOOKUP(Table7[[#This Row],[Student_ID]],student_data[#All],6,0)</f>
        <v>3</v>
      </c>
      <c r="H265" s="1">
        <f>VLOOKUP(Table7[[#This Row],[Student_ID]],student_internships[],2,0)</f>
        <v>3</v>
      </c>
      <c r="I265" s="1">
        <f>VLOOKUP(Table7[[#This Row],[Student_ID]],Placements!A265:E1264,5,0)</f>
        <v>5.88</v>
      </c>
      <c r="J265" s="1" t="str">
        <f>IF(VLOOKUP(Table7[[#This Row],[Student_ID]],student_data[#All],5,0)&gt;8,"HIGH",IF(VLOOKUP(Table7[[#This Row],[Student_ID]],student_data[#All],5,0)&lt;6.5,"LOW","MEDIUM"))</f>
        <v>HIGH</v>
      </c>
    </row>
    <row r="266" spans="1:10" x14ac:dyDescent="0.2">
      <c r="A266" s="1" t="s">
        <v>275</v>
      </c>
      <c r="B266" s="1" t="str">
        <f>VLOOKUP(Table7[[#This Row],[Student_ID]],student_data[#All],2,0)</f>
        <v>Information Technology</v>
      </c>
      <c r="C266" s="1">
        <f>(VLOOKUP(Table7[[#This Row],[Student_ID]],student_data[],5,0)*5)+(VLOOKUP(Table7[[#This Row],[Student_ID]],student_data[],6,0)*3)+(VLOOKUP(Table7[[#This Row],[Student_ID]],student_skills[],6,0)*2)+(VLOOKUP(Table7[[#This Row],[Student_ID]],student_internships[],2,0)*5)</f>
        <v>53.25</v>
      </c>
      <c r="D266" s="1">
        <f>AVERAGE(VLOOKUP(Table7[[#This Row],[Student_ID]],student_skills[],3,0),VLOOKUP(Table7[[#This Row],[Student_ID]],student_skills[],4,0),VLOOKUP(Table7[[#This Row],[Student_ID]],student_skills[],5,0),VLOOKUP(Table7[[#This Row],[Student_ID]],student_skills[],6,0))</f>
        <v>7</v>
      </c>
      <c r="E266" s="1" t="str">
        <f>IF(VLOOKUP(Table7[[#This Row],[Student_ID]],student_internships[#All],2,0)&gt;1,"EXPERIENCED",IF(VLOOKUP(Table7[[#This Row],[Student_ID]],student_internships[#All],2,0)=1,"BEGINNER","NOT EXPERIENCED"))</f>
        <v>NOT EXPERIENCED</v>
      </c>
      <c r="F266" s="1">
        <f>VLOOKUP(Table7[[#This Row],[Student_ID]],student_data[],5,0)</f>
        <v>7.85</v>
      </c>
      <c r="G266" s="1">
        <f>VLOOKUP(Table7[[#This Row],[Student_ID]],student_data[#All],6,0)</f>
        <v>0</v>
      </c>
      <c r="H266" s="1">
        <f>VLOOKUP(Table7[[#This Row],[Student_ID]],student_internships[],2,0)</f>
        <v>0</v>
      </c>
      <c r="I266" s="1">
        <f>VLOOKUP(Table7[[#This Row],[Student_ID]],Placements!A266:E1265,5,0)</f>
        <v>5.98</v>
      </c>
      <c r="J266" s="1" t="str">
        <f>IF(VLOOKUP(Table7[[#This Row],[Student_ID]],student_data[#All],5,0)&gt;8,"HIGH",IF(VLOOKUP(Table7[[#This Row],[Student_ID]],student_data[#All],5,0)&lt;6.5,"LOW","MEDIUM"))</f>
        <v>MEDIUM</v>
      </c>
    </row>
    <row r="267" spans="1:10" x14ac:dyDescent="0.2">
      <c r="A267" s="1" t="s">
        <v>276</v>
      </c>
      <c r="B267" s="1" t="str">
        <f>VLOOKUP(Table7[[#This Row],[Student_ID]],student_data[#All],2,0)</f>
        <v>Computer Science</v>
      </c>
      <c r="C267" s="1">
        <f>(VLOOKUP(Table7[[#This Row],[Student_ID]],student_data[],5,0)*5)+(VLOOKUP(Table7[[#This Row],[Student_ID]],student_data[],6,0)*3)+(VLOOKUP(Table7[[#This Row],[Student_ID]],student_skills[],6,0)*2)+(VLOOKUP(Table7[[#This Row],[Student_ID]],student_internships[],2,0)*5)</f>
        <v>70.2</v>
      </c>
      <c r="D267" s="1">
        <f>AVERAGE(VLOOKUP(Table7[[#This Row],[Student_ID]],student_skills[],3,0),VLOOKUP(Table7[[#This Row],[Student_ID]],student_skills[],4,0),VLOOKUP(Table7[[#This Row],[Student_ID]],student_skills[],5,0),VLOOKUP(Table7[[#This Row],[Student_ID]],student_skills[],6,0))</f>
        <v>7</v>
      </c>
      <c r="E267" s="1" t="str">
        <f>IF(VLOOKUP(Table7[[#This Row],[Student_ID]],student_internships[#All],2,0)&gt;1,"EXPERIENCED",IF(VLOOKUP(Table7[[#This Row],[Student_ID]],student_internships[#All],2,0)=1,"BEGINNER","NOT EXPERIENCED"))</f>
        <v>BEGINNER</v>
      </c>
      <c r="F267" s="1">
        <f>VLOOKUP(Table7[[#This Row],[Student_ID]],student_data[],5,0)</f>
        <v>7.84</v>
      </c>
      <c r="G267" s="1">
        <f>VLOOKUP(Table7[[#This Row],[Student_ID]],student_data[#All],6,0)</f>
        <v>4</v>
      </c>
      <c r="H267" s="1">
        <f>VLOOKUP(Table7[[#This Row],[Student_ID]],student_internships[],2,0)</f>
        <v>1</v>
      </c>
      <c r="I267" s="1">
        <f>VLOOKUP(Table7[[#This Row],[Student_ID]],Placements!A267:E1266,5,0)</f>
        <v>4.72</v>
      </c>
      <c r="J267" s="1" t="str">
        <f>IF(VLOOKUP(Table7[[#This Row],[Student_ID]],student_data[#All],5,0)&gt;8,"HIGH",IF(VLOOKUP(Table7[[#This Row],[Student_ID]],student_data[#All],5,0)&lt;6.5,"LOW","MEDIUM"))</f>
        <v>MEDIUM</v>
      </c>
    </row>
    <row r="268" spans="1:10" x14ac:dyDescent="0.2">
      <c r="A268" s="1" t="s">
        <v>277</v>
      </c>
      <c r="B268" s="1" t="str">
        <f>VLOOKUP(Table7[[#This Row],[Student_ID]],student_data[#All],2,0)</f>
        <v>Civil</v>
      </c>
      <c r="C268" s="1">
        <f>(VLOOKUP(Table7[[#This Row],[Student_ID]],student_data[],5,0)*5)+(VLOOKUP(Table7[[#This Row],[Student_ID]],student_data[],6,0)*3)+(VLOOKUP(Table7[[#This Row],[Student_ID]],student_skills[],6,0)*2)+(VLOOKUP(Table7[[#This Row],[Student_ID]],student_internships[],2,0)*5)</f>
        <v>74.599999999999994</v>
      </c>
      <c r="D268" s="1">
        <f>AVERAGE(VLOOKUP(Table7[[#This Row],[Student_ID]],student_skills[],3,0),VLOOKUP(Table7[[#This Row],[Student_ID]],student_skills[],4,0),VLOOKUP(Table7[[#This Row],[Student_ID]],student_skills[],5,0),VLOOKUP(Table7[[#This Row],[Student_ID]],student_skills[],6,0))</f>
        <v>7.75</v>
      </c>
      <c r="E268" s="1" t="str">
        <f>IF(VLOOKUP(Table7[[#This Row],[Student_ID]],student_internships[#All],2,0)&gt;1,"EXPERIENCED",IF(VLOOKUP(Table7[[#This Row],[Student_ID]],student_internships[#All],2,0)=1,"BEGINNER","NOT EXPERIENCED"))</f>
        <v>EXPERIENCED</v>
      </c>
      <c r="F268" s="1">
        <f>VLOOKUP(Table7[[#This Row],[Student_ID]],student_data[],5,0)</f>
        <v>8.32</v>
      </c>
      <c r="G268" s="1">
        <f>VLOOKUP(Table7[[#This Row],[Student_ID]],student_data[#All],6,0)</f>
        <v>1</v>
      </c>
      <c r="H268" s="1">
        <f>VLOOKUP(Table7[[#This Row],[Student_ID]],student_internships[],2,0)</f>
        <v>2</v>
      </c>
      <c r="I268" s="1">
        <f>VLOOKUP(Table7[[#This Row],[Student_ID]],Placements!A268:E1267,5,0)</f>
        <v>0</v>
      </c>
      <c r="J268" s="1" t="str">
        <f>IF(VLOOKUP(Table7[[#This Row],[Student_ID]],student_data[#All],5,0)&gt;8,"HIGH",IF(VLOOKUP(Table7[[#This Row],[Student_ID]],student_data[#All],5,0)&lt;6.5,"LOW","MEDIUM"))</f>
        <v>HIGH</v>
      </c>
    </row>
    <row r="269" spans="1:10" x14ac:dyDescent="0.2">
      <c r="A269" s="1" t="s">
        <v>278</v>
      </c>
      <c r="B269" s="1" t="str">
        <f>VLOOKUP(Table7[[#This Row],[Student_ID]],student_data[#All],2,0)</f>
        <v>Computer Science</v>
      </c>
      <c r="C269" s="1">
        <f>(VLOOKUP(Table7[[#This Row],[Student_ID]],student_data[],5,0)*5)+(VLOOKUP(Table7[[#This Row],[Student_ID]],student_data[],6,0)*3)+(VLOOKUP(Table7[[#This Row],[Student_ID]],student_skills[],6,0)*2)+(VLOOKUP(Table7[[#This Row],[Student_ID]],student_internships[],2,0)*5)</f>
        <v>83.7</v>
      </c>
      <c r="D269" s="1">
        <f>AVERAGE(VLOOKUP(Table7[[#This Row],[Student_ID]],student_skills[],3,0),VLOOKUP(Table7[[#This Row],[Student_ID]],student_skills[],4,0),VLOOKUP(Table7[[#This Row],[Student_ID]],student_skills[],5,0),VLOOKUP(Table7[[#This Row],[Student_ID]],student_skills[],6,0))</f>
        <v>6.5</v>
      </c>
      <c r="E269" s="1" t="str">
        <f>IF(VLOOKUP(Table7[[#This Row],[Student_ID]],student_internships[#All],2,0)&gt;1,"EXPERIENCED",IF(VLOOKUP(Table7[[#This Row],[Student_ID]],student_internships[#All],2,0)=1,"BEGINNER","NOT EXPERIENCED"))</f>
        <v>EXPERIENCED</v>
      </c>
      <c r="F269" s="1">
        <f>VLOOKUP(Table7[[#This Row],[Student_ID]],student_data[],5,0)</f>
        <v>7.74</v>
      </c>
      <c r="G269" s="1">
        <f>VLOOKUP(Table7[[#This Row],[Student_ID]],student_data[#All],6,0)</f>
        <v>5</v>
      </c>
      <c r="H269" s="1">
        <f>VLOOKUP(Table7[[#This Row],[Student_ID]],student_internships[],2,0)</f>
        <v>2</v>
      </c>
      <c r="I269" s="1">
        <f>VLOOKUP(Table7[[#This Row],[Student_ID]],Placements!A269:E1268,5,0)</f>
        <v>6.96</v>
      </c>
      <c r="J269" s="1" t="str">
        <f>IF(VLOOKUP(Table7[[#This Row],[Student_ID]],student_data[#All],5,0)&gt;8,"HIGH",IF(VLOOKUP(Table7[[#This Row],[Student_ID]],student_data[#All],5,0)&lt;6.5,"LOW","MEDIUM"))</f>
        <v>MEDIUM</v>
      </c>
    </row>
    <row r="270" spans="1:10" x14ac:dyDescent="0.2">
      <c r="A270" s="1" t="s">
        <v>279</v>
      </c>
      <c r="B270" s="1" t="str">
        <f>VLOOKUP(Table7[[#This Row],[Student_ID]],student_data[#All],2,0)</f>
        <v>Civil</v>
      </c>
      <c r="C270" s="1">
        <f>(VLOOKUP(Table7[[#This Row],[Student_ID]],student_data[],5,0)*5)+(VLOOKUP(Table7[[#This Row],[Student_ID]],student_data[],6,0)*3)+(VLOOKUP(Table7[[#This Row],[Student_ID]],student_skills[],6,0)*2)+(VLOOKUP(Table7[[#This Row],[Student_ID]],student_internships[],2,0)*5)</f>
        <v>63</v>
      </c>
      <c r="D270" s="1">
        <f>AVERAGE(VLOOKUP(Table7[[#This Row],[Student_ID]],student_skills[],3,0),VLOOKUP(Table7[[#This Row],[Student_ID]],student_skills[],4,0),VLOOKUP(Table7[[#This Row],[Student_ID]],student_skills[],5,0),VLOOKUP(Table7[[#This Row],[Student_ID]],student_skills[],6,0))</f>
        <v>2.25</v>
      </c>
      <c r="E270" s="1" t="str">
        <f>IF(VLOOKUP(Table7[[#This Row],[Student_ID]],student_internships[#All],2,0)&gt;1,"EXPERIENCED",IF(VLOOKUP(Table7[[#This Row],[Student_ID]],student_internships[#All],2,0)=1,"BEGINNER","NOT EXPERIENCED"))</f>
        <v>BEGINNER</v>
      </c>
      <c r="F270" s="1">
        <f>VLOOKUP(Table7[[#This Row],[Student_ID]],student_data[],5,0)</f>
        <v>9.4</v>
      </c>
      <c r="G270" s="1">
        <f>VLOOKUP(Table7[[#This Row],[Student_ID]],student_data[#All],6,0)</f>
        <v>1</v>
      </c>
      <c r="H270" s="1">
        <f>VLOOKUP(Table7[[#This Row],[Student_ID]],student_internships[],2,0)</f>
        <v>1</v>
      </c>
      <c r="I270" s="1">
        <f>VLOOKUP(Table7[[#This Row],[Student_ID]],Placements!A270:E1269,5,0)</f>
        <v>6.18</v>
      </c>
      <c r="J270" s="1" t="str">
        <f>IF(VLOOKUP(Table7[[#This Row],[Student_ID]],student_data[#All],5,0)&gt;8,"HIGH",IF(VLOOKUP(Table7[[#This Row],[Student_ID]],student_data[#All],5,0)&lt;6.5,"LOW","MEDIUM"))</f>
        <v>HIGH</v>
      </c>
    </row>
    <row r="271" spans="1:10" x14ac:dyDescent="0.2">
      <c r="A271" s="1" t="s">
        <v>280</v>
      </c>
      <c r="B271" s="1" t="str">
        <f>VLOOKUP(Table7[[#This Row],[Student_ID]],student_data[#All],2,0)</f>
        <v>Computer Science</v>
      </c>
      <c r="C271" s="1">
        <f>(VLOOKUP(Table7[[#This Row],[Student_ID]],student_data[],5,0)*5)+(VLOOKUP(Table7[[#This Row],[Student_ID]],student_data[],6,0)*3)+(VLOOKUP(Table7[[#This Row],[Student_ID]],student_skills[],6,0)*2)+(VLOOKUP(Table7[[#This Row],[Student_ID]],student_internships[],2,0)*5)</f>
        <v>67.900000000000006</v>
      </c>
      <c r="D271" s="1">
        <f>AVERAGE(VLOOKUP(Table7[[#This Row],[Student_ID]],student_skills[],3,0),VLOOKUP(Table7[[#This Row],[Student_ID]],student_skills[],4,0),VLOOKUP(Table7[[#This Row],[Student_ID]],student_skills[],5,0),VLOOKUP(Table7[[#This Row],[Student_ID]],student_skills[],6,0))</f>
        <v>5.5</v>
      </c>
      <c r="E271" s="1" t="str">
        <f>IF(VLOOKUP(Table7[[#This Row],[Student_ID]],student_internships[#All],2,0)&gt;1,"EXPERIENCED",IF(VLOOKUP(Table7[[#This Row],[Student_ID]],student_internships[#All],2,0)=1,"BEGINNER","NOT EXPERIENCED"))</f>
        <v>EXPERIENCED</v>
      </c>
      <c r="F271" s="1">
        <f>VLOOKUP(Table7[[#This Row],[Student_ID]],student_data[],5,0)</f>
        <v>8.3800000000000008</v>
      </c>
      <c r="G271" s="1">
        <f>VLOOKUP(Table7[[#This Row],[Student_ID]],student_data[#All],6,0)</f>
        <v>0</v>
      </c>
      <c r="H271" s="1">
        <f>VLOOKUP(Table7[[#This Row],[Student_ID]],student_internships[],2,0)</f>
        <v>2</v>
      </c>
      <c r="I271" s="1">
        <f>VLOOKUP(Table7[[#This Row],[Student_ID]],Placements!A271:E1270,5,0)</f>
        <v>0</v>
      </c>
      <c r="J271" s="1" t="str">
        <f>IF(VLOOKUP(Table7[[#This Row],[Student_ID]],student_data[#All],5,0)&gt;8,"HIGH",IF(VLOOKUP(Table7[[#This Row],[Student_ID]],student_data[#All],5,0)&lt;6.5,"LOW","MEDIUM"))</f>
        <v>HIGH</v>
      </c>
    </row>
    <row r="272" spans="1:10" x14ac:dyDescent="0.2">
      <c r="A272" s="1" t="s">
        <v>281</v>
      </c>
      <c r="B272" s="1" t="str">
        <f>VLOOKUP(Table7[[#This Row],[Student_ID]],student_data[#All],2,0)</f>
        <v>Information Technology</v>
      </c>
      <c r="C272" s="1">
        <f>(VLOOKUP(Table7[[#This Row],[Student_ID]],student_data[],5,0)*5)+(VLOOKUP(Table7[[#This Row],[Student_ID]],student_data[],6,0)*3)+(VLOOKUP(Table7[[#This Row],[Student_ID]],student_skills[],6,0)*2)+(VLOOKUP(Table7[[#This Row],[Student_ID]],student_internships[],2,0)*5)</f>
        <v>70.650000000000006</v>
      </c>
      <c r="D272" s="1">
        <f>AVERAGE(VLOOKUP(Table7[[#This Row],[Student_ID]],student_skills[],3,0),VLOOKUP(Table7[[#This Row],[Student_ID]],student_skills[],4,0),VLOOKUP(Table7[[#This Row],[Student_ID]],student_skills[],5,0),VLOOKUP(Table7[[#This Row],[Student_ID]],student_skills[],6,0))</f>
        <v>3.5</v>
      </c>
      <c r="E272" s="1" t="str">
        <f>IF(VLOOKUP(Table7[[#This Row],[Student_ID]],student_internships[#All],2,0)&gt;1,"EXPERIENCED",IF(VLOOKUP(Table7[[#This Row],[Student_ID]],student_internships[#All],2,0)=1,"BEGINNER","NOT EXPERIENCED"))</f>
        <v>BEGINNER</v>
      </c>
      <c r="F272" s="1">
        <f>VLOOKUP(Table7[[#This Row],[Student_ID]],student_data[],5,0)</f>
        <v>7.73</v>
      </c>
      <c r="G272" s="1">
        <f>VLOOKUP(Table7[[#This Row],[Student_ID]],student_data[#All],6,0)</f>
        <v>5</v>
      </c>
      <c r="H272" s="1">
        <f>VLOOKUP(Table7[[#This Row],[Student_ID]],student_internships[],2,0)</f>
        <v>1</v>
      </c>
      <c r="I272" s="1">
        <f>VLOOKUP(Table7[[#This Row],[Student_ID]],Placements!A272:E1271,5,0)</f>
        <v>0</v>
      </c>
      <c r="J272" s="1" t="str">
        <f>IF(VLOOKUP(Table7[[#This Row],[Student_ID]],student_data[#All],5,0)&gt;8,"HIGH",IF(VLOOKUP(Table7[[#This Row],[Student_ID]],student_data[#All],5,0)&lt;6.5,"LOW","MEDIUM"))</f>
        <v>MEDIUM</v>
      </c>
    </row>
    <row r="273" spans="1:10" x14ac:dyDescent="0.2">
      <c r="A273" s="1" t="s">
        <v>282</v>
      </c>
      <c r="B273" s="1" t="str">
        <f>VLOOKUP(Table7[[#This Row],[Student_ID]],student_data[#All],2,0)</f>
        <v>Civil</v>
      </c>
      <c r="C273" s="1">
        <f>(VLOOKUP(Table7[[#This Row],[Student_ID]],student_data[],5,0)*5)+(VLOOKUP(Table7[[#This Row],[Student_ID]],student_data[],6,0)*3)+(VLOOKUP(Table7[[#This Row],[Student_ID]],student_skills[],6,0)*2)+(VLOOKUP(Table7[[#This Row],[Student_ID]],student_internships[],2,0)*5)</f>
        <v>65.75</v>
      </c>
      <c r="D273" s="1">
        <f>AVERAGE(VLOOKUP(Table7[[#This Row],[Student_ID]],student_skills[],3,0),VLOOKUP(Table7[[#This Row],[Student_ID]],student_skills[],4,0),VLOOKUP(Table7[[#This Row],[Student_ID]],student_skills[],5,0),VLOOKUP(Table7[[#This Row],[Student_ID]],student_skills[],6,0))</f>
        <v>5.5</v>
      </c>
      <c r="E273" s="1" t="str">
        <f>IF(VLOOKUP(Table7[[#This Row],[Student_ID]],student_internships[#All],2,0)&gt;1,"EXPERIENCED",IF(VLOOKUP(Table7[[#This Row],[Student_ID]],student_internships[#All],2,0)=1,"BEGINNER","NOT EXPERIENCED"))</f>
        <v>NOT EXPERIENCED</v>
      </c>
      <c r="F273" s="1">
        <f>VLOOKUP(Table7[[#This Row],[Student_ID]],student_data[],5,0)</f>
        <v>9.15</v>
      </c>
      <c r="G273" s="1">
        <f>VLOOKUP(Table7[[#This Row],[Student_ID]],student_data[#All],6,0)</f>
        <v>4</v>
      </c>
      <c r="H273" s="1">
        <f>VLOOKUP(Table7[[#This Row],[Student_ID]],student_internships[],2,0)</f>
        <v>0</v>
      </c>
      <c r="I273" s="1">
        <f>VLOOKUP(Table7[[#This Row],[Student_ID]],Placements!A273:E1272,5,0)</f>
        <v>5.27</v>
      </c>
      <c r="J273" s="1" t="str">
        <f>IF(VLOOKUP(Table7[[#This Row],[Student_ID]],student_data[#All],5,0)&gt;8,"HIGH",IF(VLOOKUP(Table7[[#This Row],[Student_ID]],student_data[#All],5,0)&lt;6.5,"LOW","MEDIUM"))</f>
        <v>HIGH</v>
      </c>
    </row>
    <row r="274" spans="1:10" x14ac:dyDescent="0.2">
      <c r="A274" s="1" t="s">
        <v>283</v>
      </c>
      <c r="B274" s="1" t="str">
        <f>VLOOKUP(Table7[[#This Row],[Student_ID]],student_data[#All],2,0)</f>
        <v>Mechanical</v>
      </c>
      <c r="C274" s="1">
        <f>(VLOOKUP(Table7[[#This Row],[Student_ID]],student_data[],5,0)*5)+(VLOOKUP(Table7[[#This Row],[Student_ID]],student_data[],6,0)*3)+(VLOOKUP(Table7[[#This Row],[Student_ID]],student_skills[],6,0)*2)+(VLOOKUP(Table7[[#This Row],[Student_ID]],student_internships[],2,0)*5)</f>
        <v>61.15</v>
      </c>
      <c r="D274" s="1">
        <f>AVERAGE(VLOOKUP(Table7[[#This Row],[Student_ID]],student_skills[],3,0),VLOOKUP(Table7[[#This Row],[Student_ID]],student_skills[],4,0),VLOOKUP(Table7[[#This Row],[Student_ID]],student_skills[],5,0),VLOOKUP(Table7[[#This Row],[Student_ID]],student_skills[],6,0))</f>
        <v>4.75</v>
      </c>
      <c r="E274" s="1" t="str">
        <f>IF(VLOOKUP(Table7[[#This Row],[Student_ID]],student_internships[#All],2,0)&gt;1,"EXPERIENCED",IF(VLOOKUP(Table7[[#This Row],[Student_ID]],student_internships[#All],2,0)=1,"BEGINNER","NOT EXPERIENCED"))</f>
        <v>EXPERIENCED</v>
      </c>
      <c r="F274" s="1">
        <f>VLOOKUP(Table7[[#This Row],[Student_ID]],student_data[],5,0)</f>
        <v>8.0299999999999994</v>
      </c>
      <c r="G274" s="1">
        <f>VLOOKUP(Table7[[#This Row],[Student_ID]],student_data[#All],6,0)</f>
        <v>1</v>
      </c>
      <c r="H274" s="1">
        <f>VLOOKUP(Table7[[#This Row],[Student_ID]],student_internships[],2,0)</f>
        <v>2</v>
      </c>
      <c r="I274" s="1">
        <f>VLOOKUP(Table7[[#This Row],[Student_ID]],Placements!A274:E1273,5,0)</f>
        <v>0</v>
      </c>
      <c r="J274" s="1" t="str">
        <f>IF(VLOOKUP(Table7[[#This Row],[Student_ID]],student_data[#All],5,0)&gt;8,"HIGH",IF(VLOOKUP(Table7[[#This Row],[Student_ID]],student_data[#All],5,0)&lt;6.5,"LOW","MEDIUM"))</f>
        <v>HIGH</v>
      </c>
    </row>
    <row r="275" spans="1:10" x14ac:dyDescent="0.2">
      <c r="A275" s="1" t="s">
        <v>284</v>
      </c>
      <c r="B275" s="1" t="str">
        <f>VLOOKUP(Table7[[#This Row],[Student_ID]],student_data[#All],2,0)</f>
        <v>Computer Science</v>
      </c>
      <c r="C275" s="1">
        <f>(VLOOKUP(Table7[[#This Row],[Student_ID]],student_data[],5,0)*5)+(VLOOKUP(Table7[[#This Row],[Student_ID]],student_data[],6,0)*3)+(VLOOKUP(Table7[[#This Row],[Student_ID]],student_skills[],6,0)*2)+(VLOOKUP(Table7[[#This Row],[Student_ID]],student_internships[],2,0)*5)</f>
        <v>58.3</v>
      </c>
      <c r="D275" s="1">
        <f>AVERAGE(VLOOKUP(Table7[[#This Row],[Student_ID]],student_skills[],3,0),VLOOKUP(Table7[[#This Row],[Student_ID]],student_skills[],4,0),VLOOKUP(Table7[[#This Row],[Student_ID]],student_skills[],5,0),VLOOKUP(Table7[[#This Row],[Student_ID]],student_skills[],6,0))</f>
        <v>6.25</v>
      </c>
      <c r="E275" s="1" t="str">
        <f>IF(VLOOKUP(Table7[[#This Row],[Student_ID]],student_internships[#All],2,0)&gt;1,"EXPERIENCED",IF(VLOOKUP(Table7[[#This Row],[Student_ID]],student_internships[#All],2,0)=1,"BEGINNER","NOT EXPERIENCED"))</f>
        <v>EXPERIENCED</v>
      </c>
      <c r="F275" s="1">
        <f>VLOOKUP(Table7[[#This Row],[Student_ID]],student_data[],5,0)</f>
        <v>6.46</v>
      </c>
      <c r="G275" s="1">
        <f>VLOOKUP(Table7[[#This Row],[Student_ID]],student_data[#All],6,0)</f>
        <v>4</v>
      </c>
      <c r="H275" s="1">
        <f>VLOOKUP(Table7[[#This Row],[Student_ID]],student_internships[],2,0)</f>
        <v>2</v>
      </c>
      <c r="I275" s="1">
        <f>VLOOKUP(Table7[[#This Row],[Student_ID]],Placements!A275:E1274,5,0)</f>
        <v>14.61</v>
      </c>
      <c r="J275" s="1" t="str">
        <f>IF(VLOOKUP(Table7[[#This Row],[Student_ID]],student_data[#All],5,0)&gt;8,"HIGH",IF(VLOOKUP(Table7[[#This Row],[Student_ID]],student_data[#All],5,0)&lt;6.5,"LOW","MEDIUM"))</f>
        <v>LOW</v>
      </c>
    </row>
    <row r="276" spans="1:10" x14ac:dyDescent="0.2">
      <c r="A276" s="1" t="s">
        <v>285</v>
      </c>
      <c r="B276" s="1" t="str">
        <f>VLOOKUP(Table7[[#This Row],[Student_ID]],student_data[#All],2,0)</f>
        <v>Computer Science</v>
      </c>
      <c r="C276" s="1">
        <f>(VLOOKUP(Table7[[#This Row],[Student_ID]],student_data[],5,0)*5)+(VLOOKUP(Table7[[#This Row],[Student_ID]],student_data[],6,0)*3)+(VLOOKUP(Table7[[#This Row],[Student_ID]],student_skills[],6,0)*2)+(VLOOKUP(Table7[[#This Row],[Student_ID]],student_internships[],2,0)*5)</f>
        <v>59.2</v>
      </c>
      <c r="D276" s="1">
        <f>AVERAGE(VLOOKUP(Table7[[#This Row],[Student_ID]],student_skills[],3,0),VLOOKUP(Table7[[#This Row],[Student_ID]],student_skills[],4,0),VLOOKUP(Table7[[#This Row],[Student_ID]],student_skills[],5,0),VLOOKUP(Table7[[#This Row],[Student_ID]],student_skills[],6,0))</f>
        <v>4.75</v>
      </c>
      <c r="E276" s="1" t="str">
        <f>IF(VLOOKUP(Table7[[#This Row],[Student_ID]],student_internships[#All],2,0)&gt;1,"EXPERIENCED",IF(VLOOKUP(Table7[[#This Row],[Student_ID]],student_internships[#All],2,0)=1,"BEGINNER","NOT EXPERIENCED"))</f>
        <v>EXPERIENCED</v>
      </c>
      <c r="F276" s="1">
        <f>VLOOKUP(Table7[[#This Row],[Student_ID]],student_data[],5,0)</f>
        <v>6.04</v>
      </c>
      <c r="G276" s="1">
        <f>VLOOKUP(Table7[[#This Row],[Student_ID]],student_data[#All],6,0)</f>
        <v>5</v>
      </c>
      <c r="H276" s="1">
        <f>VLOOKUP(Table7[[#This Row],[Student_ID]],student_internships[],2,0)</f>
        <v>2</v>
      </c>
      <c r="I276" s="1">
        <f>VLOOKUP(Table7[[#This Row],[Student_ID]],Placements!A276:E1275,5,0)</f>
        <v>0</v>
      </c>
      <c r="J276" s="1" t="str">
        <f>IF(VLOOKUP(Table7[[#This Row],[Student_ID]],student_data[#All],5,0)&gt;8,"HIGH",IF(VLOOKUP(Table7[[#This Row],[Student_ID]],student_data[#All],5,0)&lt;6.5,"LOW","MEDIUM"))</f>
        <v>LOW</v>
      </c>
    </row>
    <row r="277" spans="1:10" x14ac:dyDescent="0.2">
      <c r="A277" s="1" t="s">
        <v>286</v>
      </c>
      <c r="B277" s="1" t="str">
        <f>VLOOKUP(Table7[[#This Row],[Student_ID]],student_data[#All],2,0)</f>
        <v>Civil</v>
      </c>
      <c r="C277" s="1">
        <f>(VLOOKUP(Table7[[#This Row],[Student_ID]],student_data[],5,0)*5)+(VLOOKUP(Table7[[#This Row],[Student_ID]],student_data[],6,0)*3)+(VLOOKUP(Table7[[#This Row],[Student_ID]],student_skills[],6,0)*2)+(VLOOKUP(Table7[[#This Row],[Student_ID]],student_internships[],2,0)*5)</f>
        <v>66.8</v>
      </c>
      <c r="D277" s="1">
        <f>AVERAGE(VLOOKUP(Table7[[#This Row],[Student_ID]],student_skills[],3,0),VLOOKUP(Table7[[#This Row],[Student_ID]],student_skills[],4,0),VLOOKUP(Table7[[#This Row],[Student_ID]],student_skills[],5,0),VLOOKUP(Table7[[#This Row],[Student_ID]],student_skills[],6,0))</f>
        <v>3.75</v>
      </c>
      <c r="E277" s="1" t="str">
        <f>IF(VLOOKUP(Table7[[#This Row],[Student_ID]],student_internships[#All],2,0)&gt;1,"EXPERIENCED",IF(VLOOKUP(Table7[[#This Row],[Student_ID]],student_internships[#All],2,0)=1,"BEGINNER","NOT EXPERIENCED"))</f>
        <v>EXPERIENCED</v>
      </c>
      <c r="F277" s="1">
        <f>VLOOKUP(Table7[[#This Row],[Student_ID]],student_data[],5,0)</f>
        <v>5.76</v>
      </c>
      <c r="G277" s="1">
        <f>VLOOKUP(Table7[[#This Row],[Student_ID]],student_data[#All],6,0)</f>
        <v>5</v>
      </c>
      <c r="H277" s="1">
        <f>VLOOKUP(Table7[[#This Row],[Student_ID]],student_internships[],2,0)</f>
        <v>3</v>
      </c>
      <c r="I277" s="1">
        <f>VLOOKUP(Table7[[#This Row],[Student_ID]],Placements!A277:E1276,5,0)</f>
        <v>6.86</v>
      </c>
      <c r="J277" s="1" t="str">
        <f>IF(VLOOKUP(Table7[[#This Row],[Student_ID]],student_data[#All],5,0)&gt;8,"HIGH",IF(VLOOKUP(Table7[[#This Row],[Student_ID]],student_data[#All],5,0)&lt;6.5,"LOW","MEDIUM"))</f>
        <v>LOW</v>
      </c>
    </row>
    <row r="278" spans="1:10" x14ac:dyDescent="0.2">
      <c r="A278" s="1" t="s">
        <v>287</v>
      </c>
      <c r="B278" s="1" t="str">
        <f>VLOOKUP(Table7[[#This Row],[Student_ID]],student_data[#All],2,0)</f>
        <v>Mechanical</v>
      </c>
      <c r="C278" s="1">
        <f>(VLOOKUP(Table7[[#This Row],[Student_ID]],student_data[],5,0)*5)+(VLOOKUP(Table7[[#This Row],[Student_ID]],student_data[],6,0)*3)+(VLOOKUP(Table7[[#This Row],[Student_ID]],student_skills[],6,0)*2)+(VLOOKUP(Table7[[#This Row],[Student_ID]],student_internships[],2,0)*5)</f>
        <v>65.5</v>
      </c>
      <c r="D278" s="1">
        <f>AVERAGE(VLOOKUP(Table7[[#This Row],[Student_ID]],student_skills[],3,0),VLOOKUP(Table7[[#This Row],[Student_ID]],student_skills[],4,0),VLOOKUP(Table7[[#This Row],[Student_ID]],student_skills[],5,0),VLOOKUP(Table7[[#This Row],[Student_ID]],student_skills[],6,0))</f>
        <v>4</v>
      </c>
      <c r="E278" s="1" t="str">
        <f>IF(VLOOKUP(Table7[[#This Row],[Student_ID]],student_internships[#All],2,0)&gt;1,"EXPERIENCED",IF(VLOOKUP(Table7[[#This Row],[Student_ID]],student_internships[#All],2,0)=1,"BEGINNER","NOT EXPERIENCED"))</f>
        <v>BEGINNER</v>
      </c>
      <c r="F278" s="1">
        <f>VLOOKUP(Table7[[#This Row],[Student_ID]],student_data[],5,0)</f>
        <v>9.5</v>
      </c>
      <c r="G278" s="1">
        <f>VLOOKUP(Table7[[#This Row],[Student_ID]],student_data[#All],6,0)</f>
        <v>1</v>
      </c>
      <c r="H278" s="1">
        <f>VLOOKUP(Table7[[#This Row],[Student_ID]],student_internships[],2,0)</f>
        <v>1</v>
      </c>
      <c r="I278" s="1">
        <f>VLOOKUP(Table7[[#This Row],[Student_ID]],Placements!A278:E1277,5,0)</f>
        <v>5.19</v>
      </c>
      <c r="J278" s="1" t="str">
        <f>IF(VLOOKUP(Table7[[#This Row],[Student_ID]],student_data[#All],5,0)&gt;8,"HIGH",IF(VLOOKUP(Table7[[#This Row],[Student_ID]],student_data[#All],5,0)&lt;6.5,"LOW","MEDIUM"))</f>
        <v>HIGH</v>
      </c>
    </row>
    <row r="279" spans="1:10" x14ac:dyDescent="0.2">
      <c r="A279" s="1" t="s">
        <v>288</v>
      </c>
      <c r="B279" s="1" t="str">
        <f>VLOOKUP(Table7[[#This Row],[Student_ID]],student_data[#All],2,0)</f>
        <v>Mechanical</v>
      </c>
      <c r="C279" s="1">
        <f>(VLOOKUP(Table7[[#This Row],[Student_ID]],student_data[],5,0)*5)+(VLOOKUP(Table7[[#This Row],[Student_ID]],student_data[],6,0)*3)+(VLOOKUP(Table7[[#This Row],[Student_ID]],student_skills[],6,0)*2)+(VLOOKUP(Table7[[#This Row],[Student_ID]],student_internships[],2,0)*5)</f>
        <v>75.75</v>
      </c>
      <c r="D279" s="1">
        <f>AVERAGE(VLOOKUP(Table7[[#This Row],[Student_ID]],student_skills[],3,0),VLOOKUP(Table7[[#This Row],[Student_ID]],student_skills[],4,0),VLOOKUP(Table7[[#This Row],[Student_ID]],student_skills[],5,0),VLOOKUP(Table7[[#This Row],[Student_ID]],student_skills[],6,0))</f>
        <v>4.5</v>
      </c>
      <c r="E279" s="1" t="str">
        <f>IF(VLOOKUP(Table7[[#This Row],[Student_ID]],student_internships[#All],2,0)&gt;1,"EXPERIENCED",IF(VLOOKUP(Table7[[#This Row],[Student_ID]],student_internships[#All],2,0)=1,"BEGINNER","NOT EXPERIENCED"))</f>
        <v>BEGINNER</v>
      </c>
      <c r="F279" s="1">
        <f>VLOOKUP(Table7[[#This Row],[Student_ID]],student_data[],5,0)</f>
        <v>8.5500000000000007</v>
      </c>
      <c r="G279" s="1">
        <f>VLOOKUP(Table7[[#This Row],[Student_ID]],student_data[#All],6,0)</f>
        <v>4</v>
      </c>
      <c r="H279" s="1">
        <f>VLOOKUP(Table7[[#This Row],[Student_ID]],student_internships[],2,0)</f>
        <v>1</v>
      </c>
      <c r="I279" s="1">
        <f>VLOOKUP(Table7[[#This Row],[Student_ID]],Placements!A279:E1278,5,0)</f>
        <v>4.12</v>
      </c>
      <c r="J279" s="1" t="str">
        <f>IF(VLOOKUP(Table7[[#This Row],[Student_ID]],student_data[#All],5,0)&gt;8,"HIGH",IF(VLOOKUP(Table7[[#This Row],[Student_ID]],student_data[#All],5,0)&lt;6.5,"LOW","MEDIUM"))</f>
        <v>HIGH</v>
      </c>
    </row>
    <row r="280" spans="1:10" x14ac:dyDescent="0.2">
      <c r="A280" s="1" t="s">
        <v>289</v>
      </c>
      <c r="B280" s="1" t="str">
        <f>VLOOKUP(Table7[[#This Row],[Student_ID]],student_data[#All],2,0)</f>
        <v>Information Technology</v>
      </c>
      <c r="C280" s="1">
        <f>(VLOOKUP(Table7[[#This Row],[Student_ID]],student_data[],5,0)*5)+(VLOOKUP(Table7[[#This Row],[Student_ID]],student_data[],6,0)*3)+(VLOOKUP(Table7[[#This Row],[Student_ID]],student_skills[],6,0)*2)+(VLOOKUP(Table7[[#This Row],[Student_ID]],student_internships[],2,0)*5)</f>
        <v>76.449999999999989</v>
      </c>
      <c r="D280" s="1">
        <f>AVERAGE(VLOOKUP(Table7[[#This Row],[Student_ID]],student_skills[],3,0),VLOOKUP(Table7[[#This Row],[Student_ID]],student_skills[],4,0),VLOOKUP(Table7[[#This Row],[Student_ID]],student_skills[],5,0),VLOOKUP(Table7[[#This Row],[Student_ID]],student_skills[],6,0))</f>
        <v>2.75</v>
      </c>
      <c r="E280" s="1" t="str">
        <f>IF(VLOOKUP(Table7[[#This Row],[Student_ID]],student_internships[#All],2,0)&gt;1,"EXPERIENCED",IF(VLOOKUP(Table7[[#This Row],[Student_ID]],student_internships[#All],2,0)=1,"BEGINNER","NOT EXPERIENCED"))</f>
        <v>EXPERIENCED</v>
      </c>
      <c r="F280" s="1">
        <f>VLOOKUP(Table7[[#This Row],[Student_ID]],student_data[],5,0)</f>
        <v>9.69</v>
      </c>
      <c r="G280" s="1">
        <f>VLOOKUP(Table7[[#This Row],[Student_ID]],student_data[#All],6,0)</f>
        <v>2</v>
      </c>
      <c r="H280" s="1">
        <f>VLOOKUP(Table7[[#This Row],[Student_ID]],student_internships[],2,0)</f>
        <v>2</v>
      </c>
      <c r="I280" s="1">
        <f>VLOOKUP(Table7[[#This Row],[Student_ID]],Placements!A280:E1279,5,0)</f>
        <v>0</v>
      </c>
      <c r="J280" s="1" t="str">
        <f>IF(VLOOKUP(Table7[[#This Row],[Student_ID]],student_data[#All],5,0)&gt;8,"HIGH",IF(VLOOKUP(Table7[[#This Row],[Student_ID]],student_data[#All],5,0)&lt;6.5,"LOW","MEDIUM"))</f>
        <v>HIGH</v>
      </c>
    </row>
    <row r="281" spans="1:10" x14ac:dyDescent="0.2">
      <c r="A281" s="1" t="s">
        <v>290</v>
      </c>
      <c r="B281" s="1" t="str">
        <f>VLOOKUP(Table7[[#This Row],[Student_ID]],student_data[#All],2,0)</f>
        <v>Mechanical</v>
      </c>
      <c r="C281" s="1">
        <f>(VLOOKUP(Table7[[#This Row],[Student_ID]],student_data[],5,0)*5)+(VLOOKUP(Table7[[#This Row],[Student_ID]],student_data[],6,0)*3)+(VLOOKUP(Table7[[#This Row],[Student_ID]],student_skills[],6,0)*2)+(VLOOKUP(Table7[[#This Row],[Student_ID]],student_internships[],2,0)*5)</f>
        <v>65.099999999999994</v>
      </c>
      <c r="D281" s="1">
        <f>AVERAGE(VLOOKUP(Table7[[#This Row],[Student_ID]],student_skills[],3,0),VLOOKUP(Table7[[#This Row],[Student_ID]],student_skills[],4,0),VLOOKUP(Table7[[#This Row],[Student_ID]],student_skills[],5,0),VLOOKUP(Table7[[#This Row],[Student_ID]],student_skills[],6,0))</f>
        <v>6.25</v>
      </c>
      <c r="E281" s="1" t="str">
        <f>IF(VLOOKUP(Table7[[#This Row],[Student_ID]],student_internships[#All],2,0)&gt;1,"EXPERIENCED",IF(VLOOKUP(Table7[[#This Row],[Student_ID]],student_internships[#All],2,0)=1,"BEGINNER","NOT EXPERIENCED"))</f>
        <v>BEGINNER</v>
      </c>
      <c r="F281" s="1">
        <f>VLOOKUP(Table7[[#This Row],[Student_ID]],student_data[],5,0)</f>
        <v>8.02</v>
      </c>
      <c r="G281" s="1">
        <f>VLOOKUP(Table7[[#This Row],[Student_ID]],student_data[#All],6,0)</f>
        <v>4</v>
      </c>
      <c r="H281" s="1">
        <f>VLOOKUP(Table7[[#This Row],[Student_ID]],student_internships[],2,0)</f>
        <v>1</v>
      </c>
      <c r="I281" s="1">
        <f>VLOOKUP(Table7[[#This Row],[Student_ID]],Placements!A281:E1280,5,0)</f>
        <v>4.24</v>
      </c>
      <c r="J281" s="1" t="str">
        <f>IF(VLOOKUP(Table7[[#This Row],[Student_ID]],student_data[#All],5,0)&gt;8,"HIGH",IF(VLOOKUP(Table7[[#This Row],[Student_ID]],student_data[#All],5,0)&lt;6.5,"LOW","MEDIUM"))</f>
        <v>HIGH</v>
      </c>
    </row>
    <row r="282" spans="1:10" x14ac:dyDescent="0.2">
      <c r="A282" s="1" t="s">
        <v>291</v>
      </c>
      <c r="B282" s="1" t="str">
        <f>VLOOKUP(Table7[[#This Row],[Student_ID]],student_data[#All],2,0)</f>
        <v>Mechanical</v>
      </c>
      <c r="C282" s="1">
        <f>(VLOOKUP(Table7[[#This Row],[Student_ID]],student_data[],5,0)*5)+(VLOOKUP(Table7[[#This Row],[Student_ID]],student_data[],6,0)*3)+(VLOOKUP(Table7[[#This Row],[Student_ID]],student_skills[],6,0)*2)+(VLOOKUP(Table7[[#This Row],[Student_ID]],student_internships[],2,0)*5)</f>
        <v>75.849999999999994</v>
      </c>
      <c r="D282" s="1">
        <f>AVERAGE(VLOOKUP(Table7[[#This Row],[Student_ID]],student_skills[],3,0),VLOOKUP(Table7[[#This Row],[Student_ID]],student_skills[],4,0),VLOOKUP(Table7[[#This Row],[Student_ID]],student_skills[],5,0),VLOOKUP(Table7[[#This Row],[Student_ID]],student_skills[],6,0))</f>
        <v>5.75</v>
      </c>
      <c r="E282" s="1" t="str">
        <f>IF(VLOOKUP(Table7[[#This Row],[Student_ID]],student_internships[#All],2,0)&gt;1,"EXPERIENCED",IF(VLOOKUP(Table7[[#This Row],[Student_ID]],student_internships[#All],2,0)=1,"BEGINNER","NOT EXPERIENCED"))</f>
        <v>EXPERIENCED</v>
      </c>
      <c r="F282" s="1">
        <f>VLOOKUP(Table7[[#This Row],[Student_ID]],student_data[],5,0)</f>
        <v>7.37</v>
      </c>
      <c r="G282" s="1">
        <f>VLOOKUP(Table7[[#This Row],[Student_ID]],student_data[#All],6,0)</f>
        <v>5</v>
      </c>
      <c r="H282" s="1">
        <f>VLOOKUP(Table7[[#This Row],[Student_ID]],student_internships[],2,0)</f>
        <v>2</v>
      </c>
      <c r="I282" s="1">
        <f>VLOOKUP(Table7[[#This Row],[Student_ID]],Placements!A282:E1281,5,0)</f>
        <v>3.56</v>
      </c>
      <c r="J282" s="1" t="str">
        <f>IF(VLOOKUP(Table7[[#This Row],[Student_ID]],student_data[#All],5,0)&gt;8,"HIGH",IF(VLOOKUP(Table7[[#This Row],[Student_ID]],student_data[#All],5,0)&lt;6.5,"LOW","MEDIUM"))</f>
        <v>MEDIUM</v>
      </c>
    </row>
    <row r="283" spans="1:10" x14ac:dyDescent="0.2">
      <c r="A283" s="1" t="s">
        <v>292</v>
      </c>
      <c r="B283" s="1" t="str">
        <f>VLOOKUP(Table7[[#This Row],[Student_ID]],student_data[#All],2,0)</f>
        <v>Mechanical</v>
      </c>
      <c r="C283" s="1">
        <f>(VLOOKUP(Table7[[#This Row],[Student_ID]],student_data[],5,0)*5)+(VLOOKUP(Table7[[#This Row],[Student_ID]],student_data[],6,0)*3)+(VLOOKUP(Table7[[#This Row],[Student_ID]],student_skills[],6,0)*2)+(VLOOKUP(Table7[[#This Row],[Student_ID]],student_internships[],2,0)*5)</f>
        <v>64.5</v>
      </c>
      <c r="D283" s="1">
        <f>AVERAGE(VLOOKUP(Table7[[#This Row],[Student_ID]],student_skills[],3,0),VLOOKUP(Table7[[#This Row],[Student_ID]],student_skills[],4,0),VLOOKUP(Table7[[#This Row],[Student_ID]],student_skills[],5,0),VLOOKUP(Table7[[#This Row],[Student_ID]],student_skills[],6,0))</f>
        <v>6.75</v>
      </c>
      <c r="E283" s="1" t="str">
        <f>IF(VLOOKUP(Table7[[#This Row],[Student_ID]],student_internships[#All],2,0)&gt;1,"EXPERIENCED",IF(VLOOKUP(Table7[[#This Row],[Student_ID]],student_internships[#All],2,0)=1,"BEGINNER","NOT EXPERIENCED"))</f>
        <v>EXPERIENCED</v>
      </c>
      <c r="F283" s="1">
        <f>VLOOKUP(Table7[[#This Row],[Student_ID]],student_data[],5,0)</f>
        <v>5.3</v>
      </c>
      <c r="G283" s="1">
        <f>VLOOKUP(Table7[[#This Row],[Student_ID]],student_data[#All],6,0)</f>
        <v>4</v>
      </c>
      <c r="H283" s="1">
        <f>VLOOKUP(Table7[[#This Row],[Student_ID]],student_internships[],2,0)</f>
        <v>2</v>
      </c>
      <c r="I283" s="1">
        <f>VLOOKUP(Table7[[#This Row],[Student_ID]],Placements!A283:E1282,5,0)</f>
        <v>4.3499999999999996</v>
      </c>
      <c r="J283" s="1" t="str">
        <f>IF(VLOOKUP(Table7[[#This Row],[Student_ID]],student_data[#All],5,0)&gt;8,"HIGH",IF(VLOOKUP(Table7[[#This Row],[Student_ID]],student_data[#All],5,0)&lt;6.5,"LOW","MEDIUM"))</f>
        <v>LOW</v>
      </c>
    </row>
    <row r="284" spans="1:10" x14ac:dyDescent="0.2">
      <c r="A284" s="1" t="s">
        <v>293</v>
      </c>
      <c r="B284" s="1" t="str">
        <f>VLOOKUP(Table7[[#This Row],[Student_ID]],student_data[#All],2,0)</f>
        <v>Electronics</v>
      </c>
      <c r="C284" s="1">
        <f>(VLOOKUP(Table7[[#This Row],[Student_ID]],student_data[],5,0)*5)+(VLOOKUP(Table7[[#This Row],[Student_ID]],student_data[],6,0)*3)+(VLOOKUP(Table7[[#This Row],[Student_ID]],student_skills[],6,0)*2)+(VLOOKUP(Table7[[#This Row],[Student_ID]],student_internships[],2,0)*5)</f>
        <v>55.8</v>
      </c>
      <c r="D284" s="1">
        <f>AVERAGE(VLOOKUP(Table7[[#This Row],[Student_ID]],student_skills[],3,0),VLOOKUP(Table7[[#This Row],[Student_ID]],student_skills[],4,0),VLOOKUP(Table7[[#This Row],[Student_ID]],student_skills[],5,0),VLOOKUP(Table7[[#This Row],[Student_ID]],student_skills[],6,0))</f>
        <v>3.25</v>
      </c>
      <c r="E284" s="1" t="str">
        <f>IF(VLOOKUP(Table7[[#This Row],[Student_ID]],student_internships[#All],2,0)&gt;1,"EXPERIENCED",IF(VLOOKUP(Table7[[#This Row],[Student_ID]],student_internships[#All],2,0)=1,"BEGINNER","NOT EXPERIENCED"))</f>
        <v>EXPERIENCED</v>
      </c>
      <c r="F284" s="1">
        <f>VLOOKUP(Table7[[#This Row],[Student_ID]],student_data[],5,0)</f>
        <v>8.36</v>
      </c>
      <c r="G284" s="1">
        <f>VLOOKUP(Table7[[#This Row],[Student_ID]],student_data[#All],6,0)</f>
        <v>0</v>
      </c>
      <c r="H284" s="1">
        <f>VLOOKUP(Table7[[#This Row],[Student_ID]],student_internships[],2,0)</f>
        <v>2</v>
      </c>
      <c r="I284" s="1">
        <f>VLOOKUP(Table7[[#This Row],[Student_ID]],Placements!A284:E1283,5,0)</f>
        <v>14.77</v>
      </c>
      <c r="J284" s="1" t="str">
        <f>IF(VLOOKUP(Table7[[#This Row],[Student_ID]],student_data[#All],5,0)&gt;8,"HIGH",IF(VLOOKUP(Table7[[#This Row],[Student_ID]],student_data[#All],5,0)&lt;6.5,"LOW","MEDIUM"))</f>
        <v>HIGH</v>
      </c>
    </row>
    <row r="285" spans="1:10" x14ac:dyDescent="0.2">
      <c r="A285" s="1" t="s">
        <v>294</v>
      </c>
      <c r="B285" s="1" t="str">
        <f>VLOOKUP(Table7[[#This Row],[Student_ID]],student_data[#All],2,0)</f>
        <v>Information Technology</v>
      </c>
      <c r="C285" s="1">
        <f>(VLOOKUP(Table7[[#This Row],[Student_ID]],student_data[],5,0)*5)+(VLOOKUP(Table7[[#This Row],[Student_ID]],student_data[],6,0)*3)+(VLOOKUP(Table7[[#This Row],[Student_ID]],student_skills[],6,0)*2)+(VLOOKUP(Table7[[#This Row],[Student_ID]],student_internships[],2,0)*5)</f>
        <v>64.55</v>
      </c>
      <c r="D285" s="1">
        <f>AVERAGE(VLOOKUP(Table7[[#This Row],[Student_ID]],student_skills[],3,0),VLOOKUP(Table7[[#This Row],[Student_ID]],student_skills[],4,0),VLOOKUP(Table7[[#This Row],[Student_ID]],student_skills[],5,0),VLOOKUP(Table7[[#This Row],[Student_ID]],student_skills[],6,0))</f>
        <v>6.5</v>
      </c>
      <c r="E285" s="1" t="str">
        <f>IF(VLOOKUP(Table7[[#This Row],[Student_ID]],student_internships[#All],2,0)&gt;1,"EXPERIENCED",IF(VLOOKUP(Table7[[#This Row],[Student_ID]],student_internships[#All],2,0)=1,"BEGINNER","NOT EXPERIENCED"))</f>
        <v>BEGINNER</v>
      </c>
      <c r="F285" s="1">
        <f>VLOOKUP(Table7[[#This Row],[Student_ID]],student_data[],5,0)</f>
        <v>7.91</v>
      </c>
      <c r="G285" s="1">
        <f>VLOOKUP(Table7[[#This Row],[Student_ID]],student_data[#All],6,0)</f>
        <v>2</v>
      </c>
      <c r="H285" s="1">
        <f>VLOOKUP(Table7[[#This Row],[Student_ID]],student_internships[],2,0)</f>
        <v>1</v>
      </c>
      <c r="I285" s="1">
        <f>VLOOKUP(Table7[[#This Row],[Student_ID]],Placements!A285:E1284,5,0)</f>
        <v>0</v>
      </c>
      <c r="J285" s="1" t="str">
        <f>IF(VLOOKUP(Table7[[#This Row],[Student_ID]],student_data[#All],5,0)&gt;8,"HIGH",IF(VLOOKUP(Table7[[#This Row],[Student_ID]],student_data[#All],5,0)&lt;6.5,"LOW","MEDIUM"))</f>
        <v>MEDIUM</v>
      </c>
    </row>
    <row r="286" spans="1:10" x14ac:dyDescent="0.2">
      <c r="A286" s="1" t="s">
        <v>295</v>
      </c>
      <c r="B286" s="1" t="str">
        <f>VLOOKUP(Table7[[#This Row],[Student_ID]],student_data[#All],2,0)</f>
        <v>Computer Science</v>
      </c>
      <c r="C286" s="1">
        <f>(VLOOKUP(Table7[[#This Row],[Student_ID]],student_data[],5,0)*5)+(VLOOKUP(Table7[[#This Row],[Student_ID]],student_data[],6,0)*3)+(VLOOKUP(Table7[[#This Row],[Student_ID]],student_skills[],6,0)*2)+(VLOOKUP(Table7[[#This Row],[Student_ID]],student_internships[],2,0)*5)</f>
        <v>67.75</v>
      </c>
      <c r="D286" s="1">
        <f>AVERAGE(VLOOKUP(Table7[[#This Row],[Student_ID]],student_skills[],3,0),VLOOKUP(Table7[[#This Row],[Student_ID]],student_skills[],4,0),VLOOKUP(Table7[[#This Row],[Student_ID]],student_skills[],5,0),VLOOKUP(Table7[[#This Row],[Student_ID]],student_skills[],6,0))</f>
        <v>4.75</v>
      </c>
      <c r="E286" s="1" t="str">
        <f>IF(VLOOKUP(Table7[[#This Row],[Student_ID]],student_internships[#All],2,0)&gt;1,"EXPERIENCED",IF(VLOOKUP(Table7[[#This Row],[Student_ID]],student_internships[#All],2,0)=1,"BEGINNER","NOT EXPERIENCED"))</f>
        <v>BEGINNER</v>
      </c>
      <c r="F286" s="1">
        <f>VLOOKUP(Table7[[#This Row],[Student_ID]],student_data[],5,0)</f>
        <v>9.9499999999999993</v>
      </c>
      <c r="G286" s="1">
        <f>VLOOKUP(Table7[[#This Row],[Student_ID]],student_data[#All],6,0)</f>
        <v>3</v>
      </c>
      <c r="H286" s="1">
        <f>VLOOKUP(Table7[[#This Row],[Student_ID]],student_internships[],2,0)</f>
        <v>1</v>
      </c>
      <c r="I286" s="1">
        <f>VLOOKUP(Table7[[#This Row],[Student_ID]],Placements!A286:E1285,5,0)</f>
        <v>5.65</v>
      </c>
      <c r="J286" s="1" t="str">
        <f>IF(VLOOKUP(Table7[[#This Row],[Student_ID]],student_data[#All],5,0)&gt;8,"HIGH",IF(VLOOKUP(Table7[[#This Row],[Student_ID]],student_data[#All],5,0)&lt;6.5,"LOW","MEDIUM"))</f>
        <v>HIGH</v>
      </c>
    </row>
    <row r="287" spans="1:10" x14ac:dyDescent="0.2">
      <c r="A287" s="1" t="s">
        <v>296</v>
      </c>
      <c r="B287" s="1" t="str">
        <f>VLOOKUP(Table7[[#This Row],[Student_ID]],student_data[#All],2,0)</f>
        <v>Civil</v>
      </c>
      <c r="C287" s="1">
        <f>(VLOOKUP(Table7[[#This Row],[Student_ID]],student_data[],5,0)*5)+(VLOOKUP(Table7[[#This Row],[Student_ID]],student_data[],6,0)*3)+(VLOOKUP(Table7[[#This Row],[Student_ID]],student_skills[],6,0)*2)+(VLOOKUP(Table7[[#This Row],[Student_ID]],student_internships[],2,0)*5)</f>
        <v>35</v>
      </c>
      <c r="D287" s="1">
        <f>AVERAGE(VLOOKUP(Table7[[#This Row],[Student_ID]],student_skills[],3,0),VLOOKUP(Table7[[#This Row],[Student_ID]],student_skills[],4,0),VLOOKUP(Table7[[#This Row],[Student_ID]],student_skills[],5,0),VLOOKUP(Table7[[#This Row],[Student_ID]],student_skills[],6,0))</f>
        <v>5.75</v>
      </c>
      <c r="E287" s="1" t="str">
        <f>IF(VLOOKUP(Table7[[#This Row],[Student_ID]],student_internships[#All],2,0)&gt;1,"EXPERIENCED",IF(VLOOKUP(Table7[[#This Row],[Student_ID]],student_internships[#All],2,0)=1,"BEGINNER","NOT EXPERIENCED"))</f>
        <v>NOT EXPERIENCED</v>
      </c>
      <c r="F287" s="1">
        <f>VLOOKUP(Table7[[#This Row],[Student_ID]],student_data[],5,0)</f>
        <v>6.2</v>
      </c>
      <c r="G287" s="1">
        <f>VLOOKUP(Table7[[#This Row],[Student_ID]],student_data[#All],6,0)</f>
        <v>0</v>
      </c>
      <c r="H287" s="1">
        <f>VLOOKUP(Table7[[#This Row],[Student_ID]],student_internships[],2,0)</f>
        <v>0</v>
      </c>
      <c r="I287" s="1">
        <f>VLOOKUP(Table7[[#This Row],[Student_ID]],Placements!A287:E1286,5,0)</f>
        <v>5.34</v>
      </c>
      <c r="J287" s="1" t="str">
        <f>IF(VLOOKUP(Table7[[#This Row],[Student_ID]],student_data[#All],5,0)&gt;8,"HIGH",IF(VLOOKUP(Table7[[#This Row],[Student_ID]],student_data[#All],5,0)&lt;6.5,"LOW","MEDIUM"))</f>
        <v>LOW</v>
      </c>
    </row>
    <row r="288" spans="1:10" x14ac:dyDescent="0.2">
      <c r="A288" s="1" t="s">
        <v>297</v>
      </c>
      <c r="B288" s="1" t="str">
        <f>VLOOKUP(Table7[[#This Row],[Student_ID]],student_data[#All],2,0)</f>
        <v>Computer Science</v>
      </c>
      <c r="C288" s="1">
        <f>(VLOOKUP(Table7[[#This Row],[Student_ID]],student_data[],5,0)*5)+(VLOOKUP(Table7[[#This Row],[Student_ID]],student_data[],6,0)*3)+(VLOOKUP(Table7[[#This Row],[Student_ID]],student_skills[],6,0)*2)+(VLOOKUP(Table7[[#This Row],[Student_ID]],student_internships[],2,0)*5)</f>
        <v>68.25</v>
      </c>
      <c r="D288" s="1">
        <f>AVERAGE(VLOOKUP(Table7[[#This Row],[Student_ID]],student_skills[],3,0),VLOOKUP(Table7[[#This Row],[Student_ID]],student_skills[],4,0),VLOOKUP(Table7[[#This Row],[Student_ID]],student_skills[],5,0),VLOOKUP(Table7[[#This Row],[Student_ID]],student_skills[],6,0))</f>
        <v>5.75</v>
      </c>
      <c r="E288" s="1" t="str">
        <f>IF(VLOOKUP(Table7[[#This Row],[Student_ID]],student_internships[#All],2,0)&gt;1,"EXPERIENCED",IF(VLOOKUP(Table7[[#This Row],[Student_ID]],student_internships[#All],2,0)=1,"BEGINNER","NOT EXPERIENCED"))</f>
        <v>BEGINNER</v>
      </c>
      <c r="F288" s="1">
        <f>VLOOKUP(Table7[[#This Row],[Student_ID]],student_data[],5,0)</f>
        <v>7.65</v>
      </c>
      <c r="G288" s="1">
        <f>VLOOKUP(Table7[[#This Row],[Student_ID]],student_data[#All],6,0)</f>
        <v>3</v>
      </c>
      <c r="H288" s="1">
        <f>VLOOKUP(Table7[[#This Row],[Student_ID]],student_internships[],2,0)</f>
        <v>1</v>
      </c>
      <c r="I288" s="1">
        <f>VLOOKUP(Table7[[#This Row],[Student_ID]],Placements!A288:E1287,5,0)</f>
        <v>6.38</v>
      </c>
      <c r="J288" s="1" t="str">
        <f>IF(VLOOKUP(Table7[[#This Row],[Student_ID]],student_data[#All],5,0)&gt;8,"HIGH",IF(VLOOKUP(Table7[[#This Row],[Student_ID]],student_data[#All],5,0)&lt;6.5,"LOW","MEDIUM"))</f>
        <v>MEDIUM</v>
      </c>
    </row>
    <row r="289" spans="1:10" x14ac:dyDescent="0.2">
      <c r="A289" s="1" t="s">
        <v>298</v>
      </c>
      <c r="B289" s="1" t="str">
        <f>VLOOKUP(Table7[[#This Row],[Student_ID]],student_data[#All],2,0)</f>
        <v>Information Technology</v>
      </c>
      <c r="C289" s="1">
        <f>(VLOOKUP(Table7[[#This Row],[Student_ID]],student_data[],5,0)*5)+(VLOOKUP(Table7[[#This Row],[Student_ID]],student_data[],6,0)*3)+(VLOOKUP(Table7[[#This Row],[Student_ID]],student_skills[],6,0)*2)+(VLOOKUP(Table7[[#This Row],[Student_ID]],student_internships[],2,0)*5)</f>
        <v>48.25</v>
      </c>
      <c r="D289" s="1">
        <f>AVERAGE(VLOOKUP(Table7[[#This Row],[Student_ID]],student_skills[],3,0),VLOOKUP(Table7[[#This Row],[Student_ID]],student_skills[],4,0),VLOOKUP(Table7[[#This Row],[Student_ID]],student_skills[],5,0),VLOOKUP(Table7[[#This Row],[Student_ID]],student_skills[],6,0))</f>
        <v>3.75</v>
      </c>
      <c r="E289" s="1" t="str">
        <f>IF(VLOOKUP(Table7[[#This Row],[Student_ID]],student_internships[#All],2,0)&gt;1,"EXPERIENCED",IF(VLOOKUP(Table7[[#This Row],[Student_ID]],student_internships[#All],2,0)=1,"BEGINNER","NOT EXPERIENCED"))</f>
        <v>NOT EXPERIENCED</v>
      </c>
      <c r="F289" s="1">
        <f>VLOOKUP(Table7[[#This Row],[Student_ID]],student_data[],5,0)</f>
        <v>8.25</v>
      </c>
      <c r="G289" s="1">
        <f>VLOOKUP(Table7[[#This Row],[Student_ID]],student_data[#All],6,0)</f>
        <v>1</v>
      </c>
      <c r="H289" s="1">
        <f>VLOOKUP(Table7[[#This Row],[Student_ID]],student_internships[],2,0)</f>
        <v>0</v>
      </c>
      <c r="I289" s="1">
        <f>VLOOKUP(Table7[[#This Row],[Student_ID]],Placements!A289:E1288,5,0)</f>
        <v>3.67</v>
      </c>
      <c r="J289" s="1" t="str">
        <f>IF(VLOOKUP(Table7[[#This Row],[Student_ID]],student_data[#All],5,0)&gt;8,"HIGH",IF(VLOOKUP(Table7[[#This Row],[Student_ID]],student_data[#All],5,0)&lt;6.5,"LOW","MEDIUM"))</f>
        <v>HIGH</v>
      </c>
    </row>
    <row r="290" spans="1:10" x14ac:dyDescent="0.2">
      <c r="A290" s="1" t="s">
        <v>299</v>
      </c>
      <c r="B290" s="1" t="str">
        <f>VLOOKUP(Table7[[#This Row],[Student_ID]],student_data[#All],2,0)</f>
        <v>Civil</v>
      </c>
      <c r="C290" s="1">
        <f>(VLOOKUP(Table7[[#This Row],[Student_ID]],student_data[],5,0)*5)+(VLOOKUP(Table7[[#This Row],[Student_ID]],student_data[],6,0)*3)+(VLOOKUP(Table7[[#This Row],[Student_ID]],student_skills[],6,0)*2)+(VLOOKUP(Table7[[#This Row],[Student_ID]],student_internships[],2,0)*5)</f>
        <v>73.099999999999994</v>
      </c>
      <c r="D290" s="1">
        <f>AVERAGE(VLOOKUP(Table7[[#This Row],[Student_ID]],student_skills[],3,0),VLOOKUP(Table7[[#This Row],[Student_ID]],student_skills[],4,0),VLOOKUP(Table7[[#This Row],[Student_ID]],student_skills[],5,0),VLOOKUP(Table7[[#This Row],[Student_ID]],student_skills[],6,0))</f>
        <v>5.25</v>
      </c>
      <c r="E290" s="1" t="str">
        <f>IF(VLOOKUP(Table7[[#This Row],[Student_ID]],student_internships[#All],2,0)&gt;1,"EXPERIENCED",IF(VLOOKUP(Table7[[#This Row],[Student_ID]],student_internships[#All],2,0)=1,"BEGINNER","NOT EXPERIENCED"))</f>
        <v>BEGINNER</v>
      </c>
      <c r="F290" s="1">
        <f>VLOOKUP(Table7[[#This Row],[Student_ID]],student_data[],5,0)</f>
        <v>8.2200000000000006</v>
      </c>
      <c r="G290" s="1">
        <f>VLOOKUP(Table7[[#This Row],[Student_ID]],student_data[#All],6,0)</f>
        <v>3</v>
      </c>
      <c r="H290" s="1">
        <f>VLOOKUP(Table7[[#This Row],[Student_ID]],student_internships[],2,0)</f>
        <v>1</v>
      </c>
      <c r="I290" s="1">
        <f>VLOOKUP(Table7[[#This Row],[Student_ID]],Placements!A290:E1289,5,0)</f>
        <v>9.75</v>
      </c>
      <c r="J290" s="1" t="str">
        <f>IF(VLOOKUP(Table7[[#This Row],[Student_ID]],student_data[#All],5,0)&gt;8,"HIGH",IF(VLOOKUP(Table7[[#This Row],[Student_ID]],student_data[#All],5,0)&lt;6.5,"LOW","MEDIUM"))</f>
        <v>HIGH</v>
      </c>
    </row>
    <row r="291" spans="1:10" x14ac:dyDescent="0.2">
      <c r="A291" s="1" t="s">
        <v>300</v>
      </c>
      <c r="B291" s="1" t="str">
        <f>VLOOKUP(Table7[[#This Row],[Student_ID]],student_data[#All],2,0)</f>
        <v>Information Technology</v>
      </c>
      <c r="C291" s="1">
        <f>(VLOOKUP(Table7[[#This Row],[Student_ID]],student_data[],5,0)*5)+(VLOOKUP(Table7[[#This Row],[Student_ID]],student_data[],6,0)*3)+(VLOOKUP(Table7[[#This Row],[Student_ID]],student_skills[],6,0)*2)+(VLOOKUP(Table7[[#This Row],[Student_ID]],student_internships[],2,0)*5)</f>
        <v>58.05</v>
      </c>
      <c r="D291" s="1">
        <f>AVERAGE(VLOOKUP(Table7[[#This Row],[Student_ID]],student_skills[],3,0),VLOOKUP(Table7[[#This Row],[Student_ID]],student_skills[],4,0),VLOOKUP(Table7[[#This Row],[Student_ID]],student_skills[],5,0),VLOOKUP(Table7[[#This Row],[Student_ID]],student_skills[],6,0))</f>
        <v>4.5</v>
      </c>
      <c r="E291" s="1" t="str">
        <f>IF(VLOOKUP(Table7[[#This Row],[Student_ID]],student_internships[#All],2,0)&gt;1,"EXPERIENCED",IF(VLOOKUP(Table7[[#This Row],[Student_ID]],student_internships[#All],2,0)=1,"BEGINNER","NOT EXPERIENCED"))</f>
        <v>BEGINNER</v>
      </c>
      <c r="F291" s="1">
        <f>VLOOKUP(Table7[[#This Row],[Student_ID]],student_data[],5,0)</f>
        <v>7.81</v>
      </c>
      <c r="G291" s="1">
        <f>VLOOKUP(Table7[[#This Row],[Student_ID]],student_data[#All],6,0)</f>
        <v>4</v>
      </c>
      <c r="H291" s="1">
        <f>VLOOKUP(Table7[[#This Row],[Student_ID]],student_internships[],2,0)</f>
        <v>1</v>
      </c>
      <c r="I291" s="1">
        <f>VLOOKUP(Table7[[#This Row],[Student_ID]],Placements!A291:E1290,5,0)</f>
        <v>0</v>
      </c>
      <c r="J291" s="1" t="str">
        <f>IF(VLOOKUP(Table7[[#This Row],[Student_ID]],student_data[#All],5,0)&gt;8,"HIGH",IF(VLOOKUP(Table7[[#This Row],[Student_ID]],student_data[#All],5,0)&lt;6.5,"LOW","MEDIUM"))</f>
        <v>MEDIUM</v>
      </c>
    </row>
    <row r="292" spans="1:10" x14ac:dyDescent="0.2">
      <c r="A292" s="1" t="s">
        <v>301</v>
      </c>
      <c r="B292" s="1" t="str">
        <f>VLOOKUP(Table7[[#This Row],[Student_ID]],student_data[#All],2,0)</f>
        <v>Mechanical</v>
      </c>
      <c r="C292" s="1">
        <f>(VLOOKUP(Table7[[#This Row],[Student_ID]],student_data[],5,0)*5)+(VLOOKUP(Table7[[#This Row],[Student_ID]],student_data[],6,0)*3)+(VLOOKUP(Table7[[#This Row],[Student_ID]],student_skills[],6,0)*2)+(VLOOKUP(Table7[[#This Row],[Student_ID]],student_internships[],2,0)*5)</f>
        <v>71.400000000000006</v>
      </c>
      <c r="D292" s="1">
        <f>AVERAGE(VLOOKUP(Table7[[#This Row],[Student_ID]],student_skills[],3,0),VLOOKUP(Table7[[#This Row],[Student_ID]],student_skills[],4,0),VLOOKUP(Table7[[#This Row],[Student_ID]],student_skills[],5,0),VLOOKUP(Table7[[#This Row],[Student_ID]],student_skills[],6,0))</f>
        <v>4.75</v>
      </c>
      <c r="E292" s="1" t="str">
        <f>IF(VLOOKUP(Table7[[#This Row],[Student_ID]],student_internships[#All],2,0)&gt;1,"EXPERIENCED",IF(VLOOKUP(Table7[[#This Row],[Student_ID]],student_internships[#All],2,0)=1,"BEGINNER","NOT EXPERIENCED"))</f>
        <v>NOT EXPERIENCED</v>
      </c>
      <c r="F292" s="1">
        <f>VLOOKUP(Table7[[#This Row],[Student_ID]],student_data[],5,0)</f>
        <v>8.8800000000000008</v>
      </c>
      <c r="G292" s="1">
        <f>VLOOKUP(Table7[[#This Row],[Student_ID]],student_data[#All],6,0)</f>
        <v>3</v>
      </c>
      <c r="H292" s="1">
        <f>VLOOKUP(Table7[[#This Row],[Student_ID]],student_internships[],2,0)</f>
        <v>0</v>
      </c>
      <c r="I292" s="1">
        <f>VLOOKUP(Table7[[#This Row],[Student_ID]],Placements!A292:E1291,5,0)</f>
        <v>5.94</v>
      </c>
      <c r="J292" s="1" t="str">
        <f>IF(VLOOKUP(Table7[[#This Row],[Student_ID]],student_data[#All],5,0)&gt;8,"HIGH",IF(VLOOKUP(Table7[[#This Row],[Student_ID]],student_data[#All],5,0)&lt;6.5,"LOW","MEDIUM"))</f>
        <v>HIGH</v>
      </c>
    </row>
    <row r="293" spans="1:10" x14ac:dyDescent="0.2">
      <c r="A293" s="1" t="s">
        <v>302</v>
      </c>
      <c r="B293" s="1" t="str">
        <f>VLOOKUP(Table7[[#This Row],[Student_ID]],student_data[#All],2,0)</f>
        <v>Civil</v>
      </c>
      <c r="C293" s="1">
        <f>(VLOOKUP(Table7[[#This Row],[Student_ID]],student_data[],5,0)*5)+(VLOOKUP(Table7[[#This Row],[Student_ID]],student_data[],6,0)*3)+(VLOOKUP(Table7[[#This Row],[Student_ID]],student_skills[],6,0)*2)+(VLOOKUP(Table7[[#This Row],[Student_ID]],student_internships[],2,0)*5)</f>
        <v>52.099999999999994</v>
      </c>
      <c r="D293" s="1">
        <f>AVERAGE(VLOOKUP(Table7[[#This Row],[Student_ID]],student_skills[],3,0),VLOOKUP(Table7[[#This Row],[Student_ID]],student_skills[],4,0),VLOOKUP(Table7[[#This Row],[Student_ID]],student_skills[],5,0),VLOOKUP(Table7[[#This Row],[Student_ID]],student_skills[],6,0))</f>
        <v>2.75</v>
      </c>
      <c r="E293" s="1" t="str">
        <f>IF(VLOOKUP(Table7[[#This Row],[Student_ID]],student_internships[#All],2,0)&gt;1,"EXPERIENCED",IF(VLOOKUP(Table7[[#This Row],[Student_ID]],student_internships[#All],2,0)=1,"BEGINNER","NOT EXPERIENCED"))</f>
        <v>BEGINNER</v>
      </c>
      <c r="F293" s="1">
        <f>VLOOKUP(Table7[[#This Row],[Student_ID]],student_data[],5,0)</f>
        <v>6.02</v>
      </c>
      <c r="G293" s="1">
        <f>VLOOKUP(Table7[[#This Row],[Student_ID]],student_data[#All],6,0)</f>
        <v>5</v>
      </c>
      <c r="H293" s="1">
        <f>VLOOKUP(Table7[[#This Row],[Student_ID]],student_internships[],2,0)</f>
        <v>1</v>
      </c>
      <c r="I293" s="1">
        <f>VLOOKUP(Table7[[#This Row],[Student_ID]],Placements!A293:E1292,5,0)</f>
        <v>4.92</v>
      </c>
      <c r="J293" s="1" t="str">
        <f>IF(VLOOKUP(Table7[[#This Row],[Student_ID]],student_data[#All],5,0)&gt;8,"HIGH",IF(VLOOKUP(Table7[[#This Row],[Student_ID]],student_data[#All],5,0)&lt;6.5,"LOW","MEDIUM"))</f>
        <v>LOW</v>
      </c>
    </row>
    <row r="294" spans="1:10" x14ac:dyDescent="0.2">
      <c r="A294" s="1" t="s">
        <v>303</v>
      </c>
      <c r="B294" s="1" t="str">
        <f>VLOOKUP(Table7[[#This Row],[Student_ID]],student_data[#All],2,0)</f>
        <v>Mechanical</v>
      </c>
      <c r="C294" s="1">
        <f>(VLOOKUP(Table7[[#This Row],[Student_ID]],student_data[],5,0)*5)+(VLOOKUP(Table7[[#This Row],[Student_ID]],student_data[],6,0)*3)+(VLOOKUP(Table7[[#This Row],[Student_ID]],student_skills[],6,0)*2)+(VLOOKUP(Table7[[#This Row],[Student_ID]],student_internships[],2,0)*5)</f>
        <v>63.150000000000006</v>
      </c>
      <c r="D294" s="1">
        <f>AVERAGE(VLOOKUP(Table7[[#This Row],[Student_ID]],student_skills[],3,0),VLOOKUP(Table7[[#This Row],[Student_ID]],student_skills[],4,0),VLOOKUP(Table7[[#This Row],[Student_ID]],student_skills[],5,0),VLOOKUP(Table7[[#This Row],[Student_ID]],student_skills[],6,0))</f>
        <v>8.25</v>
      </c>
      <c r="E294" s="1" t="str">
        <f>IF(VLOOKUP(Table7[[#This Row],[Student_ID]],student_internships[#All],2,0)&gt;1,"EXPERIENCED",IF(VLOOKUP(Table7[[#This Row],[Student_ID]],student_internships[#All],2,0)=1,"BEGINNER","NOT EXPERIENCED"))</f>
        <v>NOT EXPERIENCED</v>
      </c>
      <c r="F294" s="1">
        <f>VLOOKUP(Table7[[#This Row],[Student_ID]],student_data[],5,0)</f>
        <v>8.6300000000000008</v>
      </c>
      <c r="G294" s="1">
        <f>VLOOKUP(Table7[[#This Row],[Student_ID]],student_data[#All],6,0)</f>
        <v>0</v>
      </c>
      <c r="H294" s="1">
        <f>VLOOKUP(Table7[[#This Row],[Student_ID]],student_internships[],2,0)</f>
        <v>0</v>
      </c>
      <c r="I294" s="1">
        <f>VLOOKUP(Table7[[#This Row],[Student_ID]],Placements!A294:E1293,5,0)</f>
        <v>5.64</v>
      </c>
      <c r="J294" s="1" t="str">
        <f>IF(VLOOKUP(Table7[[#This Row],[Student_ID]],student_data[#All],5,0)&gt;8,"HIGH",IF(VLOOKUP(Table7[[#This Row],[Student_ID]],student_data[#All],5,0)&lt;6.5,"LOW","MEDIUM"))</f>
        <v>HIGH</v>
      </c>
    </row>
    <row r="295" spans="1:10" x14ac:dyDescent="0.2">
      <c r="A295" s="1" t="s">
        <v>304</v>
      </c>
      <c r="B295" s="1" t="str">
        <f>VLOOKUP(Table7[[#This Row],[Student_ID]],student_data[#All],2,0)</f>
        <v>Computer Science</v>
      </c>
      <c r="C295" s="1">
        <f>(VLOOKUP(Table7[[#This Row],[Student_ID]],student_data[],5,0)*5)+(VLOOKUP(Table7[[#This Row],[Student_ID]],student_data[],6,0)*3)+(VLOOKUP(Table7[[#This Row],[Student_ID]],student_skills[],6,0)*2)+(VLOOKUP(Table7[[#This Row],[Student_ID]],student_internships[],2,0)*5)</f>
        <v>60.5</v>
      </c>
      <c r="D295" s="1">
        <f>AVERAGE(VLOOKUP(Table7[[#This Row],[Student_ID]],student_skills[],3,0),VLOOKUP(Table7[[#This Row],[Student_ID]],student_skills[],4,0),VLOOKUP(Table7[[#This Row],[Student_ID]],student_skills[],5,0),VLOOKUP(Table7[[#This Row],[Student_ID]],student_skills[],6,0))</f>
        <v>6.75</v>
      </c>
      <c r="E295" s="1" t="str">
        <f>IF(VLOOKUP(Table7[[#This Row],[Student_ID]],student_internships[#All],2,0)&gt;1,"EXPERIENCED",IF(VLOOKUP(Table7[[#This Row],[Student_ID]],student_internships[#All],2,0)=1,"BEGINNER","NOT EXPERIENCED"))</f>
        <v>NOT EXPERIENCED</v>
      </c>
      <c r="F295" s="1">
        <f>VLOOKUP(Table7[[#This Row],[Student_ID]],student_data[],5,0)</f>
        <v>8.1</v>
      </c>
      <c r="G295" s="1">
        <f>VLOOKUP(Table7[[#This Row],[Student_ID]],student_data[#All],6,0)</f>
        <v>0</v>
      </c>
      <c r="H295" s="1">
        <f>VLOOKUP(Table7[[#This Row],[Student_ID]],student_internships[],2,0)</f>
        <v>0</v>
      </c>
      <c r="I295" s="1">
        <f>VLOOKUP(Table7[[#This Row],[Student_ID]],Placements!A295:E1294,5,0)</f>
        <v>4.01</v>
      </c>
      <c r="J295" s="1" t="str">
        <f>IF(VLOOKUP(Table7[[#This Row],[Student_ID]],student_data[#All],5,0)&gt;8,"HIGH",IF(VLOOKUP(Table7[[#This Row],[Student_ID]],student_data[#All],5,0)&lt;6.5,"LOW","MEDIUM"))</f>
        <v>HIGH</v>
      </c>
    </row>
    <row r="296" spans="1:10" x14ac:dyDescent="0.2">
      <c r="A296" s="1" t="s">
        <v>305</v>
      </c>
      <c r="B296" s="1" t="str">
        <f>VLOOKUP(Table7[[#This Row],[Student_ID]],student_data[#All],2,0)</f>
        <v>Computer Science</v>
      </c>
      <c r="C296" s="1">
        <f>(VLOOKUP(Table7[[#This Row],[Student_ID]],student_data[],5,0)*5)+(VLOOKUP(Table7[[#This Row],[Student_ID]],student_data[],6,0)*3)+(VLOOKUP(Table7[[#This Row],[Student_ID]],student_skills[],6,0)*2)+(VLOOKUP(Table7[[#This Row],[Student_ID]],student_internships[],2,0)*5)</f>
        <v>70.400000000000006</v>
      </c>
      <c r="D296" s="1">
        <f>AVERAGE(VLOOKUP(Table7[[#This Row],[Student_ID]],student_skills[],3,0),VLOOKUP(Table7[[#This Row],[Student_ID]],student_skills[],4,0),VLOOKUP(Table7[[#This Row],[Student_ID]],student_skills[],5,0),VLOOKUP(Table7[[#This Row],[Student_ID]],student_skills[],6,0))</f>
        <v>3.25</v>
      </c>
      <c r="E296" s="1" t="str">
        <f>IF(VLOOKUP(Table7[[#This Row],[Student_ID]],student_internships[#All],2,0)&gt;1,"EXPERIENCED",IF(VLOOKUP(Table7[[#This Row],[Student_ID]],student_internships[#All],2,0)=1,"BEGINNER","NOT EXPERIENCED"))</f>
        <v>EXPERIENCED</v>
      </c>
      <c r="F296" s="1">
        <f>VLOOKUP(Table7[[#This Row],[Student_ID]],student_data[],5,0)</f>
        <v>9.48</v>
      </c>
      <c r="G296" s="1">
        <f>VLOOKUP(Table7[[#This Row],[Student_ID]],student_data[#All],6,0)</f>
        <v>3</v>
      </c>
      <c r="H296" s="1">
        <f>VLOOKUP(Table7[[#This Row],[Student_ID]],student_internships[],2,0)</f>
        <v>2</v>
      </c>
      <c r="I296" s="1">
        <f>VLOOKUP(Table7[[#This Row],[Student_ID]],Placements!A296:E1295,5,0)</f>
        <v>3.53</v>
      </c>
      <c r="J296" s="1" t="str">
        <f>IF(VLOOKUP(Table7[[#This Row],[Student_ID]],student_data[#All],5,0)&gt;8,"HIGH",IF(VLOOKUP(Table7[[#This Row],[Student_ID]],student_data[#All],5,0)&lt;6.5,"LOW","MEDIUM"))</f>
        <v>HIGH</v>
      </c>
    </row>
    <row r="297" spans="1:10" x14ac:dyDescent="0.2">
      <c r="A297" s="1" t="s">
        <v>306</v>
      </c>
      <c r="B297" s="1" t="str">
        <f>VLOOKUP(Table7[[#This Row],[Student_ID]],student_data[#All],2,0)</f>
        <v>Civil</v>
      </c>
      <c r="C297" s="1">
        <f>(VLOOKUP(Table7[[#This Row],[Student_ID]],student_data[],5,0)*5)+(VLOOKUP(Table7[[#This Row],[Student_ID]],student_data[],6,0)*3)+(VLOOKUP(Table7[[#This Row],[Student_ID]],student_skills[],6,0)*2)+(VLOOKUP(Table7[[#This Row],[Student_ID]],student_internships[],2,0)*5)</f>
        <v>63.2</v>
      </c>
      <c r="D297" s="1">
        <f>AVERAGE(VLOOKUP(Table7[[#This Row],[Student_ID]],student_skills[],3,0),VLOOKUP(Table7[[#This Row],[Student_ID]],student_skills[],4,0),VLOOKUP(Table7[[#This Row],[Student_ID]],student_skills[],5,0),VLOOKUP(Table7[[#This Row],[Student_ID]],student_skills[],6,0))</f>
        <v>6</v>
      </c>
      <c r="E297" s="1" t="str">
        <f>IF(VLOOKUP(Table7[[#This Row],[Student_ID]],student_internships[#All],2,0)&gt;1,"EXPERIENCED",IF(VLOOKUP(Table7[[#This Row],[Student_ID]],student_internships[#All],2,0)=1,"BEGINNER","NOT EXPERIENCED"))</f>
        <v>BEGINNER</v>
      </c>
      <c r="F297" s="1">
        <f>VLOOKUP(Table7[[#This Row],[Student_ID]],student_data[],5,0)</f>
        <v>9.24</v>
      </c>
      <c r="G297" s="1">
        <f>VLOOKUP(Table7[[#This Row],[Student_ID]],student_data[#All],6,0)</f>
        <v>0</v>
      </c>
      <c r="H297" s="1">
        <f>VLOOKUP(Table7[[#This Row],[Student_ID]],student_internships[],2,0)</f>
        <v>1</v>
      </c>
      <c r="I297" s="1">
        <f>VLOOKUP(Table7[[#This Row],[Student_ID]],Placements!A297:E1296,5,0)</f>
        <v>11.75</v>
      </c>
      <c r="J297" s="1" t="str">
        <f>IF(VLOOKUP(Table7[[#This Row],[Student_ID]],student_data[#All],5,0)&gt;8,"HIGH",IF(VLOOKUP(Table7[[#This Row],[Student_ID]],student_data[#All],5,0)&lt;6.5,"LOW","MEDIUM"))</f>
        <v>HIGH</v>
      </c>
    </row>
    <row r="298" spans="1:10" x14ac:dyDescent="0.2">
      <c r="A298" s="1" t="s">
        <v>307</v>
      </c>
      <c r="B298" s="1" t="str">
        <f>VLOOKUP(Table7[[#This Row],[Student_ID]],student_data[#All],2,0)</f>
        <v>Civil</v>
      </c>
      <c r="C298" s="1">
        <f>(VLOOKUP(Table7[[#This Row],[Student_ID]],student_data[],5,0)*5)+(VLOOKUP(Table7[[#This Row],[Student_ID]],student_data[],6,0)*3)+(VLOOKUP(Table7[[#This Row],[Student_ID]],student_skills[],6,0)*2)+(VLOOKUP(Table7[[#This Row],[Student_ID]],student_internships[],2,0)*5)</f>
        <v>59.9</v>
      </c>
      <c r="D298" s="1">
        <f>AVERAGE(VLOOKUP(Table7[[#This Row],[Student_ID]],student_skills[],3,0),VLOOKUP(Table7[[#This Row],[Student_ID]],student_skills[],4,0),VLOOKUP(Table7[[#This Row],[Student_ID]],student_skills[],5,0),VLOOKUP(Table7[[#This Row],[Student_ID]],student_skills[],6,0))</f>
        <v>6.25</v>
      </c>
      <c r="E298" s="1" t="str">
        <f>IF(VLOOKUP(Table7[[#This Row],[Student_ID]],student_internships[#All],2,0)&gt;1,"EXPERIENCED",IF(VLOOKUP(Table7[[#This Row],[Student_ID]],student_internships[#All],2,0)=1,"BEGINNER","NOT EXPERIENCED"))</f>
        <v>NOT EXPERIENCED</v>
      </c>
      <c r="F298" s="1">
        <f>VLOOKUP(Table7[[#This Row],[Student_ID]],student_data[],5,0)</f>
        <v>6.58</v>
      </c>
      <c r="G298" s="1">
        <f>VLOOKUP(Table7[[#This Row],[Student_ID]],student_data[#All],6,0)</f>
        <v>5</v>
      </c>
      <c r="H298" s="1">
        <f>VLOOKUP(Table7[[#This Row],[Student_ID]],student_internships[],2,0)</f>
        <v>0</v>
      </c>
      <c r="I298" s="1">
        <f>VLOOKUP(Table7[[#This Row],[Student_ID]],Placements!A298:E1297,5,0)</f>
        <v>4.28</v>
      </c>
      <c r="J298" s="1" t="str">
        <f>IF(VLOOKUP(Table7[[#This Row],[Student_ID]],student_data[#All],5,0)&gt;8,"HIGH",IF(VLOOKUP(Table7[[#This Row],[Student_ID]],student_data[#All],5,0)&lt;6.5,"LOW","MEDIUM"))</f>
        <v>MEDIUM</v>
      </c>
    </row>
    <row r="299" spans="1:10" x14ac:dyDescent="0.2">
      <c r="A299" s="1" t="s">
        <v>308</v>
      </c>
      <c r="B299" s="1" t="str">
        <f>VLOOKUP(Table7[[#This Row],[Student_ID]],student_data[#All],2,0)</f>
        <v>Information Technology</v>
      </c>
      <c r="C299" s="1">
        <f>(VLOOKUP(Table7[[#This Row],[Student_ID]],student_data[],5,0)*5)+(VLOOKUP(Table7[[#This Row],[Student_ID]],student_data[],6,0)*3)+(VLOOKUP(Table7[[#This Row],[Student_ID]],student_skills[],6,0)*2)+(VLOOKUP(Table7[[#This Row],[Student_ID]],student_internships[],2,0)*5)</f>
        <v>38.9</v>
      </c>
      <c r="D299" s="1">
        <f>AVERAGE(VLOOKUP(Table7[[#This Row],[Student_ID]],student_skills[],3,0),VLOOKUP(Table7[[#This Row],[Student_ID]],student_skills[],4,0),VLOOKUP(Table7[[#This Row],[Student_ID]],student_skills[],5,0),VLOOKUP(Table7[[#This Row],[Student_ID]],student_skills[],6,0))</f>
        <v>5.25</v>
      </c>
      <c r="E299" s="1" t="str">
        <f>IF(VLOOKUP(Table7[[#This Row],[Student_ID]],student_internships[#All],2,0)&gt;1,"EXPERIENCED",IF(VLOOKUP(Table7[[#This Row],[Student_ID]],student_internships[#All],2,0)=1,"BEGINNER","NOT EXPERIENCED"))</f>
        <v>BEGINNER</v>
      </c>
      <c r="F299" s="1">
        <f>VLOOKUP(Table7[[#This Row],[Student_ID]],student_data[],5,0)</f>
        <v>6.38</v>
      </c>
      <c r="G299" s="1">
        <f>VLOOKUP(Table7[[#This Row],[Student_ID]],student_data[#All],6,0)</f>
        <v>0</v>
      </c>
      <c r="H299" s="1">
        <f>VLOOKUP(Table7[[#This Row],[Student_ID]],student_internships[],2,0)</f>
        <v>1</v>
      </c>
      <c r="I299" s="1">
        <f>VLOOKUP(Table7[[#This Row],[Student_ID]],Placements!A299:E1298,5,0)</f>
        <v>0</v>
      </c>
      <c r="J299" s="1" t="str">
        <f>IF(VLOOKUP(Table7[[#This Row],[Student_ID]],student_data[#All],5,0)&gt;8,"HIGH",IF(VLOOKUP(Table7[[#This Row],[Student_ID]],student_data[#All],5,0)&lt;6.5,"LOW","MEDIUM"))</f>
        <v>LOW</v>
      </c>
    </row>
    <row r="300" spans="1:10" x14ac:dyDescent="0.2">
      <c r="A300" s="1" t="s">
        <v>309</v>
      </c>
      <c r="B300" s="1" t="str">
        <f>VLOOKUP(Table7[[#This Row],[Student_ID]],student_data[#All],2,0)</f>
        <v>Information Technology</v>
      </c>
      <c r="C300" s="1">
        <f>(VLOOKUP(Table7[[#This Row],[Student_ID]],student_data[],5,0)*5)+(VLOOKUP(Table7[[#This Row],[Student_ID]],student_data[],6,0)*3)+(VLOOKUP(Table7[[#This Row],[Student_ID]],student_skills[],6,0)*2)+(VLOOKUP(Table7[[#This Row],[Student_ID]],student_internships[],2,0)*5)</f>
        <v>82.55</v>
      </c>
      <c r="D300" s="1">
        <f>AVERAGE(VLOOKUP(Table7[[#This Row],[Student_ID]],student_skills[],3,0),VLOOKUP(Table7[[#This Row],[Student_ID]],student_skills[],4,0),VLOOKUP(Table7[[#This Row],[Student_ID]],student_skills[],5,0),VLOOKUP(Table7[[#This Row],[Student_ID]],student_skills[],6,0))</f>
        <v>7</v>
      </c>
      <c r="E300" s="1" t="str">
        <f>IF(VLOOKUP(Table7[[#This Row],[Student_ID]],student_internships[#All],2,0)&gt;1,"EXPERIENCED",IF(VLOOKUP(Table7[[#This Row],[Student_ID]],student_internships[#All],2,0)=1,"BEGINNER","NOT EXPERIENCED"))</f>
        <v>EXPERIENCED</v>
      </c>
      <c r="F300" s="1">
        <f>VLOOKUP(Table7[[#This Row],[Student_ID]],student_data[],5,0)</f>
        <v>9.91</v>
      </c>
      <c r="G300" s="1">
        <f>VLOOKUP(Table7[[#This Row],[Student_ID]],student_data[#All],6,0)</f>
        <v>3</v>
      </c>
      <c r="H300" s="1">
        <f>VLOOKUP(Table7[[#This Row],[Student_ID]],student_internships[],2,0)</f>
        <v>2</v>
      </c>
      <c r="I300" s="1">
        <f>VLOOKUP(Table7[[#This Row],[Student_ID]],Placements!A300:E1299,5,0)</f>
        <v>6.84</v>
      </c>
      <c r="J300" s="1" t="str">
        <f>IF(VLOOKUP(Table7[[#This Row],[Student_ID]],student_data[#All],5,0)&gt;8,"HIGH",IF(VLOOKUP(Table7[[#This Row],[Student_ID]],student_data[#All],5,0)&lt;6.5,"LOW","MEDIUM"))</f>
        <v>HIGH</v>
      </c>
    </row>
    <row r="301" spans="1:10" x14ac:dyDescent="0.2">
      <c r="A301" s="1" t="s">
        <v>310</v>
      </c>
      <c r="B301" s="1" t="str">
        <f>VLOOKUP(Table7[[#This Row],[Student_ID]],student_data[#All],2,0)</f>
        <v>Mechanical</v>
      </c>
      <c r="C301" s="1">
        <f>(VLOOKUP(Table7[[#This Row],[Student_ID]],student_data[],5,0)*5)+(VLOOKUP(Table7[[#This Row],[Student_ID]],student_data[],6,0)*3)+(VLOOKUP(Table7[[#This Row],[Student_ID]],student_skills[],6,0)*2)+(VLOOKUP(Table7[[#This Row],[Student_ID]],student_internships[],2,0)*5)</f>
        <v>60.199999999999996</v>
      </c>
      <c r="D301" s="1">
        <f>AVERAGE(VLOOKUP(Table7[[#This Row],[Student_ID]],student_skills[],3,0),VLOOKUP(Table7[[#This Row],[Student_ID]],student_skills[],4,0),VLOOKUP(Table7[[#This Row],[Student_ID]],student_skills[],5,0),VLOOKUP(Table7[[#This Row],[Student_ID]],student_skills[],6,0))</f>
        <v>6.25</v>
      </c>
      <c r="E301" s="1" t="str">
        <f>IF(VLOOKUP(Table7[[#This Row],[Student_ID]],student_internships[#All],2,0)&gt;1,"EXPERIENCED",IF(VLOOKUP(Table7[[#This Row],[Student_ID]],student_internships[#All],2,0)=1,"BEGINNER","NOT EXPERIENCED"))</f>
        <v>NOT EXPERIENCED</v>
      </c>
      <c r="F301" s="1">
        <f>VLOOKUP(Table7[[#This Row],[Student_ID]],student_data[],5,0)</f>
        <v>7.64</v>
      </c>
      <c r="G301" s="1">
        <f>VLOOKUP(Table7[[#This Row],[Student_ID]],student_data[#All],6,0)</f>
        <v>2</v>
      </c>
      <c r="H301" s="1">
        <f>VLOOKUP(Table7[[#This Row],[Student_ID]],student_internships[],2,0)</f>
        <v>0</v>
      </c>
      <c r="I301" s="1">
        <f>VLOOKUP(Table7[[#This Row],[Student_ID]],Placements!A301:E1300,5,0)</f>
        <v>3.64</v>
      </c>
      <c r="J301" s="1" t="str">
        <f>IF(VLOOKUP(Table7[[#This Row],[Student_ID]],student_data[#All],5,0)&gt;8,"HIGH",IF(VLOOKUP(Table7[[#This Row],[Student_ID]],student_data[#All],5,0)&lt;6.5,"LOW","MEDIUM"))</f>
        <v>MEDIUM</v>
      </c>
    </row>
    <row r="302" spans="1:10" x14ac:dyDescent="0.2">
      <c r="A302" s="1" t="s">
        <v>311</v>
      </c>
      <c r="B302" s="1" t="str">
        <f>VLOOKUP(Table7[[#This Row],[Student_ID]],student_data[#All],2,0)</f>
        <v>Civil</v>
      </c>
      <c r="C302" s="1">
        <f>(VLOOKUP(Table7[[#This Row],[Student_ID]],student_data[],5,0)*5)+(VLOOKUP(Table7[[#This Row],[Student_ID]],student_data[],6,0)*3)+(VLOOKUP(Table7[[#This Row],[Student_ID]],student_skills[],6,0)*2)+(VLOOKUP(Table7[[#This Row],[Student_ID]],student_internships[],2,0)*5)</f>
        <v>62.65</v>
      </c>
      <c r="D302" s="1">
        <f>AVERAGE(VLOOKUP(Table7[[#This Row],[Student_ID]],student_skills[],3,0),VLOOKUP(Table7[[#This Row],[Student_ID]],student_skills[],4,0),VLOOKUP(Table7[[#This Row],[Student_ID]],student_skills[],5,0),VLOOKUP(Table7[[#This Row],[Student_ID]],student_skills[],6,0))</f>
        <v>5</v>
      </c>
      <c r="E302" s="1" t="str">
        <f>IF(VLOOKUP(Table7[[#This Row],[Student_ID]],student_internships[#All],2,0)&gt;1,"EXPERIENCED",IF(VLOOKUP(Table7[[#This Row],[Student_ID]],student_internships[#All],2,0)=1,"BEGINNER","NOT EXPERIENCED"))</f>
        <v>BEGINNER</v>
      </c>
      <c r="F302" s="1">
        <f>VLOOKUP(Table7[[#This Row],[Student_ID]],student_data[],5,0)</f>
        <v>9.5299999999999994</v>
      </c>
      <c r="G302" s="1">
        <f>VLOOKUP(Table7[[#This Row],[Student_ID]],student_data[#All],6,0)</f>
        <v>2</v>
      </c>
      <c r="H302" s="1">
        <f>VLOOKUP(Table7[[#This Row],[Student_ID]],student_internships[],2,0)</f>
        <v>1</v>
      </c>
      <c r="I302" s="1">
        <f>VLOOKUP(Table7[[#This Row],[Student_ID]],Placements!A302:E1301,5,0)</f>
        <v>3.87</v>
      </c>
      <c r="J302" s="1" t="str">
        <f>IF(VLOOKUP(Table7[[#This Row],[Student_ID]],student_data[#All],5,0)&gt;8,"HIGH",IF(VLOOKUP(Table7[[#This Row],[Student_ID]],student_data[#All],5,0)&lt;6.5,"LOW","MEDIUM"))</f>
        <v>HIGH</v>
      </c>
    </row>
    <row r="303" spans="1:10" x14ac:dyDescent="0.2">
      <c r="A303" s="1" t="s">
        <v>312</v>
      </c>
      <c r="B303" s="1" t="str">
        <f>VLOOKUP(Table7[[#This Row],[Student_ID]],student_data[#All],2,0)</f>
        <v>Computer Science</v>
      </c>
      <c r="C303" s="1">
        <f>(VLOOKUP(Table7[[#This Row],[Student_ID]],student_data[],5,0)*5)+(VLOOKUP(Table7[[#This Row],[Student_ID]],student_data[],6,0)*3)+(VLOOKUP(Table7[[#This Row],[Student_ID]],student_skills[],6,0)*2)+(VLOOKUP(Table7[[#This Row],[Student_ID]],student_internships[],2,0)*5)</f>
        <v>48.1</v>
      </c>
      <c r="D303" s="1">
        <f>AVERAGE(VLOOKUP(Table7[[#This Row],[Student_ID]],student_skills[],3,0),VLOOKUP(Table7[[#This Row],[Student_ID]],student_skills[],4,0),VLOOKUP(Table7[[#This Row],[Student_ID]],student_skills[],5,0),VLOOKUP(Table7[[#This Row],[Student_ID]],student_skills[],6,0))</f>
        <v>6.5</v>
      </c>
      <c r="E303" s="1" t="str">
        <f>IF(VLOOKUP(Table7[[#This Row],[Student_ID]],student_internships[#All],2,0)&gt;1,"EXPERIENCED",IF(VLOOKUP(Table7[[#This Row],[Student_ID]],student_internships[#All],2,0)=1,"BEGINNER","NOT EXPERIENCED"))</f>
        <v>NOT EXPERIENCED</v>
      </c>
      <c r="F303" s="1">
        <f>VLOOKUP(Table7[[#This Row],[Student_ID]],student_data[],5,0)</f>
        <v>5.82</v>
      </c>
      <c r="G303" s="1">
        <f>VLOOKUP(Table7[[#This Row],[Student_ID]],student_data[#All],6,0)</f>
        <v>1</v>
      </c>
      <c r="H303" s="1">
        <f>VLOOKUP(Table7[[#This Row],[Student_ID]],student_internships[],2,0)</f>
        <v>0</v>
      </c>
      <c r="I303" s="1">
        <f>VLOOKUP(Table7[[#This Row],[Student_ID]],Placements!A303:E1302,5,0)</f>
        <v>0</v>
      </c>
      <c r="J303" s="1" t="str">
        <f>IF(VLOOKUP(Table7[[#This Row],[Student_ID]],student_data[#All],5,0)&gt;8,"HIGH",IF(VLOOKUP(Table7[[#This Row],[Student_ID]],student_data[#All],5,0)&lt;6.5,"LOW","MEDIUM"))</f>
        <v>LOW</v>
      </c>
    </row>
    <row r="304" spans="1:10" x14ac:dyDescent="0.2">
      <c r="A304" s="1" t="s">
        <v>313</v>
      </c>
      <c r="B304" s="1" t="str">
        <f>VLOOKUP(Table7[[#This Row],[Student_ID]],student_data[#All],2,0)</f>
        <v>Information Technology</v>
      </c>
      <c r="C304" s="1">
        <f>(VLOOKUP(Table7[[#This Row],[Student_ID]],student_data[],5,0)*5)+(VLOOKUP(Table7[[#This Row],[Student_ID]],student_data[],6,0)*3)+(VLOOKUP(Table7[[#This Row],[Student_ID]],student_skills[],6,0)*2)+(VLOOKUP(Table7[[#This Row],[Student_ID]],student_internships[],2,0)*5)</f>
        <v>59.050000000000004</v>
      </c>
      <c r="D304" s="1">
        <f>AVERAGE(VLOOKUP(Table7[[#This Row],[Student_ID]],student_skills[],3,0),VLOOKUP(Table7[[#This Row],[Student_ID]],student_skills[],4,0),VLOOKUP(Table7[[#This Row],[Student_ID]],student_skills[],5,0),VLOOKUP(Table7[[#This Row],[Student_ID]],student_skills[],6,0))</f>
        <v>7.5</v>
      </c>
      <c r="E304" s="1" t="str">
        <f>IF(VLOOKUP(Table7[[#This Row],[Student_ID]],student_internships[#All],2,0)&gt;1,"EXPERIENCED",IF(VLOOKUP(Table7[[#This Row],[Student_ID]],student_internships[#All],2,0)=1,"BEGINNER","NOT EXPERIENCED"))</f>
        <v>NOT EXPERIENCED</v>
      </c>
      <c r="F304" s="1">
        <f>VLOOKUP(Table7[[#This Row],[Student_ID]],student_data[],5,0)</f>
        <v>8.2100000000000009</v>
      </c>
      <c r="G304" s="1">
        <f>VLOOKUP(Table7[[#This Row],[Student_ID]],student_data[#All],6,0)</f>
        <v>0</v>
      </c>
      <c r="H304" s="1">
        <f>VLOOKUP(Table7[[#This Row],[Student_ID]],student_internships[],2,0)</f>
        <v>0</v>
      </c>
      <c r="I304" s="1">
        <f>VLOOKUP(Table7[[#This Row],[Student_ID]],Placements!A304:E1303,5,0)</f>
        <v>5.77</v>
      </c>
      <c r="J304" s="1" t="str">
        <f>IF(VLOOKUP(Table7[[#This Row],[Student_ID]],student_data[#All],5,0)&gt;8,"HIGH",IF(VLOOKUP(Table7[[#This Row],[Student_ID]],student_data[#All],5,0)&lt;6.5,"LOW","MEDIUM"))</f>
        <v>HIGH</v>
      </c>
    </row>
    <row r="305" spans="1:10" x14ac:dyDescent="0.2">
      <c r="A305" s="1" t="s">
        <v>314</v>
      </c>
      <c r="B305" s="1" t="str">
        <f>VLOOKUP(Table7[[#This Row],[Student_ID]],student_data[#All],2,0)</f>
        <v>Information Technology</v>
      </c>
      <c r="C305" s="1">
        <f>(VLOOKUP(Table7[[#This Row],[Student_ID]],student_data[],5,0)*5)+(VLOOKUP(Table7[[#This Row],[Student_ID]],student_data[],6,0)*3)+(VLOOKUP(Table7[[#This Row],[Student_ID]],student_skills[],6,0)*2)+(VLOOKUP(Table7[[#This Row],[Student_ID]],student_internships[],2,0)*5)</f>
        <v>71.25</v>
      </c>
      <c r="D305" s="1">
        <f>AVERAGE(VLOOKUP(Table7[[#This Row],[Student_ID]],student_skills[],3,0),VLOOKUP(Table7[[#This Row],[Student_ID]],student_skills[],4,0),VLOOKUP(Table7[[#This Row],[Student_ID]],student_skills[],5,0),VLOOKUP(Table7[[#This Row],[Student_ID]],student_skills[],6,0))</f>
        <v>8.25</v>
      </c>
      <c r="E305" s="1" t="str">
        <f>IF(VLOOKUP(Table7[[#This Row],[Student_ID]],student_internships[#All],2,0)&gt;1,"EXPERIENCED",IF(VLOOKUP(Table7[[#This Row],[Student_ID]],student_internships[#All],2,0)=1,"BEGINNER","NOT EXPERIENCED"))</f>
        <v>BEGINNER</v>
      </c>
      <c r="F305" s="1">
        <f>VLOOKUP(Table7[[#This Row],[Student_ID]],student_data[],5,0)</f>
        <v>9.0500000000000007</v>
      </c>
      <c r="G305" s="1">
        <f>VLOOKUP(Table7[[#This Row],[Student_ID]],student_data[#All],6,0)</f>
        <v>3</v>
      </c>
      <c r="H305" s="1">
        <f>VLOOKUP(Table7[[#This Row],[Student_ID]],student_internships[],2,0)</f>
        <v>1</v>
      </c>
      <c r="I305" s="1">
        <f>VLOOKUP(Table7[[#This Row],[Student_ID]],Placements!A305:E1304,5,0)</f>
        <v>3.9</v>
      </c>
      <c r="J305" s="1" t="str">
        <f>IF(VLOOKUP(Table7[[#This Row],[Student_ID]],student_data[#All],5,0)&gt;8,"HIGH",IF(VLOOKUP(Table7[[#This Row],[Student_ID]],student_data[#All],5,0)&lt;6.5,"LOW","MEDIUM"))</f>
        <v>HIGH</v>
      </c>
    </row>
    <row r="306" spans="1:10" x14ac:dyDescent="0.2">
      <c r="A306" s="1" t="s">
        <v>315</v>
      </c>
      <c r="B306" s="1" t="str">
        <f>VLOOKUP(Table7[[#This Row],[Student_ID]],student_data[#All],2,0)</f>
        <v>Computer Science</v>
      </c>
      <c r="C306" s="1">
        <f>(VLOOKUP(Table7[[#This Row],[Student_ID]],student_data[],5,0)*5)+(VLOOKUP(Table7[[#This Row],[Student_ID]],student_data[],6,0)*3)+(VLOOKUP(Table7[[#This Row],[Student_ID]],student_skills[],6,0)*2)+(VLOOKUP(Table7[[#This Row],[Student_ID]],student_internships[],2,0)*5)</f>
        <v>63.7</v>
      </c>
      <c r="D306" s="1">
        <f>AVERAGE(VLOOKUP(Table7[[#This Row],[Student_ID]],student_skills[],3,0),VLOOKUP(Table7[[#This Row],[Student_ID]],student_skills[],4,0),VLOOKUP(Table7[[#This Row],[Student_ID]],student_skills[],5,0),VLOOKUP(Table7[[#This Row],[Student_ID]],student_skills[],6,0))</f>
        <v>3.25</v>
      </c>
      <c r="E306" s="1" t="str">
        <f>IF(VLOOKUP(Table7[[#This Row],[Student_ID]],student_internships[#All],2,0)&gt;1,"EXPERIENCED",IF(VLOOKUP(Table7[[#This Row],[Student_ID]],student_internships[#All],2,0)=1,"BEGINNER","NOT EXPERIENCED"))</f>
        <v>BEGINNER</v>
      </c>
      <c r="F306" s="1">
        <f>VLOOKUP(Table7[[#This Row],[Student_ID]],student_data[],5,0)</f>
        <v>9.74</v>
      </c>
      <c r="G306" s="1">
        <f>VLOOKUP(Table7[[#This Row],[Student_ID]],student_data[#All],6,0)</f>
        <v>0</v>
      </c>
      <c r="H306" s="1">
        <f>VLOOKUP(Table7[[#This Row],[Student_ID]],student_internships[],2,0)</f>
        <v>1</v>
      </c>
      <c r="I306" s="1">
        <f>VLOOKUP(Table7[[#This Row],[Student_ID]],Placements!A306:E1305,5,0)</f>
        <v>0</v>
      </c>
      <c r="J306" s="1" t="str">
        <f>IF(VLOOKUP(Table7[[#This Row],[Student_ID]],student_data[#All],5,0)&gt;8,"HIGH",IF(VLOOKUP(Table7[[#This Row],[Student_ID]],student_data[#All],5,0)&lt;6.5,"LOW","MEDIUM"))</f>
        <v>HIGH</v>
      </c>
    </row>
    <row r="307" spans="1:10" x14ac:dyDescent="0.2">
      <c r="A307" s="1" t="s">
        <v>316</v>
      </c>
      <c r="B307" s="1" t="str">
        <f>VLOOKUP(Table7[[#This Row],[Student_ID]],student_data[#All],2,0)</f>
        <v>Information Technology</v>
      </c>
      <c r="C307" s="1">
        <f>(VLOOKUP(Table7[[#This Row],[Student_ID]],student_data[],5,0)*5)+(VLOOKUP(Table7[[#This Row],[Student_ID]],student_data[],6,0)*3)+(VLOOKUP(Table7[[#This Row],[Student_ID]],student_skills[],6,0)*2)+(VLOOKUP(Table7[[#This Row],[Student_ID]],student_internships[],2,0)*5)</f>
        <v>68.45</v>
      </c>
      <c r="D307" s="1">
        <f>AVERAGE(VLOOKUP(Table7[[#This Row],[Student_ID]],student_skills[],3,0),VLOOKUP(Table7[[#This Row],[Student_ID]],student_skills[],4,0),VLOOKUP(Table7[[#This Row],[Student_ID]],student_skills[],5,0),VLOOKUP(Table7[[#This Row],[Student_ID]],student_skills[],6,0))</f>
        <v>5.5</v>
      </c>
      <c r="E307" s="1" t="str">
        <f>IF(VLOOKUP(Table7[[#This Row],[Student_ID]],student_internships[#All],2,0)&gt;1,"EXPERIENCED",IF(VLOOKUP(Table7[[#This Row],[Student_ID]],student_internships[#All],2,0)=1,"BEGINNER","NOT EXPERIENCED"))</f>
        <v>BEGINNER</v>
      </c>
      <c r="F307" s="1">
        <f>VLOOKUP(Table7[[#This Row],[Student_ID]],student_data[],5,0)</f>
        <v>6.69</v>
      </c>
      <c r="G307" s="1">
        <f>VLOOKUP(Table7[[#This Row],[Student_ID]],student_data[#All],6,0)</f>
        <v>4</v>
      </c>
      <c r="H307" s="1">
        <f>VLOOKUP(Table7[[#This Row],[Student_ID]],student_internships[],2,0)</f>
        <v>1</v>
      </c>
      <c r="I307" s="1">
        <f>VLOOKUP(Table7[[#This Row],[Student_ID]],Placements!A307:E1306,5,0)</f>
        <v>3.92</v>
      </c>
      <c r="J307" s="1" t="str">
        <f>IF(VLOOKUP(Table7[[#This Row],[Student_ID]],student_data[#All],5,0)&gt;8,"HIGH",IF(VLOOKUP(Table7[[#This Row],[Student_ID]],student_data[#All],5,0)&lt;6.5,"LOW","MEDIUM"))</f>
        <v>MEDIUM</v>
      </c>
    </row>
    <row r="308" spans="1:10" x14ac:dyDescent="0.2">
      <c r="A308" s="1" t="s">
        <v>317</v>
      </c>
      <c r="B308" s="1" t="str">
        <f>VLOOKUP(Table7[[#This Row],[Student_ID]],student_data[#All],2,0)</f>
        <v>Mechanical</v>
      </c>
      <c r="C308" s="1">
        <f>(VLOOKUP(Table7[[#This Row],[Student_ID]],student_data[],5,0)*5)+(VLOOKUP(Table7[[#This Row],[Student_ID]],student_data[],6,0)*3)+(VLOOKUP(Table7[[#This Row],[Student_ID]],student_skills[],6,0)*2)+(VLOOKUP(Table7[[#This Row],[Student_ID]],student_internships[],2,0)*5)</f>
        <v>86.1</v>
      </c>
      <c r="D308" s="1">
        <f>AVERAGE(VLOOKUP(Table7[[#This Row],[Student_ID]],student_skills[],3,0),VLOOKUP(Table7[[#This Row],[Student_ID]],student_skills[],4,0),VLOOKUP(Table7[[#This Row],[Student_ID]],student_skills[],5,0),VLOOKUP(Table7[[#This Row],[Student_ID]],student_skills[],6,0))</f>
        <v>6.25</v>
      </c>
      <c r="E308" s="1" t="str">
        <f>IF(VLOOKUP(Table7[[#This Row],[Student_ID]],student_internships[#All],2,0)&gt;1,"EXPERIENCED",IF(VLOOKUP(Table7[[#This Row],[Student_ID]],student_internships[#All],2,0)=1,"BEGINNER","NOT EXPERIENCED"))</f>
        <v>EXPERIENCED</v>
      </c>
      <c r="F308" s="1">
        <f>VLOOKUP(Table7[[#This Row],[Student_ID]],student_data[],5,0)</f>
        <v>8.6199999999999992</v>
      </c>
      <c r="G308" s="1">
        <f>VLOOKUP(Table7[[#This Row],[Student_ID]],student_data[#All],6,0)</f>
        <v>5</v>
      </c>
      <c r="H308" s="1">
        <f>VLOOKUP(Table7[[#This Row],[Student_ID]],student_internships[],2,0)</f>
        <v>2</v>
      </c>
      <c r="I308" s="1">
        <f>VLOOKUP(Table7[[#This Row],[Student_ID]],Placements!A308:E1307,5,0)</f>
        <v>0</v>
      </c>
      <c r="J308" s="1" t="str">
        <f>IF(VLOOKUP(Table7[[#This Row],[Student_ID]],student_data[#All],5,0)&gt;8,"HIGH",IF(VLOOKUP(Table7[[#This Row],[Student_ID]],student_data[#All],5,0)&lt;6.5,"LOW","MEDIUM"))</f>
        <v>HIGH</v>
      </c>
    </row>
    <row r="309" spans="1:10" x14ac:dyDescent="0.2">
      <c r="A309" s="1" t="s">
        <v>318</v>
      </c>
      <c r="B309" s="1" t="str">
        <f>VLOOKUP(Table7[[#This Row],[Student_ID]],student_data[#All],2,0)</f>
        <v>Civil</v>
      </c>
      <c r="C309" s="1">
        <f>(VLOOKUP(Table7[[#This Row],[Student_ID]],student_data[],5,0)*5)+(VLOOKUP(Table7[[#This Row],[Student_ID]],student_data[],6,0)*3)+(VLOOKUP(Table7[[#This Row],[Student_ID]],student_skills[],6,0)*2)+(VLOOKUP(Table7[[#This Row],[Student_ID]],student_internships[],2,0)*5)</f>
        <v>55.45</v>
      </c>
      <c r="D309" s="1">
        <f>AVERAGE(VLOOKUP(Table7[[#This Row],[Student_ID]],student_skills[],3,0),VLOOKUP(Table7[[#This Row],[Student_ID]],student_skills[],4,0),VLOOKUP(Table7[[#This Row],[Student_ID]],student_skills[],5,0),VLOOKUP(Table7[[#This Row],[Student_ID]],student_skills[],6,0))</f>
        <v>2.5</v>
      </c>
      <c r="E309" s="1" t="str">
        <f>IF(VLOOKUP(Table7[[#This Row],[Student_ID]],student_internships[#All],2,0)&gt;1,"EXPERIENCED",IF(VLOOKUP(Table7[[#This Row],[Student_ID]],student_internships[#All],2,0)=1,"BEGINNER","NOT EXPERIENCED"))</f>
        <v>EXPERIENCED</v>
      </c>
      <c r="F309" s="1">
        <f>VLOOKUP(Table7[[#This Row],[Student_ID]],student_data[],5,0)</f>
        <v>7.69</v>
      </c>
      <c r="G309" s="1">
        <f>VLOOKUP(Table7[[#This Row],[Student_ID]],student_data[#All],6,0)</f>
        <v>0</v>
      </c>
      <c r="H309" s="1">
        <f>VLOOKUP(Table7[[#This Row],[Student_ID]],student_internships[],2,0)</f>
        <v>3</v>
      </c>
      <c r="I309" s="1">
        <f>VLOOKUP(Table7[[#This Row],[Student_ID]],Placements!A309:E1308,5,0)</f>
        <v>6.07</v>
      </c>
      <c r="J309" s="1" t="str">
        <f>IF(VLOOKUP(Table7[[#This Row],[Student_ID]],student_data[#All],5,0)&gt;8,"HIGH",IF(VLOOKUP(Table7[[#This Row],[Student_ID]],student_data[#All],5,0)&lt;6.5,"LOW","MEDIUM"))</f>
        <v>MEDIUM</v>
      </c>
    </row>
    <row r="310" spans="1:10" x14ac:dyDescent="0.2">
      <c r="A310" s="1" t="s">
        <v>319</v>
      </c>
      <c r="B310" s="1" t="str">
        <f>VLOOKUP(Table7[[#This Row],[Student_ID]],student_data[#All],2,0)</f>
        <v>Computer Science</v>
      </c>
      <c r="C310" s="1">
        <f>(VLOOKUP(Table7[[#This Row],[Student_ID]],student_data[],5,0)*5)+(VLOOKUP(Table7[[#This Row],[Student_ID]],student_data[],6,0)*3)+(VLOOKUP(Table7[[#This Row],[Student_ID]],student_skills[],6,0)*2)+(VLOOKUP(Table7[[#This Row],[Student_ID]],student_internships[],2,0)*5)</f>
        <v>37.5</v>
      </c>
      <c r="D310" s="1">
        <f>AVERAGE(VLOOKUP(Table7[[#This Row],[Student_ID]],student_skills[],3,0),VLOOKUP(Table7[[#This Row],[Student_ID]],student_skills[],4,0),VLOOKUP(Table7[[#This Row],[Student_ID]],student_skills[],5,0),VLOOKUP(Table7[[#This Row],[Student_ID]],student_skills[],6,0))</f>
        <v>4</v>
      </c>
      <c r="E310" s="1" t="str">
        <f>IF(VLOOKUP(Table7[[#This Row],[Student_ID]],student_internships[#All],2,0)&gt;1,"EXPERIENCED",IF(VLOOKUP(Table7[[#This Row],[Student_ID]],student_internships[#All],2,0)=1,"BEGINNER","NOT EXPERIENCED"))</f>
        <v>BEGINNER</v>
      </c>
      <c r="F310" s="1">
        <f>VLOOKUP(Table7[[#This Row],[Student_ID]],student_data[],5,0)</f>
        <v>5.3</v>
      </c>
      <c r="G310" s="1">
        <f>VLOOKUP(Table7[[#This Row],[Student_ID]],student_data[#All],6,0)</f>
        <v>0</v>
      </c>
      <c r="H310" s="1">
        <f>VLOOKUP(Table7[[#This Row],[Student_ID]],student_internships[],2,0)</f>
        <v>1</v>
      </c>
      <c r="I310" s="1">
        <f>VLOOKUP(Table7[[#This Row],[Student_ID]],Placements!A310:E1309,5,0)</f>
        <v>13.62</v>
      </c>
      <c r="J310" s="1" t="str">
        <f>IF(VLOOKUP(Table7[[#This Row],[Student_ID]],student_data[#All],5,0)&gt;8,"HIGH",IF(VLOOKUP(Table7[[#This Row],[Student_ID]],student_data[#All],5,0)&lt;6.5,"LOW","MEDIUM"))</f>
        <v>LOW</v>
      </c>
    </row>
    <row r="311" spans="1:10" x14ac:dyDescent="0.2">
      <c r="A311" s="1" t="s">
        <v>320</v>
      </c>
      <c r="B311" s="1" t="str">
        <f>VLOOKUP(Table7[[#This Row],[Student_ID]],student_data[#All],2,0)</f>
        <v>Civil</v>
      </c>
      <c r="C311" s="1">
        <f>(VLOOKUP(Table7[[#This Row],[Student_ID]],student_data[],5,0)*5)+(VLOOKUP(Table7[[#This Row],[Student_ID]],student_data[],6,0)*3)+(VLOOKUP(Table7[[#This Row],[Student_ID]],student_skills[],6,0)*2)+(VLOOKUP(Table7[[#This Row],[Student_ID]],student_internships[],2,0)*5)</f>
        <v>71.25</v>
      </c>
      <c r="D311" s="1">
        <f>AVERAGE(VLOOKUP(Table7[[#This Row],[Student_ID]],student_skills[],3,0),VLOOKUP(Table7[[#This Row],[Student_ID]],student_skills[],4,0),VLOOKUP(Table7[[#This Row],[Student_ID]],student_skills[],5,0),VLOOKUP(Table7[[#This Row],[Student_ID]],student_skills[],6,0))</f>
        <v>6.25</v>
      </c>
      <c r="E311" s="1" t="str">
        <f>IF(VLOOKUP(Table7[[#This Row],[Student_ID]],student_internships[#All],2,0)&gt;1,"EXPERIENCED",IF(VLOOKUP(Table7[[#This Row],[Student_ID]],student_internships[#All],2,0)=1,"BEGINNER","NOT EXPERIENCED"))</f>
        <v>BEGINNER</v>
      </c>
      <c r="F311" s="1">
        <f>VLOOKUP(Table7[[#This Row],[Student_ID]],student_data[],5,0)</f>
        <v>8.4499999999999993</v>
      </c>
      <c r="G311" s="1">
        <f>VLOOKUP(Table7[[#This Row],[Student_ID]],student_data[#All],6,0)</f>
        <v>2</v>
      </c>
      <c r="H311" s="1">
        <f>VLOOKUP(Table7[[#This Row],[Student_ID]],student_internships[],2,0)</f>
        <v>1</v>
      </c>
      <c r="I311" s="1">
        <f>VLOOKUP(Table7[[#This Row],[Student_ID]],Placements!A311:E1310,5,0)</f>
        <v>0</v>
      </c>
      <c r="J311" s="1" t="str">
        <f>IF(VLOOKUP(Table7[[#This Row],[Student_ID]],student_data[#All],5,0)&gt;8,"HIGH",IF(VLOOKUP(Table7[[#This Row],[Student_ID]],student_data[#All],5,0)&lt;6.5,"LOW","MEDIUM"))</f>
        <v>HIGH</v>
      </c>
    </row>
    <row r="312" spans="1:10" x14ac:dyDescent="0.2">
      <c r="A312" s="1" t="s">
        <v>321</v>
      </c>
      <c r="B312" s="1" t="str">
        <f>VLOOKUP(Table7[[#This Row],[Student_ID]],student_data[#All],2,0)</f>
        <v>Information Technology</v>
      </c>
      <c r="C312" s="1">
        <f>(VLOOKUP(Table7[[#This Row],[Student_ID]],student_data[],5,0)*5)+(VLOOKUP(Table7[[#This Row],[Student_ID]],student_data[],6,0)*3)+(VLOOKUP(Table7[[#This Row],[Student_ID]],student_skills[],6,0)*2)+(VLOOKUP(Table7[[#This Row],[Student_ID]],student_internships[],2,0)*5)</f>
        <v>71.25</v>
      </c>
      <c r="D312" s="1">
        <f>AVERAGE(VLOOKUP(Table7[[#This Row],[Student_ID]],student_skills[],3,0),VLOOKUP(Table7[[#This Row],[Student_ID]],student_skills[],4,0),VLOOKUP(Table7[[#This Row],[Student_ID]],student_skills[],5,0),VLOOKUP(Table7[[#This Row],[Student_ID]],student_skills[],6,0))</f>
        <v>6.75</v>
      </c>
      <c r="E312" s="1" t="str">
        <f>IF(VLOOKUP(Table7[[#This Row],[Student_ID]],student_internships[#All],2,0)&gt;1,"EXPERIENCED",IF(VLOOKUP(Table7[[#This Row],[Student_ID]],student_internships[#All],2,0)=1,"BEGINNER","NOT EXPERIENCED"))</f>
        <v>EXPERIENCED</v>
      </c>
      <c r="F312" s="1">
        <f>VLOOKUP(Table7[[#This Row],[Student_ID]],student_data[],5,0)</f>
        <v>8.4499999999999993</v>
      </c>
      <c r="G312" s="1">
        <f>VLOOKUP(Table7[[#This Row],[Student_ID]],student_data[#All],6,0)</f>
        <v>5</v>
      </c>
      <c r="H312" s="1">
        <f>VLOOKUP(Table7[[#This Row],[Student_ID]],student_internships[],2,0)</f>
        <v>2</v>
      </c>
      <c r="I312" s="1">
        <f>VLOOKUP(Table7[[#This Row],[Student_ID]],Placements!A312:E1311,5,0)</f>
        <v>5.43</v>
      </c>
      <c r="J312" s="1" t="str">
        <f>IF(VLOOKUP(Table7[[#This Row],[Student_ID]],student_data[#All],5,0)&gt;8,"HIGH",IF(VLOOKUP(Table7[[#This Row],[Student_ID]],student_data[#All],5,0)&lt;6.5,"LOW","MEDIUM"))</f>
        <v>HIGH</v>
      </c>
    </row>
    <row r="313" spans="1:10" x14ac:dyDescent="0.2">
      <c r="A313" s="1" t="s">
        <v>322</v>
      </c>
      <c r="B313" s="1" t="str">
        <f>VLOOKUP(Table7[[#This Row],[Student_ID]],student_data[#All],2,0)</f>
        <v>Information Technology</v>
      </c>
      <c r="C313" s="1">
        <f>(VLOOKUP(Table7[[#This Row],[Student_ID]],student_data[],5,0)*5)+(VLOOKUP(Table7[[#This Row],[Student_ID]],student_data[],6,0)*3)+(VLOOKUP(Table7[[#This Row],[Student_ID]],student_skills[],6,0)*2)+(VLOOKUP(Table7[[#This Row],[Student_ID]],student_internships[],2,0)*5)</f>
        <v>65.25</v>
      </c>
      <c r="D313" s="1">
        <f>AVERAGE(VLOOKUP(Table7[[#This Row],[Student_ID]],student_skills[],3,0),VLOOKUP(Table7[[#This Row],[Student_ID]],student_skills[],4,0),VLOOKUP(Table7[[#This Row],[Student_ID]],student_skills[],5,0),VLOOKUP(Table7[[#This Row],[Student_ID]],student_skills[],6,0))</f>
        <v>4.25</v>
      </c>
      <c r="E313" s="1" t="str">
        <f>IF(VLOOKUP(Table7[[#This Row],[Student_ID]],student_internships[#All],2,0)&gt;1,"EXPERIENCED",IF(VLOOKUP(Table7[[#This Row],[Student_ID]],student_internships[#All],2,0)=1,"BEGINNER","NOT EXPERIENCED"))</f>
        <v>NOT EXPERIENCED</v>
      </c>
      <c r="F313" s="1">
        <f>VLOOKUP(Table7[[#This Row],[Student_ID]],student_data[],5,0)</f>
        <v>9.65</v>
      </c>
      <c r="G313" s="1">
        <f>VLOOKUP(Table7[[#This Row],[Student_ID]],student_data[#All],6,0)</f>
        <v>3</v>
      </c>
      <c r="H313" s="1">
        <f>VLOOKUP(Table7[[#This Row],[Student_ID]],student_internships[],2,0)</f>
        <v>0</v>
      </c>
      <c r="I313" s="1">
        <f>VLOOKUP(Table7[[#This Row],[Student_ID]],Placements!A313:E1312,5,0)</f>
        <v>5.03</v>
      </c>
      <c r="J313" s="1" t="str">
        <f>IF(VLOOKUP(Table7[[#This Row],[Student_ID]],student_data[#All],5,0)&gt;8,"HIGH",IF(VLOOKUP(Table7[[#This Row],[Student_ID]],student_data[#All],5,0)&lt;6.5,"LOW","MEDIUM"))</f>
        <v>HIGH</v>
      </c>
    </row>
    <row r="314" spans="1:10" x14ac:dyDescent="0.2">
      <c r="A314" s="1" t="s">
        <v>323</v>
      </c>
      <c r="B314" s="1" t="str">
        <f>VLOOKUP(Table7[[#This Row],[Student_ID]],student_data[#All],2,0)</f>
        <v>Computer Science</v>
      </c>
      <c r="C314" s="1">
        <f>(VLOOKUP(Table7[[#This Row],[Student_ID]],student_data[],5,0)*5)+(VLOOKUP(Table7[[#This Row],[Student_ID]],student_data[],6,0)*3)+(VLOOKUP(Table7[[#This Row],[Student_ID]],student_skills[],6,0)*2)+(VLOOKUP(Table7[[#This Row],[Student_ID]],student_internships[],2,0)*5)</f>
        <v>50.45</v>
      </c>
      <c r="D314" s="1">
        <f>AVERAGE(VLOOKUP(Table7[[#This Row],[Student_ID]],student_skills[],3,0),VLOOKUP(Table7[[#This Row],[Student_ID]],student_skills[],4,0),VLOOKUP(Table7[[#This Row],[Student_ID]],student_skills[],5,0),VLOOKUP(Table7[[#This Row],[Student_ID]],student_skills[],6,0))</f>
        <v>6</v>
      </c>
      <c r="E314" s="1" t="str">
        <f>IF(VLOOKUP(Table7[[#This Row],[Student_ID]],student_internships[#All],2,0)&gt;1,"EXPERIENCED",IF(VLOOKUP(Table7[[#This Row],[Student_ID]],student_internships[#All],2,0)=1,"BEGINNER","NOT EXPERIENCED"))</f>
        <v>BEGINNER</v>
      </c>
      <c r="F314" s="1">
        <f>VLOOKUP(Table7[[#This Row],[Student_ID]],student_data[],5,0)</f>
        <v>7.49</v>
      </c>
      <c r="G314" s="1">
        <f>VLOOKUP(Table7[[#This Row],[Student_ID]],student_data[#All],6,0)</f>
        <v>0</v>
      </c>
      <c r="H314" s="1">
        <f>VLOOKUP(Table7[[#This Row],[Student_ID]],student_internships[],2,0)</f>
        <v>1</v>
      </c>
      <c r="I314" s="1">
        <f>VLOOKUP(Table7[[#This Row],[Student_ID]],Placements!A314:E1313,5,0)</f>
        <v>0</v>
      </c>
      <c r="J314" s="1" t="str">
        <f>IF(VLOOKUP(Table7[[#This Row],[Student_ID]],student_data[#All],5,0)&gt;8,"HIGH",IF(VLOOKUP(Table7[[#This Row],[Student_ID]],student_data[#All],5,0)&lt;6.5,"LOW","MEDIUM"))</f>
        <v>MEDIUM</v>
      </c>
    </row>
    <row r="315" spans="1:10" x14ac:dyDescent="0.2">
      <c r="A315" s="1" t="s">
        <v>324</v>
      </c>
      <c r="B315" s="1" t="str">
        <f>VLOOKUP(Table7[[#This Row],[Student_ID]],student_data[#All],2,0)</f>
        <v>Mechanical</v>
      </c>
      <c r="C315" s="1">
        <f>(VLOOKUP(Table7[[#This Row],[Student_ID]],student_data[],5,0)*5)+(VLOOKUP(Table7[[#This Row],[Student_ID]],student_data[],6,0)*3)+(VLOOKUP(Table7[[#This Row],[Student_ID]],student_skills[],6,0)*2)+(VLOOKUP(Table7[[#This Row],[Student_ID]],student_internships[],2,0)*5)</f>
        <v>40.75</v>
      </c>
      <c r="D315" s="1">
        <f>AVERAGE(VLOOKUP(Table7[[#This Row],[Student_ID]],student_skills[],3,0),VLOOKUP(Table7[[#This Row],[Student_ID]],student_skills[],4,0),VLOOKUP(Table7[[#This Row],[Student_ID]],student_skills[],5,0),VLOOKUP(Table7[[#This Row],[Student_ID]],student_skills[],6,0))</f>
        <v>4</v>
      </c>
      <c r="E315" s="1" t="str">
        <f>IF(VLOOKUP(Table7[[#This Row],[Student_ID]],student_internships[#All],2,0)&gt;1,"EXPERIENCED",IF(VLOOKUP(Table7[[#This Row],[Student_ID]],student_internships[#All],2,0)=1,"BEGINNER","NOT EXPERIENCED"))</f>
        <v>NOT EXPERIENCED</v>
      </c>
      <c r="F315" s="1">
        <f>VLOOKUP(Table7[[#This Row],[Student_ID]],student_data[],5,0)</f>
        <v>6.15</v>
      </c>
      <c r="G315" s="1">
        <f>VLOOKUP(Table7[[#This Row],[Student_ID]],student_data[#All],6,0)</f>
        <v>2</v>
      </c>
      <c r="H315" s="1">
        <f>VLOOKUP(Table7[[#This Row],[Student_ID]],student_internships[],2,0)</f>
        <v>0</v>
      </c>
      <c r="I315" s="1">
        <f>VLOOKUP(Table7[[#This Row],[Student_ID]],Placements!A315:E1314,5,0)</f>
        <v>8.85</v>
      </c>
      <c r="J315" s="1" t="str">
        <f>IF(VLOOKUP(Table7[[#This Row],[Student_ID]],student_data[#All],5,0)&gt;8,"HIGH",IF(VLOOKUP(Table7[[#This Row],[Student_ID]],student_data[#All],5,0)&lt;6.5,"LOW","MEDIUM"))</f>
        <v>LOW</v>
      </c>
    </row>
    <row r="316" spans="1:10" x14ac:dyDescent="0.2">
      <c r="A316" s="1" t="s">
        <v>325</v>
      </c>
      <c r="B316" s="1" t="str">
        <f>VLOOKUP(Table7[[#This Row],[Student_ID]],student_data[#All],2,0)</f>
        <v>Electronics</v>
      </c>
      <c r="C316" s="1">
        <f>(VLOOKUP(Table7[[#This Row],[Student_ID]],student_data[],5,0)*5)+(VLOOKUP(Table7[[#This Row],[Student_ID]],student_data[],6,0)*3)+(VLOOKUP(Table7[[#This Row],[Student_ID]],student_skills[],6,0)*2)+(VLOOKUP(Table7[[#This Row],[Student_ID]],student_internships[],2,0)*5)</f>
        <v>35.099999999999994</v>
      </c>
      <c r="D316" s="1">
        <f>AVERAGE(VLOOKUP(Table7[[#This Row],[Student_ID]],student_skills[],3,0),VLOOKUP(Table7[[#This Row],[Student_ID]],student_skills[],4,0),VLOOKUP(Table7[[#This Row],[Student_ID]],student_skills[],5,0),VLOOKUP(Table7[[#This Row],[Student_ID]],student_skills[],6,0))</f>
        <v>6.5</v>
      </c>
      <c r="E316" s="1" t="str">
        <f>IF(VLOOKUP(Table7[[#This Row],[Student_ID]],student_internships[#All],2,0)&gt;1,"EXPERIENCED",IF(VLOOKUP(Table7[[#This Row],[Student_ID]],student_internships[#All],2,0)=1,"BEGINNER","NOT EXPERIENCED"))</f>
        <v>NOT EXPERIENCED</v>
      </c>
      <c r="F316" s="1">
        <f>VLOOKUP(Table7[[#This Row],[Student_ID]],student_data[],5,0)</f>
        <v>5.22</v>
      </c>
      <c r="G316" s="1">
        <f>VLOOKUP(Table7[[#This Row],[Student_ID]],student_data[#All],6,0)</f>
        <v>1</v>
      </c>
      <c r="H316" s="1">
        <f>VLOOKUP(Table7[[#This Row],[Student_ID]],student_internships[],2,0)</f>
        <v>0</v>
      </c>
      <c r="I316" s="1">
        <f>VLOOKUP(Table7[[#This Row],[Student_ID]],Placements!A316:E1315,5,0)</f>
        <v>10.66</v>
      </c>
      <c r="J316" s="1" t="str">
        <f>IF(VLOOKUP(Table7[[#This Row],[Student_ID]],student_data[#All],5,0)&gt;8,"HIGH",IF(VLOOKUP(Table7[[#This Row],[Student_ID]],student_data[#All],5,0)&lt;6.5,"LOW","MEDIUM"))</f>
        <v>LOW</v>
      </c>
    </row>
    <row r="317" spans="1:10" x14ac:dyDescent="0.2">
      <c r="A317" s="1" t="s">
        <v>326</v>
      </c>
      <c r="B317" s="1" t="str">
        <f>VLOOKUP(Table7[[#This Row],[Student_ID]],student_data[#All],2,0)</f>
        <v>Computer Science</v>
      </c>
      <c r="C317" s="1">
        <f>(VLOOKUP(Table7[[#This Row],[Student_ID]],student_data[],5,0)*5)+(VLOOKUP(Table7[[#This Row],[Student_ID]],student_data[],6,0)*3)+(VLOOKUP(Table7[[#This Row],[Student_ID]],student_skills[],6,0)*2)+(VLOOKUP(Table7[[#This Row],[Student_ID]],student_internships[],2,0)*5)</f>
        <v>71.400000000000006</v>
      </c>
      <c r="D317" s="1">
        <f>AVERAGE(VLOOKUP(Table7[[#This Row],[Student_ID]],student_skills[],3,0),VLOOKUP(Table7[[#This Row],[Student_ID]],student_skills[],4,0),VLOOKUP(Table7[[#This Row],[Student_ID]],student_skills[],5,0),VLOOKUP(Table7[[#This Row],[Student_ID]],student_skills[],6,0))</f>
        <v>4.25</v>
      </c>
      <c r="E317" s="1" t="str">
        <f>IF(VLOOKUP(Table7[[#This Row],[Student_ID]],student_internships[#All],2,0)&gt;1,"EXPERIENCED",IF(VLOOKUP(Table7[[#This Row],[Student_ID]],student_internships[#All],2,0)=1,"BEGINNER","NOT EXPERIENCED"))</f>
        <v>EXPERIENCED</v>
      </c>
      <c r="F317" s="1">
        <f>VLOOKUP(Table7[[#This Row],[Student_ID]],student_data[],5,0)</f>
        <v>7.08</v>
      </c>
      <c r="G317" s="1">
        <f>VLOOKUP(Table7[[#This Row],[Student_ID]],student_data[#All],6,0)</f>
        <v>5</v>
      </c>
      <c r="H317" s="1">
        <f>VLOOKUP(Table7[[#This Row],[Student_ID]],student_internships[],2,0)</f>
        <v>3</v>
      </c>
      <c r="I317" s="1">
        <f>VLOOKUP(Table7[[#This Row],[Student_ID]],Placements!A317:E1316,5,0)</f>
        <v>6.85</v>
      </c>
      <c r="J317" s="1" t="str">
        <f>IF(VLOOKUP(Table7[[#This Row],[Student_ID]],student_data[#All],5,0)&gt;8,"HIGH",IF(VLOOKUP(Table7[[#This Row],[Student_ID]],student_data[#All],5,0)&lt;6.5,"LOW","MEDIUM"))</f>
        <v>MEDIUM</v>
      </c>
    </row>
    <row r="318" spans="1:10" x14ac:dyDescent="0.2">
      <c r="A318" s="1" t="s">
        <v>327</v>
      </c>
      <c r="B318" s="1" t="str">
        <f>VLOOKUP(Table7[[#This Row],[Student_ID]],student_data[#All],2,0)</f>
        <v>Electronics</v>
      </c>
      <c r="C318" s="1">
        <f>(VLOOKUP(Table7[[#This Row],[Student_ID]],student_data[],5,0)*5)+(VLOOKUP(Table7[[#This Row],[Student_ID]],student_data[],6,0)*3)+(VLOOKUP(Table7[[#This Row],[Student_ID]],student_skills[],6,0)*2)+(VLOOKUP(Table7[[#This Row],[Student_ID]],student_internships[],2,0)*5)</f>
        <v>50.55</v>
      </c>
      <c r="D318" s="1">
        <f>AVERAGE(VLOOKUP(Table7[[#This Row],[Student_ID]],student_skills[],3,0),VLOOKUP(Table7[[#This Row],[Student_ID]],student_skills[],4,0),VLOOKUP(Table7[[#This Row],[Student_ID]],student_skills[],5,0),VLOOKUP(Table7[[#This Row],[Student_ID]],student_skills[],6,0))</f>
        <v>5.25</v>
      </c>
      <c r="E318" s="1" t="str">
        <f>IF(VLOOKUP(Table7[[#This Row],[Student_ID]],student_internships[#All],2,0)&gt;1,"EXPERIENCED",IF(VLOOKUP(Table7[[#This Row],[Student_ID]],student_internships[#All],2,0)=1,"BEGINNER","NOT EXPERIENCED"))</f>
        <v>EXPERIENCED</v>
      </c>
      <c r="F318" s="1">
        <f>VLOOKUP(Table7[[#This Row],[Student_ID]],student_data[],5,0)</f>
        <v>6.51</v>
      </c>
      <c r="G318" s="1">
        <f>VLOOKUP(Table7[[#This Row],[Student_ID]],student_data[#All],6,0)</f>
        <v>2</v>
      </c>
      <c r="H318" s="1">
        <f>VLOOKUP(Table7[[#This Row],[Student_ID]],student_internships[],2,0)</f>
        <v>2</v>
      </c>
      <c r="I318" s="1">
        <f>VLOOKUP(Table7[[#This Row],[Student_ID]],Placements!A318:E1317,5,0)</f>
        <v>10.42</v>
      </c>
      <c r="J318" s="1" t="str">
        <f>IF(VLOOKUP(Table7[[#This Row],[Student_ID]],student_data[#All],5,0)&gt;8,"HIGH",IF(VLOOKUP(Table7[[#This Row],[Student_ID]],student_data[#All],5,0)&lt;6.5,"LOW","MEDIUM"))</f>
        <v>MEDIUM</v>
      </c>
    </row>
    <row r="319" spans="1:10" x14ac:dyDescent="0.2">
      <c r="A319" s="1" t="s">
        <v>328</v>
      </c>
      <c r="B319" s="1" t="str">
        <f>VLOOKUP(Table7[[#This Row],[Student_ID]],student_data[#All],2,0)</f>
        <v>Electronics</v>
      </c>
      <c r="C319" s="1">
        <f>(VLOOKUP(Table7[[#This Row],[Student_ID]],student_data[],5,0)*5)+(VLOOKUP(Table7[[#This Row],[Student_ID]],student_data[],6,0)*3)+(VLOOKUP(Table7[[#This Row],[Student_ID]],student_skills[],6,0)*2)+(VLOOKUP(Table7[[#This Row],[Student_ID]],student_internships[],2,0)*5)</f>
        <v>67.050000000000011</v>
      </c>
      <c r="D319" s="1">
        <f>AVERAGE(VLOOKUP(Table7[[#This Row],[Student_ID]],student_skills[],3,0),VLOOKUP(Table7[[#This Row],[Student_ID]],student_skills[],4,0),VLOOKUP(Table7[[#This Row],[Student_ID]],student_skills[],5,0),VLOOKUP(Table7[[#This Row],[Student_ID]],student_skills[],6,0))</f>
        <v>7</v>
      </c>
      <c r="E319" s="1" t="str">
        <f>IF(VLOOKUP(Table7[[#This Row],[Student_ID]],student_internships[#All],2,0)&gt;1,"EXPERIENCED",IF(VLOOKUP(Table7[[#This Row],[Student_ID]],student_internships[#All],2,0)=1,"BEGINNER","NOT EXPERIENCED"))</f>
        <v>BEGINNER</v>
      </c>
      <c r="F319" s="1">
        <f>VLOOKUP(Table7[[#This Row],[Student_ID]],student_data[],5,0)</f>
        <v>8.81</v>
      </c>
      <c r="G319" s="1">
        <f>VLOOKUP(Table7[[#This Row],[Student_ID]],student_data[#All],6,0)</f>
        <v>2</v>
      </c>
      <c r="H319" s="1">
        <f>VLOOKUP(Table7[[#This Row],[Student_ID]],student_internships[],2,0)</f>
        <v>1</v>
      </c>
      <c r="I319" s="1">
        <f>VLOOKUP(Table7[[#This Row],[Student_ID]],Placements!A319:E1318,5,0)</f>
        <v>0</v>
      </c>
      <c r="J319" s="1" t="str">
        <f>IF(VLOOKUP(Table7[[#This Row],[Student_ID]],student_data[#All],5,0)&gt;8,"HIGH",IF(VLOOKUP(Table7[[#This Row],[Student_ID]],student_data[#All],5,0)&lt;6.5,"LOW","MEDIUM"))</f>
        <v>HIGH</v>
      </c>
    </row>
    <row r="320" spans="1:10" x14ac:dyDescent="0.2">
      <c r="A320" s="1" t="s">
        <v>329</v>
      </c>
      <c r="B320" s="1" t="str">
        <f>VLOOKUP(Table7[[#This Row],[Student_ID]],student_data[#All],2,0)</f>
        <v>Mechanical</v>
      </c>
      <c r="C320" s="1">
        <f>(VLOOKUP(Table7[[#This Row],[Student_ID]],student_data[],5,0)*5)+(VLOOKUP(Table7[[#This Row],[Student_ID]],student_data[],6,0)*3)+(VLOOKUP(Table7[[#This Row],[Student_ID]],student_skills[],6,0)*2)+(VLOOKUP(Table7[[#This Row],[Student_ID]],student_internships[],2,0)*5)</f>
        <v>60.849999999999994</v>
      </c>
      <c r="D320" s="1">
        <f>AVERAGE(VLOOKUP(Table7[[#This Row],[Student_ID]],student_skills[],3,0),VLOOKUP(Table7[[#This Row],[Student_ID]],student_skills[],4,0),VLOOKUP(Table7[[#This Row],[Student_ID]],student_skills[],5,0),VLOOKUP(Table7[[#This Row],[Student_ID]],student_skills[],6,0))</f>
        <v>4.5</v>
      </c>
      <c r="E320" s="1" t="str">
        <f>IF(VLOOKUP(Table7[[#This Row],[Student_ID]],student_internships[#All],2,0)&gt;1,"EXPERIENCED",IF(VLOOKUP(Table7[[#This Row],[Student_ID]],student_internships[#All],2,0)=1,"BEGINNER","NOT EXPERIENCED"))</f>
        <v>BEGINNER</v>
      </c>
      <c r="F320" s="1">
        <f>VLOOKUP(Table7[[#This Row],[Student_ID]],student_data[],5,0)</f>
        <v>6.77</v>
      </c>
      <c r="G320" s="1">
        <f>VLOOKUP(Table7[[#This Row],[Student_ID]],student_data[#All],6,0)</f>
        <v>2</v>
      </c>
      <c r="H320" s="1">
        <f>VLOOKUP(Table7[[#This Row],[Student_ID]],student_internships[],2,0)</f>
        <v>1</v>
      </c>
      <c r="I320" s="1">
        <f>VLOOKUP(Table7[[#This Row],[Student_ID]],Placements!A320:E1319,5,0)</f>
        <v>5.67</v>
      </c>
      <c r="J320" s="1" t="str">
        <f>IF(VLOOKUP(Table7[[#This Row],[Student_ID]],student_data[#All],5,0)&gt;8,"HIGH",IF(VLOOKUP(Table7[[#This Row],[Student_ID]],student_data[#All],5,0)&lt;6.5,"LOW","MEDIUM"))</f>
        <v>MEDIUM</v>
      </c>
    </row>
    <row r="321" spans="1:10" x14ac:dyDescent="0.2">
      <c r="A321" s="1" t="s">
        <v>330</v>
      </c>
      <c r="B321" s="1" t="str">
        <f>VLOOKUP(Table7[[#This Row],[Student_ID]],student_data[#All],2,0)</f>
        <v>Electronics</v>
      </c>
      <c r="C321" s="1">
        <f>(VLOOKUP(Table7[[#This Row],[Student_ID]],student_data[],5,0)*5)+(VLOOKUP(Table7[[#This Row],[Student_ID]],student_data[],6,0)*3)+(VLOOKUP(Table7[[#This Row],[Student_ID]],student_skills[],6,0)*2)+(VLOOKUP(Table7[[#This Row],[Student_ID]],student_internships[],2,0)*5)</f>
        <v>54.75</v>
      </c>
      <c r="D321" s="1">
        <f>AVERAGE(VLOOKUP(Table7[[#This Row],[Student_ID]],student_skills[],3,0),VLOOKUP(Table7[[#This Row],[Student_ID]],student_skills[],4,0),VLOOKUP(Table7[[#This Row],[Student_ID]],student_skills[],5,0),VLOOKUP(Table7[[#This Row],[Student_ID]],student_skills[],6,0))</f>
        <v>5.25</v>
      </c>
      <c r="E321" s="1" t="str">
        <f>IF(VLOOKUP(Table7[[#This Row],[Student_ID]],student_internships[#All],2,0)&gt;1,"EXPERIENCED",IF(VLOOKUP(Table7[[#This Row],[Student_ID]],student_internships[#All],2,0)=1,"BEGINNER","NOT EXPERIENCED"))</f>
        <v>NOT EXPERIENCED</v>
      </c>
      <c r="F321" s="1">
        <f>VLOOKUP(Table7[[#This Row],[Student_ID]],student_data[],5,0)</f>
        <v>9.75</v>
      </c>
      <c r="G321" s="1">
        <f>VLOOKUP(Table7[[#This Row],[Student_ID]],student_data[#All],6,0)</f>
        <v>0</v>
      </c>
      <c r="H321" s="1">
        <f>VLOOKUP(Table7[[#This Row],[Student_ID]],student_internships[],2,0)</f>
        <v>0</v>
      </c>
      <c r="I321" s="1">
        <f>VLOOKUP(Table7[[#This Row],[Student_ID]],Placements!A321:E1320,5,0)</f>
        <v>0</v>
      </c>
      <c r="J321" s="1" t="str">
        <f>IF(VLOOKUP(Table7[[#This Row],[Student_ID]],student_data[#All],5,0)&gt;8,"HIGH",IF(VLOOKUP(Table7[[#This Row],[Student_ID]],student_data[#All],5,0)&lt;6.5,"LOW","MEDIUM"))</f>
        <v>HIGH</v>
      </c>
    </row>
    <row r="322" spans="1:10" x14ac:dyDescent="0.2">
      <c r="A322" s="1" t="s">
        <v>331</v>
      </c>
      <c r="B322" s="1" t="str">
        <f>VLOOKUP(Table7[[#This Row],[Student_ID]],student_data[#All],2,0)</f>
        <v>Electronics</v>
      </c>
      <c r="C322" s="1">
        <f>(VLOOKUP(Table7[[#This Row],[Student_ID]],student_data[],5,0)*5)+(VLOOKUP(Table7[[#This Row],[Student_ID]],student_data[],6,0)*3)+(VLOOKUP(Table7[[#This Row],[Student_ID]],student_skills[],6,0)*2)+(VLOOKUP(Table7[[#This Row],[Student_ID]],student_internships[],2,0)*5)</f>
        <v>59.050000000000004</v>
      </c>
      <c r="D322" s="1">
        <f>AVERAGE(VLOOKUP(Table7[[#This Row],[Student_ID]],student_skills[],3,0),VLOOKUP(Table7[[#This Row],[Student_ID]],student_skills[],4,0),VLOOKUP(Table7[[#This Row],[Student_ID]],student_skills[],5,0),VLOOKUP(Table7[[#This Row],[Student_ID]],student_skills[],6,0))</f>
        <v>6.25</v>
      </c>
      <c r="E322" s="1" t="str">
        <f>IF(VLOOKUP(Table7[[#This Row],[Student_ID]],student_internships[#All],2,0)&gt;1,"EXPERIENCED",IF(VLOOKUP(Table7[[#This Row],[Student_ID]],student_internships[#All],2,0)=1,"BEGINNER","NOT EXPERIENCED"))</f>
        <v>NOT EXPERIENCED</v>
      </c>
      <c r="F322" s="1">
        <f>VLOOKUP(Table7[[#This Row],[Student_ID]],student_data[],5,0)</f>
        <v>9.81</v>
      </c>
      <c r="G322" s="1">
        <f>VLOOKUP(Table7[[#This Row],[Student_ID]],student_data[#All],6,0)</f>
        <v>0</v>
      </c>
      <c r="H322" s="1">
        <f>VLOOKUP(Table7[[#This Row],[Student_ID]],student_internships[],2,0)</f>
        <v>0</v>
      </c>
      <c r="I322" s="1">
        <f>VLOOKUP(Table7[[#This Row],[Student_ID]],Placements!A322:E1321,5,0)</f>
        <v>3.59</v>
      </c>
      <c r="J322" s="1" t="str">
        <f>IF(VLOOKUP(Table7[[#This Row],[Student_ID]],student_data[#All],5,0)&gt;8,"HIGH",IF(VLOOKUP(Table7[[#This Row],[Student_ID]],student_data[#All],5,0)&lt;6.5,"LOW","MEDIUM"))</f>
        <v>HIGH</v>
      </c>
    </row>
    <row r="323" spans="1:10" x14ac:dyDescent="0.2">
      <c r="A323" s="1" t="s">
        <v>332</v>
      </c>
      <c r="B323" s="1" t="str">
        <f>VLOOKUP(Table7[[#This Row],[Student_ID]],student_data[#All],2,0)</f>
        <v>Mechanical</v>
      </c>
      <c r="C323" s="1">
        <f>(VLOOKUP(Table7[[#This Row],[Student_ID]],student_data[],5,0)*5)+(VLOOKUP(Table7[[#This Row],[Student_ID]],student_data[],6,0)*3)+(VLOOKUP(Table7[[#This Row],[Student_ID]],student_skills[],6,0)*2)+(VLOOKUP(Table7[[#This Row],[Student_ID]],student_internships[],2,0)*5)</f>
        <v>45.5</v>
      </c>
      <c r="D323" s="1">
        <f>AVERAGE(VLOOKUP(Table7[[#This Row],[Student_ID]],student_skills[],3,0),VLOOKUP(Table7[[#This Row],[Student_ID]],student_skills[],4,0),VLOOKUP(Table7[[#This Row],[Student_ID]],student_skills[],5,0),VLOOKUP(Table7[[#This Row],[Student_ID]],student_skills[],6,0))</f>
        <v>4</v>
      </c>
      <c r="E323" s="1" t="str">
        <f>IF(VLOOKUP(Table7[[#This Row],[Student_ID]],student_internships[#All],2,0)&gt;1,"EXPERIENCED",IF(VLOOKUP(Table7[[#This Row],[Student_ID]],student_internships[#All],2,0)=1,"BEGINNER","NOT EXPERIENCED"))</f>
        <v>NOT EXPERIENCED</v>
      </c>
      <c r="F323" s="1">
        <f>VLOOKUP(Table7[[#This Row],[Student_ID]],student_data[],5,0)</f>
        <v>8.1</v>
      </c>
      <c r="G323" s="1">
        <f>VLOOKUP(Table7[[#This Row],[Student_ID]],student_data[#All],6,0)</f>
        <v>1</v>
      </c>
      <c r="H323" s="1">
        <f>VLOOKUP(Table7[[#This Row],[Student_ID]],student_internships[],2,0)</f>
        <v>0</v>
      </c>
      <c r="I323" s="1">
        <f>VLOOKUP(Table7[[#This Row],[Student_ID]],Placements!A323:E1322,5,0)</f>
        <v>6.56</v>
      </c>
      <c r="J323" s="1" t="str">
        <f>IF(VLOOKUP(Table7[[#This Row],[Student_ID]],student_data[#All],5,0)&gt;8,"HIGH",IF(VLOOKUP(Table7[[#This Row],[Student_ID]],student_data[#All],5,0)&lt;6.5,"LOW","MEDIUM"))</f>
        <v>HIGH</v>
      </c>
    </row>
    <row r="324" spans="1:10" x14ac:dyDescent="0.2">
      <c r="A324" s="1" t="s">
        <v>333</v>
      </c>
      <c r="B324" s="1" t="str">
        <f>VLOOKUP(Table7[[#This Row],[Student_ID]],student_data[#All],2,0)</f>
        <v>Electronics</v>
      </c>
      <c r="C324" s="1">
        <f>(VLOOKUP(Table7[[#This Row],[Student_ID]],student_data[],5,0)*5)+(VLOOKUP(Table7[[#This Row],[Student_ID]],student_data[],6,0)*3)+(VLOOKUP(Table7[[#This Row],[Student_ID]],student_skills[],6,0)*2)+(VLOOKUP(Table7[[#This Row],[Student_ID]],student_internships[],2,0)*5)</f>
        <v>85.2</v>
      </c>
      <c r="D324" s="1">
        <f>AVERAGE(VLOOKUP(Table7[[#This Row],[Student_ID]],student_skills[],3,0),VLOOKUP(Table7[[#This Row],[Student_ID]],student_skills[],4,0),VLOOKUP(Table7[[#This Row],[Student_ID]],student_skills[],5,0),VLOOKUP(Table7[[#This Row],[Student_ID]],student_skills[],6,0))</f>
        <v>5.5</v>
      </c>
      <c r="E324" s="1" t="str">
        <f>IF(VLOOKUP(Table7[[#This Row],[Student_ID]],student_internships[#All],2,0)&gt;1,"EXPERIENCED",IF(VLOOKUP(Table7[[#This Row],[Student_ID]],student_internships[#All],2,0)=1,"BEGINNER","NOT EXPERIENCED"))</f>
        <v>BEGINNER</v>
      </c>
      <c r="F324" s="1">
        <f>VLOOKUP(Table7[[#This Row],[Student_ID]],student_data[],5,0)</f>
        <v>9.64</v>
      </c>
      <c r="G324" s="1">
        <f>VLOOKUP(Table7[[#This Row],[Student_ID]],student_data[#All],6,0)</f>
        <v>4</v>
      </c>
      <c r="H324" s="1">
        <f>VLOOKUP(Table7[[#This Row],[Student_ID]],student_internships[],2,0)</f>
        <v>1</v>
      </c>
      <c r="I324" s="1">
        <f>VLOOKUP(Table7[[#This Row],[Student_ID]],Placements!A324:E1323,5,0)</f>
        <v>0</v>
      </c>
      <c r="J324" s="1" t="str">
        <f>IF(VLOOKUP(Table7[[#This Row],[Student_ID]],student_data[#All],5,0)&gt;8,"HIGH",IF(VLOOKUP(Table7[[#This Row],[Student_ID]],student_data[#All],5,0)&lt;6.5,"LOW","MEDIUM"))</f>
        <v>HIGH</v>
      </c>
    </row>
    <row r="325" spans="1:10" x14ac:dyDescent="0.2">
      <c r="A325" s="1" t="s">
        <v>334</v>
      </c>
      <c r="B325" s="1" t="str">
        <f>VLOOKUP(Table7[[#This Row],[Student_ID]],student_data[#All],2,0)</f>
        <v>Electronics</v>
      </c>
      <c r="C325" s="1">
        <f>(VLOOKUP(Table7[[#This Row],[Student_ID]],student_data[],5,0)*5)+(VLOOKUP(Table7[[#This Row],[Student_ID]],student_data[],6,0)*3)+(VLOOKUP(Table7[[#This Row],[Student_ID]],student_skills[],6,0)*2)+(VLOOKUP(Table7[[#This Row],[Student_ID]],student_internships[],2,0)*5)</f>
        <v>80</v>
      </c>
      <c r="D325" s="1">
        <f>AVERAGE(VLOOKUP(Table7[[#This Row],[Student_ID]],student_skills[],3,0),VLOOKUP(Table7[[#This Row],[Student_ID]],student_skills[],4,0),VLOOKUP(Table7[[#This Row],[Student_ID]],student_skills[],5,0),VLOOKUP(Table7[[#This Row],[Student_ID]],student_skills[],6,0))</f>
        <v>6</v>
      </c>
      <c r="E325" s="1" t="str">
        <f>IF(VLOOKUP(Table7[[#This Row],[Student_ID]],student_internships[#All],2,0)&gt;1,"EXPERIENCED",IF(VLOOKUP(Table7[[#This Row],[Student_ID]],student_internships[#All],2,0)=1,"BEGINNER","NOT EXPERIENCED"))</f>
        <v>EXPERIENCED</v>
      </c>
      <c r="F325" s="1">
        <f>VLOOKUP(Table7[[#This Row],[Student_ID]],student_data[],5,0)</f>
        <v>8.8000000000000007</v>
      </c>
      <c r="G325" s="1">
        <f>VLOOKUP(Table7[[#This Row],[Student_ID]],student_data[#All],6,0)</f>
        <v>4</v>
      </c>
      <c r="H325" s="1">
        <f>VLOOKUP(Table7[[#This Row],[Student_ID]],student_internships[],2,0)</f>
        <v>2</v>
      </c>
      <c r="I325" s="1">
        <f>VLOOKUP(Table7[[#This Row],[Student_ID]],Placements!A325:E1324,5,0)</f>
        <v>5.18</v>
      </c>
      <c r="J325" s="1" t="str">
        <f>IF(VLOOKUP(Table7[[#This Row],[Student_ID]],student_data[#All],5,0)&gt;8,"HIGH",IF(VLOOKUP(Table7[[#This Row],[Student_ID]],student_data[#All],5,0)&lt;6.5,"LOW","MEDIUM"))</f>
        <v>HIGH</v>
      </c>
    </row>
    <row r="326" spans="1:10" x14ac:dyDescent="0.2">
      <c r="A326" s="1" t="s">
        <v>335</v>
      </c>
      <c r="B326" s="1" t="str">
        <f>VLOOKUP(Table7[[#This Row],[Student_ID]],student_data[#All],2,0)</f>
        <v>Electronics</v>
      </c>
      <c r="C326" s="1">
        <f>(VLOOKUP(Table7[[#This Row],[Student_ID]],student_data[],5,0)*5)+(VLOOKUP(Table7[[#This Row],[Student_ID]],student_data[],6,0)*3)+(VLOOKUP(Table7[[#This Row],[Student_ID]],student_skills[],6,0)*2)+(VLOOKUP(Table7[[#This Row],[Student_ID]],student_internships[],2,0)*5)</f>
        <v>75.650000000000006</v>
      </c>
      <c r="D326" s="1">
        <f>AVERAGE(VLOOKUP(Table7[[#This Row],[Student_ID]],student_skills[],3,0),VLOOKUP(Table7[[#This Row],[Student_ID]],student_skills[],4,0),VLOOKUP(Table7[[#This Row],[Student_ID]],student_skills[],5,0),VLOOKUP(Table7[[#This Row],[Student_ID]],student_skills[],6,0))</f>
        <v>6.25</v>
      </c>
      <c r="E326" s="1" t="str">
        <f>IF(VLOOKUP(Table7[[#This Row],[Student_ID]],student_internships[#All],2,0)&gt;1,"EXPERIENCED",IF(VLOOKUP(Table7[[#This Row],[Student_ID]],student_internships[#All],2,0)=1,"BEGINNER","NOT EXPERIENCED"))</f>
        <v>BEGINNER</v>
      </c>
      <c r="F326" s="1">
        <f>VLOOKUP(Table7[[#This Row],[Student_ID]],student_data[],5,0)</f>
        <v>7.73</v>
      </c>
      <c r="G326" s="1">
        <f>VLOOKUP(Table7[[#This Row],[Student_ID]],student_data[#All],6,0)</f>
        <v>4</v>
      </c>
      <c r="H326" s="1">
        <f>VLOOKUP(Table7[[#This Row],[Student_ID]],student_internships[],2,0)</f>
        <v>1</v>
      </c>
      <c r="I326" s="1">
        <f>VLOOKUP(Table7[[#This Row],[Student_ID]],Placements!A326:E1325,5,0)</f>
        <v>6.96</v>
      </c>
      <c r="J326" s="1" t="str">
        <f>IF(VLOOKUP(Table7[[#This Row],[Student_ID]],student_data[#All],5,0)&gt;8,"HIGH",IF(VLOOKUP(Table7[[#This Row],[Student_ID]],student_data[#All],5,0)&lt;6.5,"LOW","MEDIUM"))</f>
        <v>MEDIUM</v>
      </c>
    </row>
    <row r="327" spans="1:10" x14ac:dyDescent="0.2">
      <c r="A327" s="1" t="s">
        <v>336</v>
      </c>
      <c r="B327" s="1" t="str">
        <f>VLOOKUP(Table7[[#This Row],[Student_ID]],student_data[#All],2,0)</f>
        <v>Computer Science</v>
      </c>
      <c r="C327" s="1">
        <f>(VLOOKUP(Table7[[#This Row],[Student_ID]],student_data[],5,0)*5)+(VLOOKUP(Table7[[#This Row],[Student_ID]],student_data[],6,0)*3)+(VLOOKUP(Table7[[#This Row],[Student_ID]],student_skills[],6,0)*2)+(VLOOKUP(Table7[[#This Row],[Student_ID]],student_internships[],2,0)*5)</f>
        <v>46.5</v>
      </c>
      <c r="D327" s="1">
        <f>AVERAGE(VLOOKUP(Table7[[#This Row],[Student_ID]],student_skills[],3,0),VLOOKUP(Table7[[#This Row],[Student_ID]],student_skills[],4,0),VLOOKUP(Table7[[#This Row],[Student_ID]],student_skills[],5,0),VLOOKUP(Table7[[#This Row],[Student_ID]],student_skills[],6,0))</f>
        <v>3.5</v>
      </c>
      <c r="E327" s="1" t="str">
        <f>IF(VLOOKUP(Table7[[#This Row],[Student_ID]],student_internships[#All],2,0)&gt;1,"EXPERIENCED",IF(VLOOKUP(Table7[[#This Row],[Student_ID]],student_internships[#All],2,0)=1,"BEGINNER","NOT EXPERIENCED"))</f>
        <v>NOT EXPERIENCED</v>
      </c>
      <c r="F327" s="1">
        <f>VLOOKUP(Table7[[#This Row],[Student_ID]],student_data[],5,0)</f>
        <v>5.9</v>
      </c>
      <c r="G327" s="1">
        <f>VLOOKUP(Table7[[#This Row],[Student_ID]],student_data[#All],6,0)</f>
        <v>5</v>
      </c>
      <c r="H327" s="1">
        <f>VLOOKUP(Table7[[#This Row],[Student_ID]],student_internships[],2,0)</f>
        <v>0</v>
      </c>
      <c r="I327" s="1">
        <f>VLOOKUP(Table7[[#This Row],[Student_ID]],Placements!A327:E1326,5,0)</f>
        <v>6.94</v>
      </c>
      <c r="J327" s="1" t="str">
        <f>IF(VLOOKUP(Table7[[#This Row],[Student_ID]],student_data[#All],5,0)&gt;8,"HIGH",IF(VLOOKUP(Table7[[#This Row],[Student_ID]],student_data[#All],5,0)&lt;6.5,"LOW","MEDIUM"))</f>
        <v>LOW</v>
      </c>
    </row>
    <row r="328" spans="1:10" x14ac:dyDescent="0.2">
      <c r="A328" s="1" t="s">
        <v>337</v>
      </c>
      <c r="B328" s="1" t="str">
        <f>VLOOKUP(Table7[[#This Row],[Student_ID]],student_data[#All],2,0)</f>
        <v>Computer Science</v>
      </c>
      <c r="C328" s="1">
        <f>(VLOOKUP(Table7[[#This Row],[Student_ID]],student_data[],5,0)*5)+(VLOOKUP(Table7[[#This Row],[Student_ID]],student_data[],6,0)*3)+(VLOOKUP(Table7[[#This Row],[Student_ID]],student_skills[],6,0)*2)+(VLOOKUP(Table7[[#This Row],[Student_ID]],student_internships[],2,0)*5)</f>
        <v>84.45</v>
      </c>
      <c r="D328" s="1">
        <f>AVERAGE(VLOOKUP(Table7[[#This Row],[Student_ID]],student_skills[],3,0),VLOOKUP(Table7[[#This Row],[Student_ID]],student_skills[],4,0),VLOOKUP(Table7[[#This Row],[Student_ID]],student_skills[],5,0),VLOOKUP(Table7[[#This Row],[Student_ID]],student_skills[],6,0))</f>
        <v>5.5</v>
      </c>
      <c r="E328" s="1" t="str">
        <f>IF(VLOOKUP(Table7[[#This Row],[Student_ID]],student_internships[#All],2,0)&gt;1,"EXPERIENCED",IF(VLOOKUP(Table7[[#This Row],[Student_ID]],student_internships[#All],2,0)=1,"BEGINNER","NOT EXPERIENCED"))</f>
        <v>EXPERIENCED</v>
      </c>
      <c r="F328" s="1">
        <f>VLOOKUP(Table7[[#This Row],[Student_ID]],student_data[],5,0)</f>
        <v>7.29</v>
      </c>
      <c r="G328" s="1">
        <f>VLOOKUP(Table7[[#This Row],[Student_ID]],student_data[#All],6,0)</f>
        <v>5</v>
      </c>
      <c r="H328" s="1">
        <f>VLOOKUP(Table7[[#This Row],[Student_ID]],student_internships[],2,0)</f>
        <v>3</v>
      </c>
      <c r="I328" s="1">
        <f>VLOOKUP(Table7[[#This Row],[Student_ID]],Placements!A328:E1327,5,0)</f>
        <v>3.83</v>
      </c>
      <c r="J328" s="1" t="str">
        <f>IF(VLOOKUP(Table7[[#This Row],[Student_ID]],student_data[#All],5,0)&gt;8,"HIGH",IF(VLOOKUP(Table7[[#This Row],[Student_ID]],student_data[#All],5,0)&lt;6.5,"LOW","MEDIUM"))</f>
        <v>MEDIUM</v>
      </c>
    </row>
    <row r="329" spans="1:10" x14ac:dyDescent="0.2">
      <c r="A329" s="1" t="s">
        <v>338</v>
      </c>
      <c r="B329" s="1" t="str">
        <f>VLOOKUP(Table7[[#This Row],[Student_ID]],student_data[#All],2,0)</f>
        <v>Computer Science</v>
      </c>
      <c r="C329" s="1">
        <f>(VLOOKUP(Table7[[#This Row],[Student_ID]],student_data[],5,0)*5)+(VLOOKUP(Table7[[#This Row],[Student_ID]],student_data[],6,0)*3)+(VLOOKUP(Table7[[#This Row],[Student_ID]],student_skills[],6,0)*2)+(VLOOKUP(Table7[[#This Row],[Student_ID]],student_internships[],2,0)*5)</f>
        <v>68</v>
      </c>
      <c r="D329" s="1">
        <f>AVERAGE(VLOOKUP(Table7[[#This Row],[Student_ID]],student_skills[],3,0),VLOOKUP(Table7[[#This Row],[Student_ID]],student_skills[],4,0),VLOOKUP(Table7[[#This Row],[Student_ID]],student_skills[],5,0),VLOOKUP(Table7[[#This Row],[Student_ID]],student_skills[],6,0))</f>
        <v>6.25</v>
      </c>
      <c r="E329" s="1" t="str">
        <f>IF(VLOOKUP(Table7[[#This Row],[Student_ID]],student_internships[#All],2,0)&gt;1,"EXPERIENCED",IF(VLOOKUP(Table7[[#This Row],[Student_ID]],student_internships[#All],2,0)=1,"BEGINNER","NOT EXPERIENCED"))</f>
        <v>EXPERIENCED</v>
      </c>
      <c r="F329" s="1">
        <f>VLOOKUP(Table7[[#This Row],[Student_ID]],student_data[],5,0)</f>
        <v>7.8</v>
      </c>
      <c r="G329" s="1">
        <f>VLOOKUP(Table7[[#This Row],[Student_ID]],student_data[#All],6,0)</f>
        <v>1</v>
      </c>
      <c r="H329" s="1">
        <f>VLOOKUP(Table7[[#This Row],[Student_ID]],student_internships[],2,0)</f>
        <v>2</v>
      </c>
      <c r="I329" s="1">
        <f>VLOOKUP(Table7[[#This Row],[Student_ID]],Placements!A329:E1328,5,0)</f>
        <v>3.52</v>
      </c>
      <c r="J329" s="1" t="str">
        <f>IF(VLOOKUP(Table7[[#This Row],[Student_ID]],student_data[#All],5,0)&gt;8,"HIGH",IF(VLOOKUP(Table7[[#This Row],[Student_ID]],student_data[#All],5,0)&lt;6.5,"LOW","MEDIUM"))</f>
        <v>MEDIUM</v>
      </c>
    </row>
    <row r="330" spans="1:10" x14ac:dyDescent="0.2">
      <c r="A330" s="1" t="s">
        <v>339</v>
      </c>
      <c r="B330" s="1" t="str">
        <f>VLOOKUP(Table7[[#This Row],[Student_ID]],student_data[#All],2,0)</f>
        <v>Mechanical</v>
      </c>
      <c r="C330" s="1">
        <f>(VLOOKUP(Table7[[#This Row],[Student_ID]],student_data[],5,0)*5)+(VLOOKUP(Table7[[#This Row],[Student_ID]],student_data[],6,0)*3)+(VLOOKUP(Table7[[#This Row],[Student_ID]],student_skills[],6,0)*2)+(VLOOKUP(Table7[[#This Row],[Student_ID]],student_internships[],2,0)*5)</f>
        <v>80.599999999999994</v>
      </c>
      <c r="D330" s="1">
        <f>AVERAGE(VLOOKUP(Table7[[#This Row],[Student_ID]],student_skills[],3,0),VLOOKUP(Table7[[#This Row],[Student_ID]],student_skills[],4,0),VLOOKUP(Table7[[#This Row],[Student_ID]],student_skills[],5,0),VLOOKUP(Table7[[#This Row],[Student_ID]],student_skills[],6,0))</f>
        <v>5.75</v>
      </c>
      <c r="E330" s="1" t="str">
        <f>IF(VLOOKUP(Table7[[#This Row],[Student_ID]],student_internships[#All],2,0)&gt;1,"EXPERIENCED",IF(VLOOKUP(Table7[[#This Row],[Student_ID]],student_internships[#All],2,0)=1,"BEGINNER","NOT EXPERIENCED"))</f>
        <v>BEGINNER</v>
      </c>
      <c r="F330" s="1">
        <f>VLOOKUP(Table7[[#This Row],[Student_ID]],student_data[],5,0)</f>
        <v>9.32</v>
      </c>
      <c r="G330" s="1">
        <f>VLOOKUP(Table7[[#This Row],[Student_ID]],student_data[#All],6,0)</f>
        <v>5</v>
      </c>
      <c r="H330" s="1">
        <f>VLOOKUP(Table7[[#This Row],[Student_ID]],student_internships[],2,0)</f>
        <v>1</v>
      </c>
      <c r="I330" s="1">
        <f>VLOOKUP(Table7[[#This Row],[Student_ID]],Placements!A330:E1329,5,0)</f>
        <v>3.51</v>
      </c>
      <c r="J330" s="1" t="str">
        <f>IF(VLOOKUP(Table7[[#This Row],[Student_ID]],student_data[#All],5,0)&gt;8,"HIGH",IF(VLOOKUP(Table7[[#This Row],[Student_ID]],student_data[#All],5,0)&lt;6.5,"LOW","MEDIUM"))</f>
        <v>HIGH</v>
      </c>
    </row>
    <row r="331" spans="1:10" x14ac:dyDescent="0.2">
      <c r="A331" s="1" t="s">
        <v>340</v>
      </c>
      <c r="B331" s="1" t="str">
        <f>VLOOKUP(Table7[[#This Row],[Student_ID]],student_data[#All],2,0)</f>
        <v>Information Technology</v>
      </c>
      <c r="C331" s="1">
        <f>(VLOOKUP(Table7[[#This Row],[Student_ID]],student_data[],5,0)*5)+(VLOOKUP(Table7[[#This Row],[Student_ID]],student_data[],6,0)*3)+(VLOOKUP(Table7[[#This Row],[Student_ID]],student_skills[],6,0)*2)+(VLOOKUP(Table7[[#This Row],[Student_ID]],student_internships[],2,0)*5)</f>
        <v>74.05</v>
      </c>
      <c r="D331" s="1">
        <f>AVERAGE(VLOOKUP(Table7[[#This Row],[Student_ID]],student_skills[],3,0),VLOOKUP(Table7[[#This Row],[Student_ID]],student_skills[],4,0),VLOOKUP(Table7[[#This Row],[Student_ID]],student_skills[],5,0),VLOOKUP(Table7[[#This Row],[Student_ID]],student_skills[],6,0))</f>
        <v>9.25</v>
      </c>
      <c r="E331" s="1" t="str">
        <f>IF(VLOOKUP(Table7[[#This Row],[Student_ID]],student_internships[#All],2,0)&gt;1,"EXPERIENCED",IF(VLOOKUP(Table7[[#This Row],[Student_ID]],student_internships[#All],2,0)=1,"BEGINNER","NOT EXPERIENCED"))</f>
        <v>BEGINNER</v>
      </c>
      <c r="F331" s="1">
        <f>VLOOKUP(Table7[[#This Row],[Student_ID]],student_data[],5,0)</f>
        <v>7.41</v>
      </c>
      <c r="G331" s="1">
        <f>VLOOKUP(Table7[[#This Row],[Student_ID]],student_data[#All],6,0)</f>
        <v>4</v>
      </c>
      <c r="H331" s="1">
        <f>VLOOKUP(Table7[[#This Row],[Student_ID]],student_internships[],2,0)</f>
        <v>1</v>
      </c>
      <c r="I331" s="1">
        <f>VLOOKUP(Table7[[#This Row],[Student_ID]],Placements!A331:E1330,5,0)</f>
        <v>0</v>
      </c>
      <c r="J331" s="1" t="str">
        <f>IF(VLOOKUP(Table7[[#This Row],[Student_ID]],student_data[#All],5,0)&gt;8,"HIGH",IF(VLOOKUP(Table7[[#This Row],[Student_ID]],student_data[#All],5,0)&lt;6.5,"LOW","MEDIUM"))</f>
        <v>MEDIUM</v>
      </c>
    </row>
    <row r="332" spans="1:10" x14ac:dyDescent="0.2">
      <c r="A332" s="1" t="s">
        <v>341</v>
      </c>
      <c r="B332" s="1" t="str">
        <f>VLOOKUP(Table7[[#This Row],[Student_ID]],student_data[#All],2,0)</f>
        <v>Electronics</v>
      </c>
      <c r="C332" s="1">
        <f>(VLOOKUP(Table7[[#This Row],[Student_ID]],student_data[],5,0)*5)+(VLOOKUP(Table7[[#This Row],[Student_ID]],student_data[],6,0)*3)+(VLOOKUP(Table7[[#This Row],[Student_ID]],student_skills[],6,0)*2)+(VLOOKUP(Table7[[#This Row],[Student_ID]],student_internships[],2,0)*5)</f>
        <v>78.45</v>
      </c>
      <c r="D332" s="1">
        <f>AVERAGE(VLOOKUP(Table7[[#This Row],[Student_ID]],student_skills[],3,0),VLOOKUP(Table7[[#This Row],[Student_ID]],student_skills[],4,0),VLOOKUP(Table7[[#This Row],[Student_ID]],student_skills[],5,0),VLOOKUP(Table7[[#This Row],[Student_ID]],student_skills[],6,0))</f>
        <v>6</v>
      </c>
      <c r="E332" s="1" t="str">
        <f>IF(VLOOKUP(Table7[[#This Row],[Student_ID]],student_internships[#All],2,0)&gt;1,"EXPERIENCED",IF(VLOOKUP(Table7[[#This Row],[Student_ID]],student_internships[#All],2,0)=1,"BEGINNER","NOT EXPERIENCED"))</f>
        <v>BEGINNER</v>
      </c>
      <c r="F332" s="1">
        <f>VLOOKUP(Table7[[#This Row],[Student_ID]],student_data[],5,0)</f>
        <v>9.49</v>
      </c>
      <c r="G332" s="1">
        <f>VLOOKUP(Table7[[#This Row],[Student_ID]],student_data[#All],6,0)</f>
        <v>4</v>
      </c>
      <c r="H332" s="1">
        <f>VLOOKUP(Table7[[#This Row],[Student_ID]],student_internships[],2,0)</f>
        <v>1</v>
      </c>
      <c r="I332" s="1">
        <f>VLOOKUP(Table7[[#This Row],[Student_ID]],Placements!A332:E1331,5,0)</f>
        <v>6.72</v>
      </c>
      <c r="J332" s="1" t="str">
        <f>IF(VLOOKUP(Table7[[#This Row],[Student_ID]],student_data[#All],5,0)&gt;8,"HIGH",IF(VLOOKUP(Table7[[#This Row],[Student_ID]],student_data[#All],5,0)&lt;6.5,"LOW","MEDIUM"))</f>
        <v>HIGH</v>
      </c>
    </row>
    <row r="333" spans="1:10" x14ac:dyDescent="0.2">
      <c r="A333" s="1" t="s">
        <v>342</v>
      </c>
      <c r="B333" s="1" t="str">
        <f>VLOOKUP(Table7[[#This Row],[Student_ID]],student_data[#All],2,0)</f>
        <v>Electronics</v>
      </c>
      <c r="C333" s="1">
        <f>(VLOOKUP(Table7[[#This Row],[Student_ID]],student_data[],5,0)*5)+(VLOOKUP(Table7[[#This Row],[Student_ID]],student_data[],6,0)*3)+(VLOOKUP(Table7[[#This Row],[Student_ID]],student_skills[],6,0)*2)+(VLOOKUP(Table7[[#This Row],[Student_ID]],student_internships[],2,0)*5)</f>
        <v>57.849999999999994</v>
      </c>
      <c r="D333" s="1">
        <f>AVERAGE(VLOOKUP(Table7[[#This Row],[Student_ID]],student_skills[],3,0),VLOOKUP(Table7[[#This Row],[Student_ID]],student_skills[],4,0),VLOOKUP(Table7[[#This Row],[Student_ID]],student_skills[],5,0),VLOOKUP(Table7[[#This Row],[Student_ID]],student_skills[],6,0))</f>
        <v>7.25</v>
      </c>
      <c r="E333" s="1" t="str">
        <f>IF(VLOOKUP(Table7[[#This Row],[Student_ID]],student_internships[#All],2,0)&gt;1,"EXPERIENCED",IF(VLOOKUP(Table7[[#This Row],[Student_ID]],student_internships[#All],2,0)=1,"BEGINNER","NOT EXPERIENCED"))</f>
        <v>NOT EXPERIENCED</v>
      </c>
      <c r="F333" s="1">
        <f>VLOOKUP(Table7[[#This Row],[Student_ID]],student_data[],5,0)</f>
        <v>8.3699999999999992</v>
      </c>
      <c r="G333" s="1">
        <f>VLOOKUP(Table7[[#This Row],[Student_ID]],student_data[#All],6,0)</f>
        <v>2</v>
      </c>
      <c r="H333" s="1">
        <f>VLOOKUP(Table7[[#This Row],[Student_ID]],student_internships[],2,0)</f>
        <v>0</v>
      </c>
      <c r="I333" s="1">
        <f>VLOOKUP(Table7[[#This Row],[Student_ID]],Placements!A333:E1332,5,0)</f>
        <v>0</v>
      </c>
      <c r="J333" s="1" t="str">
        <f>IF(VLOOKUP(Table7[[#This Row],[Student_ID]],student_data[#All],5,0)&gt;8,"HIGH",IF(VLOOKUP(Table7[[#This Row],[Student_ID]],student_data[#All],5,0)&lt;6.5,"LOW","MEDIUM"))</f>
        <v>HIGH</v>
      </c>
    </row>
    <row r="334" spans="1:10" x14ac:dyDescent="0.2">
      <c r="A334" s="1" t="s">
        <v>343</v>
      </c>
      <c r="B334" s="1" t="str">
        <f>VLOOKUP(Table7[[#This Row],[Student_ID]],student_data[#All],2,0)</f>
        <v>Mechanical</v>
      </c>
      <c r="C334" s="1">
        <f>(VLOOKUP(Table7[[#This Row],[Student_ID]],student_data[],5,0)*5)+(VLOOKUP(Table7[[#This Row],[Student_ID]],student_data[],6,0)*3)+(VLOOKUP(Table7[[#This Row],[Student_ID]],student_skills[],6,0)*2)+(VLOOKUP(Table7[[#This Row],[Student_ID]],student_internships[],2,0)*5)</f>
        <v>58.4</v>
      </c>
      <c r="D334" s="1">
        <f>AVERAGE(VLOOKUP(Table7[[#This Row],[Student_ID]],student_skills[],3,0),VLOOKUP(Table7[[#This Row],[Student_ID]],student_skills[],4,0),VLOOKUP(Table7[[#This Row],[Student_ID]],student_skills[],5,0),VLOOKUP(Table7[[#This Row],[Student_ID]],student_skills[],6,0))</f>
        <v>7</v>
      </c>
      <c r="E334" s="1" t="str">
        <f>IF(VLOOKUP(Table7[[#This Row],[Student_ID]],student_internships[#All],2,0)&gt;1,"EXPERIENCED",IF(VLOOKUP(Table7[[#This Row],[Student_ID]],student_internships[#All],2,0)=1,"BEGINNER","NOT EXPERIENCED"))</f>
        <v>BEGINNER</v>
      </c>
      <c r="F334" s="1">
        <f>VLOOKUP(Table7[[#This Row],[Student_ID]],student_data[],5,0)</f>
        <v>5.68</v>
      </c>
      <c r="G334" s="1">
        <f>VLOOKUP(Table7[[#This Row],[Student_ID]],student_data[#All],6,0)</f>
        <v>5</v>
      </c>
      <c r="H334" s="1">
        <f>VLOOKUP(Table7[[#This Row],[Student_ID]],student_internships[],2,0)</f>
        <v>1</v>
      </c>
      <c r="I334" s="1">
        <f>VLOOKUP(Table7[[#This Row],[Student_ID]],Placements!A334:E1333,5,0)</f>
        <v>0</v>
      </c>
      <c r="J334" s="1" t="str">
        <f>IF(VLOOKUP(Table7[[#This Row],[Student_ID]],student_data[#All],5,0)&gt;8,"HIGH",IF(VLOOKUP(Table7[[#This Row],[Student_ID]],student_data[#All],5,0)&lt;6.5,"LOW","MEDIUM"))</f>
        <v>LOW</v>
      </c>
    </row>
    <row r="335" spans="1:10" x14ac:dyDescent="0.2">
      <c r="A335" s="1" t="s">
        <v>344</v>
      </c>
      <c r="B335" s="1" t="str">
        <f>VLOOKUP(Table7[[#This Row],[Student_ID]],student_data[#All],2,0)</f>
        <v>Electronics</v>
      </c>
      <c r="C335" s="1">
        <f>(VLOOKUP(Table7[[#This Row],[Student_ID]],student_data[],5,0)*5)+(VLOOKUP(Table7[[#This Row],[Student_ID]],student_data[],6,0)*3)+(VLOOKUP(Table7[[#This Row],[Student_ID]],student_skills[],6,0)*2)+(VLOOKUP(Table7[[#This Row],[Student_ID]],student_internships[],2,0)*5)</f>
        <v>69.849999999999994</v>
      </c>
      <c r="D335" s="1">
        <f>AVERAGE(VLOOKUP(Table7[[#This Row],[Student_ID]],student_skills[],3,0),VLOOKUP(Table7[[#This Row],[Student_ID]],student_skills[],4,0),VLOOKUP(Table7[[#This Row],[Student_ID]],student_skills[],5,0),VLOOKUP(Table7[[#This Row],[Student_ID]],student_skills[],6,0))</f>
        <v>7.25</v>
      </c>
      <c r="E335" s="1" t="str">
        <f>IF(VLOOKUP(Table7[[#This Row],[Student_ID]],student_internships[#All],2,0)&gt;1,"EXPERIENCED",IF(VLOOKUP(Table7[[#This Row],[Student_ID]],student_internships[#All],2,0)=1,"BEGINNER","NOT EXPERIENCED"))</f>
        <v>EXPERIENCED</v>
      </c>
      <c r="F335" s="1">
        <f>VLOOKUP(Table7[[#This Row],[Student_ID]],student_data[],5,0)</f>
        <v>9.9700000000000006</v>
      </c>
      <c r="G335" s="1">
        <f>VLOOKUP(Table7[[#This Row],[Student_ID]],student_data[#All],6,0)</f>
        <v>0</v>
      </c>
      <c r="H335" s="1">
        <f>VLOOKUP(Table7[[#This Row],[Student_ID]],student_internships[],2,0)</f>
        <v>2</v>
      </c>
      <c r="I335" s="1">
        <f>VLOOKUP(Table7[[#This Row],[Student_ID]],Placements!A335:E1334,5,0)</f>
        <v>5.43</v>
      </c>
      <c r="J335" s="1" t="str">
        <f>IF(VLOOKUP(Table7[[#This Row],[Student_ID]],student_data[#All],5,0)&gt;8,"HIGH",IF(VLOOKUP(Table7[[#This Row],[Student_ID]],student_data[#All],5,0)&lt;6.5,"LOW","MEDIUM"))</f>
        <v>HIGH</v>
      </c>
    </row>
    <row r="336" spans="1:10" x14ac:dyDescent="0.2">
      <c r="A336" s="1" t="s">
        <v>345</v>
      </c>
      <c r="B336" s="1" t="str">
        <f>VLOOKUP(Table7[[#This Row],[Student_ID]],student_data[#All],2,0)</f>
        <v>Computer Science</v>
      </c>
      <c r="C336" s="1">
        <f>(VLOOKUP(Table7[[#This Row],[Student_ID]],student_data[],5,0)*5)+(VLOOKUP(Table7[[#This Row],[Student_ID]],student_data[],6,0)*3)+(VLOOKUP(Table7[[#This Row],[Student_ID]],student_skills[],6,0)*2)+(VLOOKUP(Table7[[#This Row],[Student_ID]],student_internships[],2,0)*5)</f>
        <v>40.199999999999996</v>
      </c>
      <c r="D336" s="1">
        <f>AVERAGE(VLOOKUP(Table7[[#This Row],[Student_ID]],student_skills[],3,0),VLOOKUP(Table7[[#This Row],[Student_ID]],student_skills[],4,0),VLOOKUP(Table7[[#This Row],[Student_ID]],student_skills[],5,0),VLOOKUP(Table7[[#This Row],[Student_ID]],student_skills[],6,0))</f>
        <v>3.5</v>
      </c>
      <c r="E336" s="1" t="str">
        <f>IF(VLOOKUP(Table7[[#This Row],[Student_ID]],student_internships[#All],2,0)&gt;1,"EXPERIENCED",IF(VLOOKUP(Table7[[#This Row],[Student_ID]],student_internships[#All],2,0)=1,"BEGINNER","NOT EXPERIENCED"))</f>
        <v>NOT EXPERIENCED</v>
      </c>
      <c r="F336" s="1">
        <f>VLOOKUP(Table7[[#This Row],[Student_ID]],student_data[],5,0)</f>
        <v>7.64</v>
      </c>
      <c r="G336" s="1">
        <f>VLOOKUP(Table7[[#This Row],[Student_ID]],student_data[#All],6,0)</f>
        <v>0</v>
      </c>
      <c r="H336" s="1">
        <f>VLOOKUP(Table7[[#This Row],[Student_ID]],student_internships[],2,0)</f>
        <v>0</v>
      </c>
      <c r="I336" s="1">
        <f>VLOOKUP(Table7[[#This Row],[Student_ID]],Placements!A336:E1335,5,0)</f>
        <v>4.03</v>
      </c>
      <c r="J336" s="1" t="str">
        <f>IF(VLOOKUP(Table7[[#This Row],[Student_ID]],student_data[#All],5,0)&gt;8,"HIGH",IF(VLOOKUP(Table7[[#This Row],[Student_ID]],student_data[#All],5,0)&lt;6.5,"LOW","MEDIUM"))</f>
        <v>MEDIUM</v>
      </c>
    </row>
    <row r="337" spans="1:10" x14ac:dyDescent="0.2">
      <c r="A337" s="1" t="s">
        <v>346</v>
      </c>
      <c r="B337" s="1" t="str">
        <f>VLOOKUP(Table7[[#This Row],[Student_ID]],student_data[#All],2,0)</f>
        <v>Information Technology</v>
      </c>
      <c r="C337" s="1">
        <f>(VLOOKUP(Table7[[#This Row],[Student_ID]],student_data[],5,0)*5)+(VLOOKUP(Table7[[#This Row],[Student_ID]],student_data[],6,0)*3)+(VLOOKUP(Table7[[#This Row],[Student_ID]],student_skills[],6,0)*2)+(VLOOKUP(Table7[[#This Row],[Student_ID]],student_internships[],2,0)*5)</f>
        <v>56.8</v>
      </c>
      <c r="D337" s="1">
        <f>AVERAGE(VLOOKUP(Table7[[#This Row],[Student_ID]],student_skills[],3,0),VLOOKUP(Table7[[#This Row],[Student_ID]],student_skills[],4,0),VLOOKUP(Table7[[#This Row],[Student_ID]],student_skills[],5,0),VLOOKUP(Table7[[#This Row],[Student_ID]],student_skills[],6,0))</f>
        <v>6.25</v>
      </c>
      <c r="E337" s="1" t="str">
        <f>IF(VLOOKUP(Table7[[#This Row],[Student_ID]],student_internships[#All],2,0)&gt;1,"EXPERIENCED",IF(VLOOKUP(Table7[[#This Row],[Student_ID]],student_internships[#All],2,0)=1,"BEGINNER","NOT EXPERIENCED"))</f>
        <v>NOT EXPERIENCED</v>
      </c>
      <c r="F337" s="1">
        <f>VLOOKUP(Table7[[#This Row],[Student_ID]],student_data[],5,0)</f>
        <v>6.96</v>
      </c>
      <c r="G337" s="1">
        <f>VLOOKUP(Table7[[#This Row],[Student_ID]],student_data[#All],6,0)</f>
        <v>2</v>
      </c>
      <c r="H337" s="1">
        <f>VLOOKUP(Table7[[#This Row],[Student_ID]],student_internships[],2,0)</f>
        <v>0</v>
      </c>
      <c r="I337" s="1">
        <f>VLOOKUP(Table7[[#This Row],[Student_ID]],Placements!A337:E1336,5,0)</f>
        <v>6.24</v>
      </c>
      <c r="J337" s="1" t="str">
        <f>IF(VLOOKUP(Table7[[#This Row],[Student_ID]],student_data[#All],5,0)&gt;8,"HIGH",IF(VLOOKUP(Table7[[#This Row],[Student_ID]],student_data[#All],5,0)&lt;6.5,"LOW","MEDIUM"))</f>
        <v>MEDIUM</v>
      </c>
    </row>
    <row r="338" spans="1:10" x14ac:dyDescent="0.2">
      <c r="A338" s="1" t="s">
        <v>347</v>
      </c>
      <c r="B338" s="1" t="str">
        <f>VLOOKUP(Table7[[#This Row],[Student_ID]],student_data[#All],2,0)</f>
        <v>Civil</v>
      </c>
      <c r="C338" s="1">
        <f>(VLOOKUP(Table7[[#This Row],[Student_ID]],student_data[],5,0)*5)+(VLOOKUP(Table7[[#This Row],[Student_ID]],student_data[],6,0)*3)+(VLOOKUP(Table7[[#This Row],[Student_ID]],student_skills[],6,0)*2)+(VLOOKUP(Table7[[#This Row],[Student_ID]],student_internships[],2,0)*5)</f>
        <v>49.5</v>
      </c>
      <c r="D338" s="1">
        <f>AVERAGE(VLOOKUP(Table7[[#This Row],[Student_ID]],student_skills[],3,0),VLOOKUP(Table7[[#This Row],[Student_ID]],student_skills[],4,0),VLOOKUP(Table7[[#This Row],[Student_ID]],student_skills[],5,0),VLOOKUP(Table7[[#This Row],[Student_ID]],student_skills[],6,0))</f>
        <v>5.25</v>
      </c>
      <c r="E338" s="1" t="str">
        <f>IF(VLOOKUP(Table7[[#This Row],[Student_ID]],student_internships[#All],2,0)&gt;1,"EXPERIENCED",IF(VLOOKUP(Table7[[#This Row],[Student_ID]],student_internships[#All],2,0)=1,"BEGINNER","NOT EXPERIENCED"))</f>
        <v>NOT EXPERIENCED</v>
      </c>
      <c r="F338" s="1">
        <f>VLOOKUP(Table7[[#This Row],[Student_ID]],student_data[],5,0)</f>
        <v>8.3000000000000007</v>
      </c>
      <c r="G338" s="1">
        <f>VLOOKUP(Table7[[#This Row],[Student_ID]],student_data[#All],6,0)</f>
        <v>2</v>
      </c>
      <c r="H338" s="1">
        <f>VLOOKUP(Table7[[#This Row],[Student_ID]],student_internships[],2,0)</f>
        <v>0</v>
      </c>
      <c r="I338" s="1">
        <f>VLOOKUP(Table7[[#This Row],[Student_ID]],Placements!A338:E1337,5,0)</f>
        <v>4.1900000000000004</v>
      </c>
      <c r="J338" s="1" t="str">
        <f>IF(VLOOKUP(Table7[[#This Row],[Student_ID]],student_data[#All],5,0)&gt;8,"HIGH",IF(VLOOKUP(Table7[[#This Row],[Student_ID]],student_data[#All],5,0)&lt;6.5,"LOW","MEDIUM"))</f>
        <v>HIGH</v>
      </c>
    </row>
    <row r="339" spans="1:10" x14ac:dyDescent="0.2">
      <c r="A339" s="1" t="s">
        <v>348</v>
      </c>
      <c r="B339" s="1" t="str">
        <f>VLOOKUP(Table7[[#This Row],[Student_ID]],student_data[#All],2,0)</f>
        <v>Electronics</v>
      </c>
      <c r="C339" s="1">
        <f>(VLOOKUP(Table7[[#This Row],[Student_ID]],student_data[],5,0)*5)+(VLOOKUP(Table7[[#This Row],[Student_ID]],student_data[],6,0)*3)+(VLOOKUP(Table7[[#This Row],[Student_ID]],student_skills[],6,0)*2)+(VLOOKUP(Table7[[#This Row],[Student_ID]],student_internships[],2,0)*5)</f>
        <v>41.7</v>
      </c>
      <c r="D339" s="1">
        <f>AVERAGE(VLOOKUP(Table7[[#This Row],[Student_ID]],student_skills[],3,0),VLOOKUP(Table7[[#This Row],[Student_ID]],student_skills[],4,0),VLOOKUP(Table7[[#This Row],[Student_ID]],student_skills[],5,0),VLOOKUP(Table7[[#This Row],[Student_ID]],student_skills[],6,0))</f>
        <v>5</v>
      </c>
      <c r="E339" s="1" t="str">
        <f>IF(VLOOKUP(Table7[[#This Row],[Student_ID]],student_internships[#All],2,0)&gt;1,"EXPERIENCED",IF(VLOOKUP(Table7[[#This Row],[Student_ID]],student_internships[#All],2,0)=1,"BEGINNER","NOT EXPERIENCED"))</f>
        <v>NOT EXPERIENCED</v>
      </c>
      <c r="F339" s="1">
        <f>VLOOKUP(Table7[[#This Row],[Student_ID]],student_data[],5,0)</f>
        <v>5.54</v>
      </c>
      <c r="G339" s="1">
        <f>VLOOKUP(Table7[[#This Row],[Student_ID]],student_data[#All],6,0)</f>
        <v>2</v>
      </c>
      <c r="H339" s="1">
        <f>VLOOKUP(Table7[[#This Row],[Student_ID]],student_internships[],2,0)</f>
        <v>0</v>
      </c>
      <c r="I339" s="1">
        <f>VLOOKUP(Table7[[#This Row],[Student_ID]],Placements!A339:E1338,5,0)</f>
        <v>4.1900000000000004</v>
      </c>
      <c r="J339" s="1" t="str">
        <f>IF(VLOOKUP(Table7[[#This Row],[Student_ID]],student_data[#All],5,0)&gt;8,"HIGH",IF(VLOOKUP(Table7[[#This Row],[Student_ID]],student_data[#All],5,0)&lt;6.5,"LOW","MEDIUM"))</f>
        <v>LOW</v>
      </c>
    </row>
    <row r="340" spans="1:10" x14ac:dyDescent="0.2">
      <c r="A340" s="1" t="s">
        <v>349</v>
      </c>
      <c r="B340" s="1" t="str">
        <f>VLOOKUP(Table7[[#This Row],[Student_ID]],student_data[#All],2,0)</f>
        <v>Computer Science</v>
      </c>
      <c r="C340" s="1">
        <f>(VLOOKUP(Table7[[#This Row],[Student_ID]],student_data[],5,0)*5)+(VLOOKUP(Table7[[#This Row],[Student_ID]],student_data[],6,0)*3)+(VLOOKUP(Table7[[#This Row],[Student_ID]],student_skills[],6,0)*2)+(VLOOKUP(Table7[[#This Row],[Student_ID]],student_internships[],2,0)*5)</f>
        <v>68.900000000000006</v>
      </c>
      <c r="D340" s="1">
        <f>AVERAGE(VLOOKUP(Table7[[#This Row],[Student_ID]],student_skills[],3,0),VLOOKUP(Table7[[#This Row],[Student_ID]],student_skills[],4,0),VLOOKUP(Table7[[#This Row],[Student_ID]],student_skills[],5,0),VLOOKUP(Table7[[#This Row],[Student_ID]],student_skills[],6,0))</f>
        <v>4.5</v>
      </c>
      <c r="E340" s="1" t="str">
        <f>IF(VLOOKUP(Table7[[#This Row],[Student_ID]],student_internships[#All],2,0)&gt;1,"EXPERIENCED",IF(VLOOKUP(Table7[[#This Row],[Student_ID]],student_internships[#All],2,0)=1,"BEGINNER","NOT EXPERIENCED"))</f>
        <v>EXPERIENCED</v>
      </c>
      <c r="F340" s="1">
        <f>VLOOKUP(Table7[[#This Row],[Student_ID]],student_data[],5,0)</f>
        <v>8.18</v>
      </c>
      <c r="G340" s="1">
        <f>VLOOKUP(Table7[[#This Row],[Student_ID]],student_data[#All],6,0)</f>
        <v>0</v>
      </c>
      <c r="H340" s="1">
        <f>VLOOKUP(Table7[[#This Row],[Student_ID]],student_internships[],2,0)</f>
        <v>2</v>
      </c>
      <c r="I340" s="1">
        <f>VLOOKUP(Table7[[#This Row],[Student_ID]],Placements!A340:E1339,5,0)</f>
        <v>0</v>
      </c>
      <c r="J340" s="1" t="str">
        <f>IF(VLOOKUP(Table7[[#This Row],[Student_ID]],student_data[#All],5,0)&gt;8,"HIGH",IF(VLOOKUP(Table7[[#This Row],[Student_ID]],student_data[#All],5,0)&lt;6.5,"LOW","MEDIUM"))</f>
        <v>HIGH</v>
      </c>
    </row>
    <row r="341" spans="1:10" x14ac:dyDescent="0.2">
      <c r="A341" s="1" t="s">
        <v>350</v>
      </c>
      <c r="B341" s="1" t="str">
        <f>VLOOKUP(Table7[[#This Row],[Student_ID]],student_data[#All],2,0)</f>
        <v>Civil</v>
      </c>
      <c r="C341" s="1">
        <f>(VLOOKUP(Table7[[#This Row],[Student_ID]],student_data[],5,0)*5)+(VLOOKUP(Table7[[#This Row],[Student_ID]],student_data[],6,0)*3)+(VLOOKUP(Table7[[#This Row],[Student_ID]],student_skills[],6,0)*2)+(VLOOKUP(Table7[[#This Row],[Student_ID]],student_internships[],2,0)*5)</f>
        <v>77.45</v>
      </c>
      <c r="D341" s="1">
        <f>AVERAGE(VLOOKUP(Table7[[#This Row],[Student_ID]],student_skills[],3,0),VLOOKUP(Table7[[#This Row],[Student_ID]],student_skills[],4,0),VLOOKUP(Table7[[#This Row],[Student_ID]],student_skills[],5,0),VLOOKUP(Table7[[#This Row],[Student_ID]],student_skills[],6,0))</f>
        <v>5.5</v>
      </c>
      <c r="E341" s="1" t="str">
        <f>IF(VLOOKUP(Table7[[#This Row],[Student_ID]],student_internships[#All],2,0)&gt;1,"EXPERIENCED",IF(VLOOKUP(Table7[[#This Row],[Student_ID]],student_internships[#All],2,0)=1,"BEGINNER","NOT EXPERIENCED"))</f>
        <v>EXPERIENCED</v>
      </c>
      <c r="F341" s="1">
        <f>VLOOKUP(Table7[[#This Row],[Student_ID]],student_data[],5,0)</f>
        <v>7.49</v>
      </c>
      <c r="G341" s="1">
        <f>VLOOKUP(Table7[[#This Row],[Student_ID]],student_data[#All],6,0)</f>
        <v>4</v>
      </c>
      <c r="H341" s="1">
        <f>VLOOKUP(Table7[[#This Row],[Student_ID]],student_internships[],2,0)</f>
        <v>2</v>
      </c>
      <c r="I341" s="1">
        <f>VLOOKUP(Table7[[#This Row],[Student_ID]],Placements!A341:E1340,5,0)</f>
        <v>4.24</v>
      </c>
      <c r="J341" s="1" t="str">
        <f>IF(VLOOKUP(Table7[[#This Row],[Student_ID]],student_data[#All],5,0)&gt;8,"HIGH",IF(VLOOKUP(Table7[[#This Row],[Student_ID]],student_data[#All],5,0)&lt;6.5,"LOW","MEDIUM"))</f>
        <v>MEDIUM</v>
      </c>
    </row>
    <row r="342" spans="1:10" x14ac:dyDescent="0.2">
      <c r="A342" s="1" t="s">
        <v>351</v>
      </c>
      <c r="B342" s="1" t="str">
        <f>VLOOKUP(Table7[[#This Row],[Student_ID]],student_data[#All],2,0)</f>
        <v>Information Technology</v>
      </c>
      <c r="C342" s="1">
        <f>(VLOOKUP(Table7[[#This Row],[Student_ID]],student_data[],5,0)*5)+(VLOOKUP(Table7[[#This Row],[Student_ID]],student_data[],6,0)*3)+(VLOOKUP(Table7[[#This Row],[Student_ID]],student_skills[],6,0)*2)+(VLOOKUP(Table7[[#This Row],[Student_ID]],student_internships[],2,0)*5)</f>
        <v>56.15</v>
      </c>
      <c r="D342" s="1">
        <f>AVERAGE(VLOOKUP(Table7[[#This Row],[Student_ID]],student_skills[],3,0),VLOOKUP(Table7[[#This Row],[Student_ID]],student_skills[],4,0),VLOOKUP(Table7[[#This Row],[Student_ID]],student_skills[],5,0),VLOOKUP(Table7[[#This Row],[Student_ID]],student_skills[],6,0))</f>
        <v>6</v>
      </c>
      <c r="E342" s="1" t="str">
        <f>IF(VLOOKUP(Table7[[#This Row],[Student_ID]],student_internships[#All],2,0)&gt;1,"EXPERIENCED",IF(VLOOKUP(Table7[[#This Row],[Student_ID]],student_internships[#All],2,0)=1,"BEGINNER","NOT EXPERIENCED"))</f>
        <v>BEGINNER</v>
      </c>
      <c r="F342" s="1">
        <f>VLOOKUP(Table7[[#This Row],[Student_ID]],student_data[],5,0)</f>
        <v>7.03</v>
      </c>
      <c r="G342" s="1">
        <f>VLOOKUP(Table7[[#This Row],[Student_ID]],student_data[#All],6,0)</f>
        <v>2</v>
      </c>
      <c r="H342" s="1">
        <f>VLOOKUP(Table7[[#This Row],[Student_ID]],student_internships[],2,0)</f>
        <v>1</v>
      </c>
      <c r="I342" s="1">
        <f>VLOOKUP(Table7[[#This Row],[Student_ID]],Placements!A342:E1341,5,0)</f>
        <v>5.77</v>
      </c>
      <c r="J342" s="1" t="str">
        <f>IF(VLOOKUP(Table7[[#This Row],[Student_ID]],student_data[#All],5,0)&gt;8,"HIGH",IF(VLOOKUP(Table7[[#This Row],[Student_ID]],student_data[#All],5,0)&lt;6.5,"LOW","MEDIUM"))</f>
        <v>MEDIUM</v>
      </c>
    </row>
    <row r="343" spans="1:10" x14ac:dyDescent="0.2">
      <c r="A343" s="1" t="s">
        <v>352</v>
      </c>
      <c r="B343" s="1" t="str">
        <f>VLOOKUP(Table7[[#This Row],[Student_ID]],student_data[#All],2,0)</f>
        <v>Civil</v>
      </c>
      <c r="C343" s="1">
        <f>(VLOOKUP(Table7[[#This Row],[Student_ID]],student_data[],5,0)*5)+(VLOOKUP(Table7[[#This Row],[Student_ID]],student_data[],6,0)*3)+(VLOOKUP(Table7[[#This Row],[Student_ID]],student_skills[],6,0)*2)+(VLOOKUP(Table7[[#This Row],[Student_ID]],student_internships[],2,0)*5)</f>
        <v>59.849999999999994</v>
      </c>
      <c r="D343" s="1">
        <f>AVERAGE(VLOOKUP(Table7[[#This Row],[Student_ID]],student_skills[],3,0),VLOOKUP(Table7[[#This Row],[Student_ID]],student_skills[],4,0),VLOOKUP(Table7[[#This Row],[Student_ID]],student_skills[],5,0),VLOOKUP(Table7[[#This Row],[Student_ID]],student_skills[],6,0))</f>
        <v>6</v>
      </c>
      <c r="E343" s="1" t="str">
        <f>IF(VLOOKUP(Table7[[#This Row],[Student_ID]],student_internships[#All],2,0)&gt;1,"EXPERIENCED",IF(VLOOKUP(Table7[[#This Row],[Student_ID]],student_internships[#All],2,0)=1,"BEGINNER","NOT EXPERIENCED"))</f>
        <v>NOT EXPERIENCED</v>
      </c>
      <c r="F343" s="1">
        <f>VLOOKUP(Table7[[#This Row],[Student_ID]],student_data[],5,0)</f>
        <v>9.77</v>
      </c>
      <c r="G343" s="1">
        <f>VLOOKUP(Table7[[#This Row],[Student_ID]],student_data[#All],6,0)</f>
        <v>1</v>
      </c>
      <c r="H343" s="1">
        <f>VLOOKUP(Table7[[#This Row],[Student_ID]],student_internships[],2,0)</f>
        <v>0</v>
      </c>
      <c r="I343" s="1">
        <f>VLOOKUP(Table7[[#This Row],[Student_ID]],Placements!A343:E1342,5,0)</f>
        <v>6.91</v>
      </c>
      <c r="J343" s="1" t="str">
        <f>IF(VLOOKUP(Table7[[#This Row],[Student_ID]],student_data[#All],5,0)&gt;8,"HIGH",IF(VLOOKUP(Table7[[#This Row],[Student_ID]],student_data[#All],5,0)&lt;6.5,"LOW","MEDIUM"))</f>
        <v>HIGH</v>
      </c>
    </row>
    <row r="344" spans="1:10" x14ac:dyDescent="0.2">
      <c r="A344" s="1" t="s">
        <v>353</v>
      </c>
      <c r="B344" s="1" t="str">
        <f>VLOOKUP(Table7[[#This Row],[Student_ID]],student_data[#All],2,0)</f>
        <v>Computer Science</v>
      </c>
      <c r="C344" s="1">
        <f>(VLOOKUP(Table7[[#This Row],[Student_ID]],student_data[],5,0)*5)+(VLOOKUP(Table7[[#This Row],[Student_ID]],student_data[],6,0)*3)+(VLOOKUP(Table7[[#This Row],[Student_ID]],student_skills[],6,0)*2)+(VLOOKUP(Table7[[#This Row],[Student_ID]],student_internships[],2,0)*5)</f>
        <v>55.050000000000004</v>
      </c>
      <c r="D344" s="1">
        <f>AVERAGE(VLOOKUP(Table7[[#This Row],[Student_ID]],student_skills[],3,0),VLOOKUP(Table7[[#This Row],[Student_ID]],student_skills[],4,0),VLOOKUP(Table7[[#This Row],[Student_ID]],student_skills[],5,0),VLOOKUP(Table7[[#This Row],[Student_ID]],student_skills[],6,0))</f>
        <v>5.5</v>
      </c>
      <c r="E344" s="1" t="str">
        <f>IF(VLOOKUP(Table7[[#This Row],[Student_ID]],student_internships[#All],2,0)&gt;1,"EXPERIENCED",IF(VLOOKUP(Table7[[#This Row],[Student_ID]],student_internships[#All],2,0)=1,"BEGINNER","NOT EXPERIENCED"))</f>
        <v>BEGINNER</v>
      </c>
      <c r="F344" s="1">
        <f>VLOOKUP(Table7[[#This Row],[Student_ID]],student_data[],5,0)</f>
        <v>7.61</v>
      </c>
      <c r="G344" s="1">
        <f>VLOOKUP(Table7[[#This Row],[Student_ID]],student_data[#All],6,0)</f>
        <v>2</v>
      </c>
      <c r="H344" s="1">
        <f>VLOOKUP(Table7[[#This Row],[Student_ID]],student_internships[],2,0)</f>
        <v>1</v>
      </c>
      <c r="I344" s="1">
        <f>VLOOKUP(Table7[[#This Row],[Student_ID]],Placements!A344:E1343,5,0)</f>
        <v>0</v>
      </c>
      <c r="J344" s="1" t="str">
        <f>IF(VLOOKUP(Table7[[#This Row],[Student_ID]],student_data[#All],5,0)&gt;8,"HIGH",IF(VLOOKUP(Table7[[#This Row],[Student_ID]],student_data[#All],5,0)&lt;6.5,"LOW","MEDIUM"))</f>
        <v>MEDIUM</v>
      </c>
    </row>
    <row r="345" spans="1:10" x14ac:dyDescent="0.2">
      <c r="A345" s="1" t="s">
        <v>354</v>
      </c>
      <c r="B345" s="1" t="str">
        <f>VLOOKUP(Table7[[#This Row],[Student_ID]],student_data[#All],2,0)</f>
        <v>Civil</v>
      </c>
      <c r="C345" s="1">
        <f>(VLOOKUP(Table7[[#This Row],[Student_ID]],student_data[],5,0)*5)+(VLOOKUP(Table7[[#This Row],[Student_ID]],student_data[],6,0)*3)+(VLOOKUP(Table7[[#This Row],[Student_ID]],student_skills[],6,0)*2)+(VLOOKUP(Table7[[#This Row],[Student_ID]],student_internships[],2,0)*5)</f>
        <v>50.5</v>
      </c>
      <c r="D345" s="1">
        <f>AVERAGE(VLOOKUP(Table7[[#This Row],[Student_ID]],student_skills[],3,0),VLOOKUP(Table7[[#This Row],[Student_ID]],student_skills[],4,0),VLOOKUP(Table7[[#This Row],[Student_ID]],student_skills[],5,0),VLOOKUP(Table7[[#This Row],[Student_ID]],student_skills[],6,0))</f>
        <v>4.5</v>
      </c>
      <c r="E345" s="1" t="str">
        <f>IF(VLOOKUP(Table7[[#This Row],[Student_ID]],student_internships[#All],2,0)&gt;1,"EXPERIENCED",IF(VLOOKUP(Table7[[#This Row],[Student_ID]],student_internships[#All],2,0)=1,"BEGINNER","NOT EXPERIENCED"))</f>
        <v>BEGINNER</v>
      </c>
      <c r="F345" s="1">
        <f>VLOOKUP(Table7[[#This Row],[Student_ID]],student_data[],5,0)</f>
        <v>6.1</v>
      </c>
      <c r="G345" s="1">
        <f>VLOOKUP(Table7[[#This Row],[Student_ID]],student_data[#All],6,0)</f>
        <v>3</v>
      </c>
      <c r="H345" s="1">
        <f>VLOOKUP(Table7[[#This Row],[Student_ID]],student_internships[],2,0)</f>
        <v>1</v>
      </c>
      <c r="I345" s="1">
        <f>VLOOKUP(Table7[[#This Row],[Student_ID]],Placements!A345:E1344,5,0)</f>
        <v>4.8600000000000003</v>
      </c>
      <c r="J345" s="1" t="str">
        <f>IF(VLOOKUP(Table7[[#This Row],[Student_ID]],student_data[#All],5,0)&gt;8,"HIGH",IF(VLOOKUP(Table7[[#This Row],[Student_ID]],student_data[#All],5,0)&lt;6.5,"LOW","MEDIUM"))</f>
        <v>LOW</v>
      </c>
    </row>
    <row r="346" spans="1:10" x14ac:dyDescent="0.2">
      <c r="A346" s="1" t="s">
        <v>355</v>
      </c>
      <c r="B346" s="1" t="str">
        <f>VLOOKUP(Table7[[#This Row],[Student_ID]],student_data[#All],2,0)</f>
        <v>Mechanical</v>
      </c>
      <c r="C346" s="1">
        <f>(VLOOKUP(Table7[[#This Row],[Student_ID]],student_data[],5,0)*5)+(VLOOKUP(Table7[[#This Row],[Student_ID]],student_data[],6,0)*3)+(VLOOKUP(Table7[[#This Row],[Student_ID]],student_skills[],6,0)*2)+(VLOOKUP(Table7[[#This Row],[Student_ID]],student_internships[],2,0)*5)</f>
        <v>52.45</v>
      </c>
      <c r="D346" s="1">
        <f>AVERAGE(VLOOKUP(Table7[[#This Row],[Student_ID]],student_skills[],3,0),VLOOKUP(Table7[[#This Row],[Student_ID]],student_skills[],4,0),VLOOKUP(Table7[[#This Row],[Student_ID]],student_skills[],5,0),VLOOKUP(Table7[[#This Row],[Student_ID]],student_skills[],6,0))</f>
        <v>7.25</v>
      </c>
      <c r="E346" s="1" t="str">
        <f>IF(VLOOKUP(Table7[[#This Row],[Student_ID]],student_internships[#All],2,0)&gt;1,"EXPERIENCED",IF(VLOOKUP(Table7[[#This Row],[Student_ID]],student_internships[#All],2,0)=1,"BEGINNER","NOT EXPERIENCED"))</f>
        <v>NOT EXPERIENCED</v>
      </c>
      <c r="F346" s="1">
        <f>VLOOKUP(Table7[[#This Row],[Student_ID]],student_data[],5,0)</f>
        <v>7.29</v>
      </c>
      <c r="G346" s="1">
        <f>VLOOKUP(Table7[[#This Row],[Student_ID]],student_data[#All],6,0)</f>
        <v>2</v>
      </c>
      <c r="H346" s="1">
        <f>VLOOKUP(Table7[[#This Row],[Student_ID]],student_internships[],2,0)</f>
        <v>0</v>
      </c>
      <c r="I346" s="1">
        <f>VLOOKUP(Table7[[#This Row],[Student_ID]],Placements!A346:E1345,5,0)</f>
        <v>5.78</v>
      </c>
      <c r="J346" s="1" t="str">
        <f>IF(VLOOKUP(Table7[[#This Row],[Student_ID]],student_data[#All],5,0)&gt;8,"HIGH",IF(VLOOKUP(Table7[[#This Row],[Student_ID]],student_data[#All],5,0)&lt;6.5,"LOW","MEDIUM"))</f>
        <v>MEDIUM</v>
      </c>
    </row>
    <row r="347" spans="1:10" x14ac:dyDescent="0.2">
      <c r="A347" s="1" t="s">
        <v>356</v>
      </c>
      <c r="B347" s="1" t="str">
        <f>VLOOKUP(Table7[[#This Row],[Student_ID]],student_data[#All],2,0)</f>
        <v>Civil</v>
      </c>
      <c r="C347" s="1">
        <f>(VLOOKUP(Table7[[#This Row],[Student_ID]],student_data[],5,0)*5)+(VLOOKUP(Table7[[#This Row],[Student_ID]],student_data[],6,0)*3)+(VLOOKUP(Table7[[#This Row],[Student_ID]],student_skills[],6,0)*2)+(VLOOKUP(Table7[[#This Row],[Student_ID]],student_internships[],2,0)*5)</f>
        <v>73</v>
      </c>
      <c r="D347" s="1">
        <f>AVERAGE(VLOOKUP(Table7[[#This Row],[Student_ID]],student_skills[],3,0),VLOOKUP(Table7[[#This Row],[Student_ID]],student_skills[],4,0),VLOOKUP(Table7[[#This Row],[Student_ID]],student_skills[],5,0),VLOOKUP(Table7[[#This Row],[Student_ID]],student_skills[],6,0))</f>
        <v>5.75</v>
      </c>
      <c r="E347" s="1" t="str">
        <f>IF(VLOOKUP(Table7[[#This Row],[Student_ID]],student_internships[#All],2,0)&gt;1,"EXPERIENCED",IF(VLOOKUP(Table7[[#This Row],[Student_ID]],student_internships[#All],2,0)=1,"BEGINNER","NOT EXPERIENCED"))</f>
        <v>BEGINNER</v>
      </c>
      <c r="F347" s="1">
        <f>VLOOKUP(Table7[[#This Row],[Student_ID]],student_data[],5,0)</f>
        <v>9.6</v>
      </c>
      <c r="G347" s="1">
        <f>VLOOKUP(Table7[[#This Row],[Student_ID]],student_data[#All],6,0)</f>
        <v>0</v>
      </c>
      <c r="H347" s="1">
        <f>VLOOKUP(Table7[[#This Row],[Student_ID]],student_internships[],2,0)</f>
        <v>1</v>
      </c>
      <c r="I347" s="1">
        <f>VLOOKUP(Table7[[#This Row],[Student_ID]],Placements!A347:E1346,5,0)</f>
        <v>0</v>
      </c>
      <c r="J347" s="1" t="str">
        <f>IF(VLOOKUP(Table7[[#This Row],[Student_ID]],student_data[#All],5,0)&gt;8,"HIGH",IF(VLOOKUP(Table7[[#This Row],[Student_ID]],student_data[#All],5,0)&lt;6.5,"LOW","MEDIUM"))</f>
        <v>HIGH</v>
      </c>
    </row>
    <row r="348" spans="1:10" x14ac:dyDescent="0.2">
      <c r="A348" s="1" t="s">
        <v>357</v>
      </c>
      <c r="B348" s="1" t="str">
        <f>VLOOKUP(Table7[[#This Row],[Student_ID]],student_data[#All],2,0)</f>
        <v>Electronics</v>
      </c>
      <c r="C348" s="1">
        <f>(VLOOKUP(Table7[[#This Row],[Student_ID]],student_data[],5,0)*5)+(VLOOKUP(Table7[[#This Row],[Student_ID]],student_data[],6,0)*3)+(VLOOKUP(Table7[[#This Row],[Student_ID]],student_skills[],6,0)*2)+(VLOOKUP(Table7[[#This Row],[Student_ID]],student_internships[],2,0)*5)</f>
        <v>51.4</v>
      </c>
      <c r="D348" s="1">
        <f>AVERAGE(VLOOKUP(Table7[[#This Row],[Student_ID]],student_skills[],3,0),VLOOKUP(Table7[[#This Row],[Student_ID]],student_skills[],4,0),VLOOKUP(Table7[[#This Row],[Student_ID]],student_skills[],5,0),VLOOKUP(Table7[[#This Row],[Student_ID]],student_skills[],6,0))</f>
        <v>4</v>
      </c>
      <c r="E348" s="1" t="str">
        <f>IF(VLOOKUP(Table7[[#This Row],[Student_ID]],student_internships[#All],2,0)&gt;1,"EXPERIENCED",IF(VLOOKUP(Table7[[#This Row],[Student_ID]],student_internships[#All],2,0)=1,"BEGINNER","NOT EXPERIENCED"))</f>
        <v>BEGINNER</v>
      </c>
      <c r="F348" s="1">
        <f>VLOOKUP(Table7[[#This Row],[Student_ID]],student_data[],5,0)</f>
        <v>5.88</v>
      </c>
      <c r="G348" s="1">
        <f>VLOOKUP(Table7[[#This Row],[Student_ID]],student_data[#All],6,0)</f>
        <v>5</v>
      </c>
      <c r="H348" s="1">
        <f>VLOOKUP(Table7[[#This Row],[Student_ID]],student_internships[],2,0)</f>
        <v>1</v>
      </c>
      <c r="I348" s="1">
        <f>VLOOKUP(Table7[[#This Row],[Student_ID]],Placements!A348:E1347,5,0)</f>
        <v>6.95</v>
      </c>
      <c r="J348" s="1" t="str">
        <f>IF(VLOOKUP(Table7[[#This Row],[Student_ID]],student_data[#All],5,0)&gt;8,"HIGH",IF(VLOOKUP(Table7[[#This Row],[Student_ID]],student_data[#All],5,0)&lt;6.5,"LOW","MEDIUM"))</f>
        <v>LOW</v>
      </c>
    </row>
    <row r="349" spans="1:10" x14ac:dyDescent="0.2">
      <c r="A349" s="1" t="s">
        <v>358</v>
      </c>
      <c r="B349" s="1" t="str">
        <f>VLOOKUP(Table7[[#This Row],[Student_ID]],student_data[#All],2,0)</f>
        <v>Electronics</v>
      </c>
      <c r="C349" s="1">
        <f>(VLOOKUP(Table7[[#This Row],[Student_ID]],student_data[],5,0)*5)+(VLOOKUP(Table7[[#This Row],[Student_ID]],student_data[],6,0)*3)+(VLOOKUP(Table7[[#This Row],[Student_ID]],student_skills[],6,0)*2)+(VLOOKUP(Table7[[#This Row],[Student_ID]],student_internships[],2,0)*5)</f>
        <v>51.35</v>
      </c>
      <c r="D349" s="1">
        <f>AVERAGE(VLOOKUP(Table7[[#This Row],[Student_ID]],student_skills[],3,0),VLOOKUP(Table7[[#This Row],[Student_ID]],student_skills[],4,0),VLOOKUP(Table7[[#This Row],[Student_ID]],student_skills[],5,0),VLOOKUP(Table7[[#This Row],[Student_ID]],student_skills[],6,0))</f>
        <v>4</v>
      </c>
      <c r="E349" s="1" t="str">
        <f>IF(VLOOKUP(Table7[[#This Row],[Student_ID]],student_internships[#All],2,0)&gt;1,"EXPERIENCED",IF(VLOOKUP(Table7[[#This Row],[Student_ID]],student_internships[#All],2,0)=1,"BEGINNER","NOT EXPERIENCED"))</f>
        <v>BEGINNER</v>
      </c>
      <c r="F349" s="1">
        <f>VLOOKUP(Table7[[#This Row],[Student_ID]],student_data[],5,0)</f>
        <v>6.07</v>
      </c>
      <c r="G349" s="1">
        <f>VLOOKUP(Table7[[#This Row],[Student_ID]],student_data[#All],6,0)</f>
        <v>2</v>
      </c>
      <c r="H349" s="1">
        <f>VLOOKUP(Table7[[#This Row],[Student_ID]],student_internships[],2,0)</f>
        <v>1</v>
      </c>
      <c r="I349" s="1">
        <f>VLOOKUP(Table7[[#This Row],[Student_ID]],Placements!A349:E1348,5,0)</f>
        <v>0</v>
      </c>
      <c r="J349" s="1" t="str">
        <f>IF(VLOOKUP(Table7[[#This Row],[Student_ID]],student_data[#All],5,0)&gt;8,"HIGH",IF(VLOOKUP(Table7[[#This Row],[Student_ID]],student_data[#All],5,0)&lt;6.5,"LOW","MEDIUM"))</f>
        <v>LOW</v>
      </c>
    </row>
    <row r="350" spans="1:10" x14ac:dyDescent="0.2">
      <c r="A350" s="1" t="s">
        <v>359</v>
      </c>
      <c r="B350" s="1" t="str">
        <f>VLOOKUP(Table7[[#This Row],[Student_ID]],student_data[#All],2,0)</f>
        <v>Mechanical</v>
      </c>
      <c r="C350" s="1">
        <f>(VLOOKUP(Table7[[#This Row],[Student_ID]],student_data[],5,0)*5)+(VLOOKUP(Table7[[#This Row],[Student_ID]],student_data[],6,0)*3)+(VLOOKUP(Table7[[#This Row],[Student_ID]],student_skills[],6,0)*2)+(VLOOKUP(Table7[[#This Row],[Student_ID]],student_internships[],2,0)*5)</f>
        <v>57.35</v>
      </c>
      <c r="D350" s="1">
        <f>AVERAGE(VLOOKUP(Table7[[#This Row],[Student_ID]],student_skills[],3,0),VLOOKUP(Table7[[#This Row],[Student_ID]],student_skills[],4,0),VLOOKUP(Table7[[#This Row],[Student_ID]],student_skills[],5,0),VLOOKUP(Table7[[#This Row],[Student_ID]],student_skills[],6,0))</f>
        <v>5.25</v>
      </c>
      <c r="E350" s="1" t="str">
        <f>IF(VLOOKUP(Table7[[#This Row],[Student_ID]],student_internships[#All],2,0)&gt;1,"EXPERIENCED",IF(VLOOKUP(Table7[[#This Row],[Student_ID]],student_internships[#All],2,0)=1,"BEGINNER","NOT EXPERIENCED"))</f>
        <v>BEGINNER</v>
      </c>
      <c r="F350" s="1">
        <f>VLOOKUP(Table7[[#This Row],[Student_ID]],student_data[],5,0)</f>
        <v>5.07</v>
      </c>
      <c r="G350" s="1">
        <f>VLOOKUP(Table7[[#This Row],[Student_ID]],student_data[#All],6,0)</f>
        <v>5</v>
      </c>
      <c r="H350" s="1">
        <f>VLOOKUP(Table7[[#This Row],[Student_ID]],student_internships[],2,0)</f>
        <v>1</v>
      </c>
      <c r="I350" s="1">
        <f>VLOOKUP(Table7[[#This Row],[Student_ID]],Placements!A350:E1349,5,0)</f>
        <v>5.25</v>
      </c>
      <c r="J350" s="1" t="str">
        <f>IF(VLOOKUP(Table7[[#This Row],[Student_ID]],student_data[#All],5,0)&gt;8,"HIGH",IF(VLOOKUP(Table7[[#This Row],[Student_ID]],student_data[#All],5,0)&lt;6.5,"LOW","MEDIUM"))</f>
        <v>LOW</v>
      </c>
    </row>
    <row r="351" spans="1:10" x14ac:dyDescent="0.2">
      <c r="A351" s="1" t="s">
        <v>360</v>
      </c>
      <c r="B351" s="1" t="str">
        <f>VLOOKUP(Table7[[#This Row],[Student_ID]],student_data[#All],2,0)</f>
        <v>Computer Science</v>
      </c>
      <c r="C351" s="1">
        <f>(VLOOKUP(Table7[[#This Row],[Student_ID]],student_data[],5,0)*5)+(VLOOKUP(Table7[[#This Row],[Student_ID]],student_data[],6,0)*3)+(VLOOKUP(Table7[[#This Row],[Student_ID]],student_skills[],6,0)*2)+(VLOOKUP(Table7[[#This Row],[Student_ID]],student_internships[],2,0)*5)</f>
        <v>48.35</v>
      </c>
      <c r="D351" s="1">
        <f>AVERAGE(VLOOKUP(Table7[[#This Row],[Student_ID]],student_skills[],3,0),VLOOKUP(Table7[[#This Row],[Student_ID]],student_skills[],4,0),VLOOKUP(Table7[[#This Row],[Student_ID]],student_skills[],5,0),VLOOKUP(Table7[[#This Row],[Student_ID]],student_skills[],6,0))</f>
        <v>5.75</v>
      </c>
      <c r="E351" s="1" t="str">
        <f>IF(VLOOKUP(Table7[[#This Row],[Student_ID]],student_internships[#All],2,0)&gt;1,"EXPERIENCED",IF(VLOOKUP(Table7[[#This Row],[Student_ID]],student_internships[#All],2,0)=1,"BEGINNER","NOT EXPERIENCED"))</f>
        <v>NOT EXPERIENCED</v>
      </c>
      <c r="F351" s="1">
        <f>VLOOKUP(Table7[[#This Row],[Student_ID]],student_data[],5,0)</f>
        <v>5.07</v>
      </c>
      <c r="G351" s="1">
        <f>VLOOKUP(Table7[[#This Row],[Student_ID]],student_data[#All],6,0)</f>
        <v>3</v>
      </c>
      <c r="H351" s="1">
        <f>VLOOKUP(Table7[[#This Row],[Student_ID]],student_internships[],2,0)</f>
        <v>0</v>
      </c>
      <c r="I351" s="1">
        <f>VLOOKUP(Table7[[#This Row],[Student_ID]],Placements!A351:E1350,5,0)</f>
        <v>6.59</v>
      </c>
      <c r="J351" s="1" t="str">
        <f>IF(VLOOKUP(Table7[[#This Row],[Student_ID]],student_data[#All],5,0)&gt;8,"HIGH",IF(VLOOKUP(Table7[[#This Row],[Student_ID]],student_data[#All],5,0)&lt;6.5,"LOW","MEDIUM"))</f>
        <v>LOW</v>
      </c>
    </row>
    <row r="352" spans="1:10" x14ac:dyDescent="0.2">
      <c r="A352" s="1" t="s">
        <v>361</v>
      </c>
      <c r="B352" s="1" t="str">
        <f>VLOOKUP(Table7[[#This Row],[Student_ID]],student_data[#All],2,0)</f>
        <v>Electronics</v>
      </c>
      <c r="C352" s="1">
        <f>(VLOOKUP(Table7[[#This Row],[Student_ID]],student_data[],5,0)*5)+(VLOOKUP(Table7[[#This Row],[Student_ID]],student_data[],6,0)*3)+(VLOOKUP(Table7[[#This Row],[Student_ID]],student_skills[],6,0)*2)+(VLOOKUP(Table7[[#This Row],[Student_ID]],student_internships[],2,0)*5)</f>
        <v>71.75</v>
      </c>
      <c r="D352" s="1">
        <f>AVERAGE(VLOOKUP(Table7[[#This Row],[Student_ID]],student_skills[],3,0),VLOOKUP(Table7[[#This Row],[Student_ID]],student_skills[],4,0),VLOOKUP(Table7[[#This Row],[Student_ID]],student_skills[],5,0),VLOOKUP(Table7[[#This Row],[Student_ID]],student_skills[],6,0))</f>
        <v>5</v>
      </c>
      <c r="E352" s="1" t="str">
        <f>IF(VLOOKUP(Table7[[#This Row],[Student_ID]],student_internships[#All],2,0)&gt;1,"EXPERIENCED",IF(VLOOKUP(Table7[[#This Row],[Student_ID]],student_internships[#All],2,0)=1,"BEGINNER","NOT EXPERIENCED"))</f>
        <v>BEGINNER</v>
      </c>
      <c r="F352" s="1">
        <f>VLOOKUP(Table7[[#This Row],[Student_ID]],student_data[],5,0)</f>
        <v>9.15</v>
      </c>
      <c r="G352" s="1">
        <f>VLOOKUP(Table7[[#This Row],[Student_ID]],student_data[#All],6,0)</f>
        <v>1</v>
      </c>
      <c r="H352" s="1">
        <f>VLOOKUP(Table7[[#This Row],[Student_ID]],student_internships[],2,0)</f>
        <v>1</v>
      </c>
      <c r="I352" s="1">
        <f>VLOOKUP(Table7[[#This Row],[Student_ID]],Placements!A352:E1351,5,0)</f>
        <v>5.03</v>
      </c>
      <c r="J352" s="1" t="str">
        <f>IF(VLOOKUP(Table7[[#This Row],[Student_ID]],student_data[#All],5,0)&gt;8,"HIGH",IF(VLOOKUP(Table7[[#This Row],[Student_ID]],student_data[#All],5,0)&lt;6.5,"LOW","MEDIUM"))</f>
        <v>HIGH</v>
      </c>
    </row>
    <row r="353" spans="1:10" x14ac:dyDescent="0.2">
      <c r="A353" s="1" t="s">
        <v>362</v>
      </c>
      <c r="B353" s="1" t="str">
        <f>VLOOKUP(Table7[[#This Row],[Student_ID]],student_data[#All],2,0)</f>
        <v>Information Technology</v>
      </c>
      <c r="C353" s="1">
        <f>(VLOOKUP(Table7[[#This Row],[Student_ID]],student_data[],5,0)*5)+(VLOOKUP(Table7[[#This Row],[Student_ID]],student_data[],6,0)*3)+(VLOOKUP(Table7[[#This Row],[Student_ID]],student_skills[],6,0)*2)+(VLOOKUP(Table7[[#This Row],[Student_ID]],student_internships[],2,0)*5)</f>
        <v>69.3</v>
      </c>
      <c r="D353" s="1">
        <f>AVERAGE(VLOOKUP(Table7[[#This Row],[Student_ID]],student_skills[],3,0),VLOOKUP(Table7[[#This Row],[Student_ID]],student_skills[],4,0),VLOOKUP(Table7[[#This Row],[Student_ID]],student_skills[],5,0),VLOOKUP(Table7[[#This Row],[Student_ID]],student_skills[],6,0))</f>
        <v>2.75</v>
      </c>
      <c r="E353" s="1" t="str">
        <f>IF(VLOOKUP(Table7[[#This Row],[Student_ID]],student_internships[#All],2,0)&gt;1,"EXPERIENCED",IF(VLOOKUP(Table7[[#This Row],[Student_ID]],student_internships[#All],2,0)=1,"BEGINNER","NOT EXPERIENCED"))</f>
        <v>BEGINNER</v>
      </c>
      <c r="F353" s="1">
        <f>VLOOKUP(Table7[[#This Row],[Student_ID]],student_data[],5,0)</f>
        <v>8.66</v>
      </c>
      <c r="G353" s="1">
        <f>VLOOKUP(Table7[[#This Row],[Student_ID]],student_data[#All],6,0)</f>
        <v>5</v>
      </c>
      <c r="H353" s="1">
        <f>VLOOKUP(Table7[[#This Row],[Student_ID]],student_internships[],2,0)</f>
        <v>1</v>
      </c>
      <c r="I353" s="1">
        <f>VLOOKUP(Table7[[#This Row],[Student_ID]],Placements!A353:E1352,5,0)</f>
        <v>0</v>
      </c>
      <c r="J353" s="1" t="str">
        <f>IF(VLOOKUP(Table7[[#This Row],[Student_ID]],student_data[#All],5,0)&gt;8,"HIGH",IF(VLOOKUP(Table7[[#This Row],[Student_ID]],student_data[#All],5,0)&lt;6.5,"LOW","MEDIUM"))</f>
        <v>HIGH</v>
      </c>
    </row>
    <row r="354" spans="1:10" x14ac:dyDescent="0.2">
      <c r="A354" s="1" t="s">
        <v>363</v>
      </c>
      <c r="B354" s="1" t="str">
        <f>VLOOKUP(Table7[[#This Row],[Student_ID]],student_data[#All],2,0)</f>
        <v>Electronics</v>
      </c>
      <c r="C354" s="1">
        <f>(VLOOKUP(Table7[[#This Row],[Student_ID]],student_data[],5,0)*5)+(VLOOKUP(Table7[[#This Row],[Student_ID]],student_data[],6,0)*3)+(VLOOKUP(Table7[[#This Row],[Student_ID]],student_skills[],6,0)*2)+(VLOOKUP(Table7[[#This Row],[Student_ID]],student_internships[],2,0)*5)</f>
        <v>54.9</v>
      </c>
      <c r="D354" s="1">
        <f>AVERAGE(VLOOKUP(Table7[[#This Row],[Student_ID]],student_skills[],3,0),VLOOKUP(Table7[[#This Row],[Student_ID]],student_skills[],4,0),VLOOKUP(Table7[[#This Row],[Student_ID]],student_skills[],5,0),VLOOKUP(Table7[[#This Row],[Student_ID]],student_skills[],6,0))</f>
        <v>5.5</v>
      </c>
      <c r="E354" s="1" t="str">
        <f>IF(VLOOKUP(Table7[[#This Row],[Student_ID]],student_internships[#All],2,0)&gt;1,"EXPERIENCED",IF(VLOOKUP(Table7[[#This Row],[Student_ID]],student_internships[#All],2,0)=1,"BEGINNER","NOT EXPERIENCED"))</f>
        <v>BEGINNER</v>
      </c>
      <c r="F354" s="1">
        <f>VLOOKUP(Table7[[#This Row],[Student_ID]],student_data[],5,0)</f>
        <v>6.78</v>
      </c>
      <c r="G354" s="1">
        <f>VLOOKUP(Table7[[#This Row],[Student_ID]],student_data[#All],6,0)</f>
        <v>4</v>
      </c>
      <c r="H354" s="1">
        <f>VLOOKUP(Table7[[#This Row],[Student_ID]],student_internships[],2,0)</f>
        <v>1</v>
      </c>
      <c r="I354" s="1">
        <f>VLOOKUP(Table7[[#This Row],[Student_ID]],Placements!A354:E1353,5,0)</f>
        <v>8.4</v>
      </c>
      <c r="J354" s="1" t="str">
        <f>IF(VLOOKUP(Table7[[#This Row],[Student_ID]],student_data[#All],5,0)&gt;8,"HIGH",IF(VLOOKUP(Table7[[#This Row],[Student_ID]],student_data[#All],5,0)&lt;6.5,"LOW","MEDIUM"))</f>
        <v>MEDIUM</v>
      </c>
    </row>
    <row r="355" spans="1:10" x14ac:dyDescent="0.2">
      <c r="A355" s="1" t="s">
        <v>364</v>
      </c>
      <c r="B355" s="1" t="str">
        <f>VLOOKUP(Table7[[#This Row],[Student_ID]],student_data[#All],2,0)</f>
        <v>Electronics</v>
      </c>
      <c r="C355" s="1">
        <f>(VLOOKUP(Table7[[#This Row],[Student_ID]],student_data[],5,0)*5)+(VLOOKUP(Table7[[#This Row],[Student_ID]],student_data[],6,0)*3)+(VLOOKUP(Table7[[#This Row],[Student_ID]],student_skills[],6,0)*2)+(VLOOKUP(Table7[[#This Row],[Student_ID]],student_internships[],2,0)*5)</f>
        <v>64.45</v>
      </c>
      <c r="D355" s="1">
        <f>AVERAGE(VLOOKUP(Table7[[#This Row],[Student_ID]],student_skills[],3,0),VLOOKUP(Table7[[#This Row],[Student_ID]],student_skills[],4,0),VLOOKUP(Table7[[#This Row],[Student_ID]],student_skills[],5,0),VLOOKUP(Table7[[#This Row],[Student_ID]],student_skills[],6,0))</f>
        <v>6.5</v>
      </c>
      <c r="E355" s="1" t="str">
        <f>IF(VLOOKUP(Table7[[#This Row],[Student_ID]],student_internships[#All],2,0)&gt;1,"EXPERIENCED",IF(VLOOKUP(Table7[[#This Row],[Student_ID]],student_internships[#All],2,0)=1,"BEGINNER","NOT EXPERIENCED"))</f>
        <v>EXPERIENCED</v>
      </c>
      <c r="F355" s="1">
        <f>VLOOKUP(Table7[[#This Row],[Student_ID]],student_data[],5,0)</f>
        <v>8.49</v>
      </c>
      <c r="G355" s="1">
        <f>VLOOKUP(Table7[[#This Row],[Student_ID]],student_data[#All],6,0)</f>
        <v>2</v>
      </c>
      <c r="H355" s="1">
        <f>VLOOKUP(Table7[[#This Row],[Student_ID]],student_internships[],2,0)</f>
        <v>2</v>
      </c>
      <c r="I355" s="1">
        <f>VLOOKUP(Table7[[#This Row],[Student_ID]],Placements!A355:E1354,5,0)</f>
        <v>6.51</v>
      </c>
      <c r="J355" s="1" t="str">
        <f>IF(VLOOKUP(Table7[[#This Row],[Student_ID]],student_data[#All],5,0)&gt;8,"HIGH",IF(VLOOKUP(Table7[[#This Row],[Student_ID]],student_data[#All],5,0)&lt;6.5,"LOW","MEDIUM"))</f>
        <v>HIGH</v>
      </c>
    </row>
    <row r="356" spans="1:10" x14ac:dyDescent="0.2">
      <c r="A356" s="1" t="s">
        <v>365</v>
      </c>
      <c r="B356" s="1" t="str">
        <f>VLOOKUP(Table7[[#This Row],[Student_ID]],student_data[#All],2,0)</f>
        <v>Computer Science</v>
      </c>
      <c r="C356" s="1">
        <f>(VLOOKUP(Table7[[#This Row],[Student_ID]],student_data[],5,0)*5)+(VLOOKUP(Table7[[#This Row],[Student_ID]],student_data[],6,0)*3)+(VLOOKUP(Table7[[#This Row],[Student_ID]],student_skills[],6,0)*2)+(VLOOKUP(Table7[[#This Row],[Student_ID]],student_internships[],2,0)*5)</f>
        <v>66.900000000000006</v>
      </c>
      <c r="D356" s="1">
        <f>AVERAGE(VLOOKUP(Table7[[#This Row],[Student_ID]],student_skills[],3,0),VLOOKUP(Table7[[#This Row],[Student_ID]],student_skills[],4,0),VLOOKUP(Table7[[#This Row],[Student_ID]],student_skills[],5,0),VLOOKUP(Table7[[#This Row],[Student_ID]],student_skills[],6,0))</f>
        <v>6.75</v>
      </c>
      <c r="E356" s="1" t="str">
        <f>IF(VLOOKUP(Table7[[#This Row],[Student_ID]],student_internships[#All],2,0)&gt;1,"EXPERIENCED",IF(VLOOKUP(Table7[[#This Row],[Student_ID]],student_internships[#All],2,0)=1,"BEGINNER","NOT EXPERIENCED"))</f>
        <v>BEGINNER</v>
      </c>
      <c r="F356" s="1">
        <f>VLOOKUP(Table7[[#This Row],[Student_ID]],student_data[],5,0)</f>
        <v>6.98</v>
      </c>
      <c r="G356" s="1">
        <f>VLOOKUP(Table7[[#This Row],[Student_ID]],student_data[#All],6,0)</f>
        <v>3</v>
      </c>
      <c r="H356" s="1">
        <f>VLOOKUP(Table7[[#This Row],[Student_ID]],student_internships[],2,0)</f>
        <v>1</v>
      </c>
      <c r="I356" s="1">
        <f>VLOOKUP(Table7[[#This Row],[Student_ID]],Placements!A356:E1355,5,0)</f>
        <v>6.86</v>
      </c>
      <c r="J356" s="1" t="str">
        <f>IF(VLOOKUP(Table7[[#This Row],[Student_ID]],student_data[#All],5,0)&gt;8,"HIGH",IF(VLOOKUP(Table7[[#This Row],[Student_ID]],student_data[#All],5,0)&lt;6.5,"LOW","MEDIUM"))</f>
        <v>MEDIUM</v>
      </c>
    </row>
    <row r="357" spans="1:10" x14ac:dyDescent="0.2">
      <c r="A357" s="1" t="s">
        <v>366</v>
      </c>
      <c r="B357" s="1" t="str">
        <f>VLOOKUP(Table7[[#This Row],[Student_ID]],student_data[#All],2,0)</f>
        <v>Civil</v>
      </c>
      <c r="C357" s="1">
        <f>(VLOOKUP(Table7[[#This Row],[Student_ID]],student_data[],5,0)*5)+(VLOOKUP(Table7[[#This Row],[Student_ID]],student_data[],6,0)*3)+(VLOOKUP(Table7[[#This Row],[Student_ID]],student_skills[],6,0)*2)+(VLOOKUP(Table7[[#This Row],[Student_ID]],student_internships[],2,0)*5)</f>
        <v>71.8</v>
      </c>
      <c r="D357" s="1">
        <f>AVERAGE(VLOOKUP(Table7[[#This Row],[Student_ID]],student_skills[],3,0),VLOOKUP(Table7[[#This Row],[Student_ID]],student_skills[],4,0),VLOOKUP(Table7[[#This Row],[Student_ID]],student_skills[],5,0),VLOOKUP(Table7[[#This Row],[Student_ID]],student_skills[],6,0))</f>
        <v>8</v>
      </c>
      <c r="E357" s="1" t="str">
        <f>IF(VLOOKUP(Table7[[#This Row],[Student_ID]],student_internships[#All],2,0)&gt;1,"EXPERIENCED",IF(VLOOKUP(Table7[[#This Row],[Student_ID]],student_internships[#All],2,0)=1,"BEGINNER","NOT EXPERIENCED"))</f>
        <v>NOT EXPERIENCED</v>
      </c>
      <c r="F357" s="1">
        <f>VLOOKUP(Table7[[#This Row],[Student_ID]],student_data[],5,0)</f>
        <v>9.76</v>
      </c>
      <c r="G357" s="1">
        <f>VLOOKUP(Table7[[#This Row],[Student_ID]],student_data[#All],6,0)</f>
        <v>3</v>
      </c>
      <c r="H357" s="1">
        <f>VLOOKUP(Table7[[#This Row],[Student_ID]],student_internships[],2,0)</f>
        <v>0</v>
      </c>
      <c r="I357" s="1">
        <f>VLOOKUP(Table7[[#This Row],[Student_ID]],Placements!A357:E1356,5,0)</f>
        <v>5.92</v>
      </c>
      <c r="J357" s="1" t="str">
        <f>IF(VLOOKUP(Table7[[#This Row],[Student_ID]],student_data[#All],5,0)&gt;8,"HIGH",IF(VLOOKUP(Table7[[#This Row],[Student_ID]],student_data[#All],5,0)&lt;6.5,"LOW","MEDIUM"))</f>
        <v>HIGH</v>
      </c>
    </row>
    <row r="358" spans="1:10" x14ac:dyDescent="0.2">
      <c r="A358" s="1" t="s">
        <v>367</v>
      </c>
      <c r="B358" s="1" t="str">
        <f>VLOOKUP(Table7[[#This Row],[Student_ID]],student_data[#All],2,0)</f>
        <v>Electronics</v>
      </c>
      <c r="C358" s="1">
        <f>(VLOOKUP(Table7[[#This Row],[Student_ID]],student_data[],5,0)*5)+(VLOOKUP(Table7[[#This Row],[Student_ID]],student_data[],6,0)*3)+(VLOOKUP(Table7[[#This Row],[Student_ID]],student_skills[],6,0)*2)+(VLOOKUP(Table7[[#This Row],[Student_ID]],student_internships[],2,0)*5)</f>
        <v>82.2</v>
      </c>
      <c r="D358" s="1">
        <f>AVERAGE(VLOOKUP(Table7[[#This Row],[Student_ID]],student_skills[],3,0),VLOOKUP(Table7[[#This Row],[Student_ID]],student_skills[],4,0),VLOOKUP(Table7[[#This Row],[Student_ID]],student_skills[],5,0),VLOOKUP(Table7[[#This Row],[Student_ID]],student_skills[],6,0))</f>
        <v>8.75</v>
      </c>
      <c r="E358" s="1" t="str">
        <f>IF(VLOOKUP(Table7[[#This Row],[Student_ID]],student_internships[#All],2,0)&gt;1,"EXPERIENCED",IF(VLOOKUP(Table7[[#This Row],[Student_ID]],student_internships[#All],2,0)=1,"BEGINNER","NOT EXPERIENCED"))</f>
        <v>NOT EXPERIENCED</v>
      </c>
      <c r="F358" s="1">
        <f>VLOOKUP(Table7[[#This Row],[Student_ID]],student_data[],5,0)</f>
        <v>9.84</v>
      </c>
      <c r="G358" s="1">
        <f>VLOOKUP(Table7[[#This Row],[Student_ID]],student_data[#All],6,0)</f>
        <v>5</v>
      </c>
      <c r="H358" s="1">
        <f>VLOOKUP(Table7[[#This Row],[Student_ID]],student_internships[],2,0)</f>
        <v>0</v>
      </c>
      <c r="I358" s="1">
        <f>VLOOKUP(Table7[[#This Row],[Student_ID]],Placements!A358:E1357,5,0)</f>
        <v>0</v>
      </c>
      <c r="J358" s="1" t="str">
        <f>IF(VLOOKUP(Table7[[#This Row],[Student_ID]],student_data[#All],5,0)&gt;8,"HIGH",IF(VLOOKUP(Table7[[#This Row],[Student_ID]],student_data[#All],5,0)&lt;6.5,"LOW","MEDIUM"))</f>
        <v>HIGH</v>
      </c>
    </row>
    <row r="359" spans="1:10" x14ac:dyDescent="0.2">
      <c r="A359" s="1" t="s">
        <v>368</v>
      </c>
      <c r="B359" s="1" t="str">
        <f>VLOOKUP(Table7[[#This Row],[Student_ID]],student_data[#All],2,0)</f>
        <v>Mechanical</v>
      </c>
      <c r="C359" s="1">
        <f>(VLOOKUP(Table7[[#This Row],[Student_ID]],student_data[],5,0)*5)+(VLOOKUP(Table7[[#This Row],[Student_ID]],student_data[],6,0)*3)+(VLOOKUP(Table7[[#This Row],[Student_ID]],student_skills[],6,0)*2)+(VLOOKUP(Table7[[#This Row],[Student_ID]],student_internships[],2,0)*5)</f>
        <v>46.8</v>
      </c>
      <c r="D359" s="1">
        <f>AVERAGE(VLOOKUP(Table7[[#This Row],[Student_ID]],student_skills[],3,0),VLOOKUP(Table7[[#This Row],[Student_ID]],student_skills[],4,0),VLOOKUP(Table7[[#This Row],[Student_ID]],student_skills[],5,0),VLOOKUP(Table7[[#This Row],[Student_ID]],student_skills[],6,0))</f>
        <v>5.75</v>
      </c>
      <c r="E359" s="1" t="str">
        <f>IF(VLOOKUP(Table7[[#This Row],[Student_ID]],student_internships[#All],2,0)&gt;1,"EXPERIENCED",IF(VLOOKUP(Table7[[#This Row],[Student_ID]],student_internships[#All],2,0)=1,"BEGINNER","NOT EXPERIENCED"))</f>
        <v>BEGINNER</v>
      </c>
      <c r="F359" s="1">
        <f>VLOOKUP(Table7[[#This Row],[Student_ID]],student_data[],5,0)</f>
        <v>6.96</v>
      </c>
      <c r="G359" s="1">
        <f>VLOOKUP(Table7[[#This Row],[Student_ID]],student_data[#All],6,0)</f>
        <v>1</v>
      </c>
      <c r="H359" s="1">
        <f>VLOOKUP(Table7[[#This Row],[Student_ID]],student_internships[],2,0)</f>
        <v>1</v>
      </c>
      <c r="I359" s="1">
        <f>VLOOKUP(Table7[[#This Row],[Student_ID]],Placements!A359:E1358,5,0)</f>
        <v>3.95</v>
      </c>
      <c r="J359" s="1" t="str">
        <f>IF(VLOOKUP(Table7[[#This Row],[Student_ID]],student_data[#All],5,0)&gt;8,"HIGH",IF(VLOOKUP(Table7[[#This Row],[Student_ID]],student_data[#All],5,0)&lt;6.5,"LOW","MEDIUM"))</f>
        <v>MEDIUM</v>
      </c>
    </row>
    <row r="360" spans="1:10" x14ac:dyDescent="0.2">
      <c r="A360" s="1" t="s">
        <v>369</v>
      </c>
      <c r="B360" s="1" t="str">
        <f>VLOOKUP(Table7[[#This Row],[Student_ID]],student_data[#All],2,0)</f>
        <v>Civil</v>
      </c>
      <c r="C360" s="1">
        <f>(VLOOKUP(Table7[[#This Row],[Student_ID]],student_data[],5,0)*5)+(VLOOKUP(Table7[[#This Row],[Student_ID]],student_data[],6,0)*3)+(VLOOKUP(Table7[[#This Row],[Student_ID]],student_skills[],6,0)*2)+(VLOOKUP(Table7[[#This Row],[Student_ID]],student_internships[],2,0)*5)</f>
        <v>56.349999999999994</v>
      </c>
      <c r="D360" s="1">
        <f>AVERAGE(VLOOKUP(Table7[[#This Row],[Student_ID]],student_skills[],3,0),VLOOKUP(Table7[[#This Row],[Student_ID]],student_skills[],4,0),VLOOKUP(Table7[[#This Row],[Student_ID]],student_skills[],5,0),VLOOKUP(Table7[[#This Row],[Student_ID]],student_skills[],6,0))</f>
        <v>7.75</v>
      </c>
      <c r="E360" s="1" t="str">
        <f>IF(VLOOKUP(Table7[[#This Row],[Student_ID]],student_internships[#All],2,0)&gt;1,"EXPERIENCED",IF(VLOOKUP(Table7[[#This Row],[Student_ID]],student_internships[#All],2,0)=1,"BEGINNER","NOT EXPERIENCED"))</f>
        <v>NOT EXPERIENCED</v>
      </c>
      <c r="F360" s="1">
        <f>VLOOKUP(Table7[[#This Row],[Student_ID]],student_data[],5,0)</f>
        <v>9.27</v>
      </c>
      <c r="G360" s="1">
        <f>VLOOKUP(Table7[[#This Row],[Student_ID]],student_data[#All],6,0)</f>
        <v>0</v>
      </c>
      <c r="H360" s="1">
        <f>VLOOKUP(Table7[[#This Row],[Student_ID]],student_internships[],2,0)</f>
        <v>0</v>
      </c>
      <c r="I360" s="1">
        <f>VLOOKUP(Table7[[#This Row],[Student_ID]],Placements!A360:E1359,5,0)</f>
        <v>4.3</v>
      </c>
      <c r="J360" s="1" t="str">
        <f>IF(VLOOKUP(Table7[[#This Row],[Student_ID]],student_data[#All],5,0)&gt;8,"HIGH",IF(VLOOKUP(Table7[[#This Row],[Student_ID]],student_data[#All],5,0)&lt;6.5,"LOW","MEDIUM"))</f>
        <v>HIGH</v>
      </c>
    </row>
    <row r="361" spans="1:10" x14ac:dyDescent="0.2">
      <c r="A361" s="1" t="s">
        <v>370</v>
      </c>
      <c r="B361" s="1" t="str">
        <f>VLOOKUP(Table7[[#This Row],[Student_ID]],student_data[#All],2,0)</f>
        <v>Information Technology</v>
      </c>
      <c r="C361" s="1">
        <f>(VLOOKUP(Table7[[#This Row],[Student_ID]],student_data[],5,0)*5)+(VLOOKUP(Table7[[#This Row],[Student_ID]],student_data[],6,0)*3)+(VLOOKUP(Table7[[#This Row],[Student_ID]],student_skills[],6,0)*2)+(VLOOKUP(Table7[[#This Row],[Student_ID]],student_internships[],2,0)*5)</f>
        <v>63.349999999999994</v>
      </c>
      <c r="D361" s="1">
        <f>AVERAGE(VLOOKUP(Table7[[#This Row],[Student_ID]],student_skills[],3,0),VLOOKUP(Table7[[#This Row],[Student_ID]],student_skills[],4,0),VLOOKUP(Table7[[#This Row],[Student_ID]],student_skills[],5,0),VLOOKUP(Table7[[#This Row],[Student_ID]],student_skills[],6,0))</f>
        <v>6</v>
      </c>
      <c r="E361" s="1" t="str">
        <f>IF(VLOOKUP(Table7[[#This Row],[Student_ID]],student_internships[#All],2,0)&gt;1,"EXPERIENCED",IF(VLOOKUP(Table7[[#This Row],[Student_ID]],student_internships[#All],2,0)=1,"BEGINNER","NOT EXPERIENCED"))</f>
        <v>BEGINNER</v>
      </c>
      <c r="F361" s="1">
        <f>VLOOKUP(Table7[[#This Row],[Student_ID]],student_data[],5,0)</f>
        <v>8.8699999999999992</v>
      </c>
      <c r="G361" s="1">
        <f>VLOOKUP(Table7[[#This Row],[Student_ID]],student_data[#All],6,0)</f>
        <v>2</v>
      </c>
      <c r="H361" s="1">
        <f>VLOOKUP(Table7[[#This Row],[Student_ID]],student_internships[],2,0)</f>
        <v>1</v>
      </c>
      <c r="I361" s="1">
        <f>VLOOKUP(Table7[[#This Row],[Student_ID]],Placements!A361:E1360,5,0)</f>
        <v>6.01</v>
      </c>
      <c r="J361" s="1" t="str">
        <f>IF(VLOOKUP(Table7[[#This Row],[Student_ID]],student_data[#All],5,0)&gt;8,"HIGH",IF(VLOOKUP(Table7[[#This Row],[Student_ID]],student_data[#All],5,0)&lt;6.5,"LOW","MEDIUM"))</f>
        <v>HIGH</v>
      </c>
    </row>
    <row r="362" spans="1:10" x14ac:dyDescent="0.2">
      <c r="A362" s="1" t="s">
        <v>371</v>
      </c>
      <c r="B362" s="1" t="str">
        <f>VLOOKUP(Table7[[#This Row],[Student_ID]],student_data[#All],2,0)</f>
        <v>Computer Science</v>
      </c>
      <c r="C362" s="1">
        <f>(VLOOKUP(Table7[[#This Row],[Student_ID]],student_data[],5,0)*5)+(VLOOKUP(Table7[[#This Row],[Student_ID]],student_data[],6,0)*3)+(VLOOKUP(Table7[[#This Row],[Student_ID]],student_skills[],6,0)*2)+(VLOOKUP(Table7[[#This Row],[Student_ID]],student_internships[],2,0)*5)</f>
        <v>60.75</v>
      </c>
      <c r="D362" s="1">
        <f>AVERAGE(VLOOKUP(Table7[[#This Row],[Student_ID]],student_skills[],3,0),VLOOKUP(Table7[[#This Row],[Student_ID]],student_skills[],4,0),VLOOKUP(Table7[[#This Row],[Student_ID]],student_skills[],5,0),VLOOKUP(Table7[[#This Row],[Student_ID]],student_skills[],6,0))</f>
        <v>3.75</v>
      </c>
      <c r="E362" s="1" t="str">
        <f>IF(VLOOKUP(Table7[[#This Row],[Student_ID]],student_internships[#All],2,0)&gt;1,"EXPERIENCED",IF(VLOOKUP(Table7[[#This Row],[Student_ID]],student_internships[#All],2,0)=1,"BEGINNER","NOT EXPERIENCED"))</f>
        <v>EXPERIENCED</v>
      </c>
      <c r="F362" s="1">
        <f>VLOOKUP(Table7[[#This Row],[Student_ID]],student_data[],5,0)</f>
        <v>6.55</v>
      </c>
      <c r="G362" s="1">
        <f>VLOOKUP(Table7[[#This Row],[Student_ID]],student_data[#All],6,0)</f>
        <v>3</v>
      </c>
      <c r="H362" s="1">
        <f>VLOOKUP(Table7[[#This Row],[Student_ID]],student_internships[],2,0)</f>
        <v>3</v>
      </c>
      <c r="I362" s="1">
        <f>VLOOKUP(Table7[[#This Row],[Student_ID]],Placements!A362:E1361,5,0)</f>
        <v>5.64</v>
      </c>
      <c r="J362" s="1" t="str">
        <f>IF(VLOOKUP(Table7[[#This Row],[Student_ID]],student_data[#All],5,0)&gt;8,"HIGH",IF(VLOOKUP(Table7[[#This Row],[Student_ID]],student_data[#All],5,0)&lt;6.5,"LOW","MEDIUM"))</f>
        <v>MEDIUM</v>
      </c>
    </row>
    <row r="363" spans="1:10" x14ac:dyDescent="0.2">
      <c r="A363" s="1" t="s">
        <v>372</v>
      </c>
      <c r="B363" s="1" t="str">
        <f>VLOOKUP(Table7[[#This Row],[Student_ID]],student_data[#All],2,0)</f>
        <v>Information Technology</v>
      </c>
      <c r="C363" s="1">
        <f>(VLOOKUP(Table7[[#This Row],[Student_ID]],student_data[],5,0)*5)+(VLOOKUP(Table7[[#This Row],[Student_ID]],student_data[],6,0)*3)+(VLOOKUP(Table7[[#This Row],[Student_ID]],student_skills[],6,0)*2)+(VLOOKUP(Table7[[#This Row],[Student_ID]],student_internships[],2,0)*5)</f>
        <v>56.8</v>
      </c>
      <c r="D363" s="1">
        <f>AVERAGE(VLOOKUP(Table7[[#This Row],[Student_ID]],student_skills[],3,0),VLOOKUP(Table7[[#This Row],[Student_ID]],student_skills[],4,0),VLOOKUP(Table7[[#This Row],[Student_ID]],student_skills[],5,0),VLOOKUP(Table7[[#This Row],[Student_ID]],student_skills[],6,0))</f>
        <v>3.25</v>
      </c>
      <c r="E363" s="1" t="str">
        <f>IF(VLOOKUP(Table7[[#This Row],[Student_ID]],student_internships[#All],2,0)&gt;1,"EXPERIENCED",IF(VLOOKUP(Table7[[#This Row],[Student_ID]],student_internships[#All],2,0)=1,"BEGINNER","NOT EXPERIENCED"))</f>
        <v>BEGINNER</v>
      </c>
      <c r="F363" s="1">
        <f>VLOOKUP(Table7[[#This Row],[Student_ID]],student_data[],5,0)</f>
        <v>6.16</v>
      </c>
      <c r="G363" s="1">
        <f>VLOOKUP(Table7[[#This Row],[Student_ID]],student_data[#All],6,0)</f>
        <v>1</v>
      </c>
      <c r="H363" s="1">
        <f>VLOOKUP(Table7[[#This Row],[Student_ID]],student_internships[],2,0)</f>
        <v>1</v>
      </c>
      <c r="I363" s="1">
        <f>VLOOKUP(Table7[[#This Row],[Student_ID]],Placements!A363:E1362,5,0)</f>
        <v>0</v>
      </c>
      <c r="J363" s="1" t="str">
        <f>IF(VLOOKUP(Table7[[#This Row],[Student_ID]],student_data[#All],5,0)&gt;8,"HIGH",IF(VLOOKUP(Table7[[#This Row],[Student_ID]],student_data[#All],5,0)&lt;6.5,"LOW","MEDIUM"))</f>
        <v>LOW</v>
      </c>
    </row>
    <row r="364" spans="1:10" x14ac:dyDescent="0.2">
      <c r="A364" s="1" t="s">
        <v>373</v>
      </c>
      <c r="B364" s="1" t="str">
        <f>VLOOKUP(Table7[[#This Row],[Student_ID]],student_data[#All],2,0)</f>
        <v>Civil</v>
      </c>
      <c r="C364" s="1">
        <f>(VLOOKUP(Table7[[#This Row],[Student_ID]],student_data[],5,0)*5)+(VLOOKUP(Table7[[#This Row],[Student_ID]],student_data[],6,0)*3)+(VLOOKUP(Table7[[#This Row],[Student_ID]],student_skills[],6,0)*2)+(VLOOKUP(Table7[[#This Row],[Student_ID]],student_internships[],2,0)*5)</f>
        <v>71.45</v>
      </c>
      <c r="D364" s="1">
        <f>AVERAGE(VLOOKUP(Table7[[#This Row],[Student_ID]],student_skills[],3,0),VLOOKUP(Table7[[#This Row],[Student_ID]],student_skills[],4,0),VLOOKUP(Table7[[#This Row],[Student_ID]],student_skills[],5,0),VLOOKUP(Table7[[#This Row],[Student_ID]],student_skills[],6,0))</f>
        <v>4.75</v>
      </c>
      <c r="E364" s="1" t="str">
        <f>IF(VLOOKUP(Table7[[#This Row],[Student_ID]],student_internships[#All],2,0)&gt;1,"EXPERIENCED",IF(VLOOKUP(Table7[[#This Row],[Student_ID]],student_internships[#All],2,0)=1,"BEGINNER","NOT EXPERIENCED"))</f>
        <v>BEGINNER</v>
      </c>
      <c r="F364" s="1">
        <f>VLOOKUP(Table7[[#This Row],[Student_ID]],student_data[],5,0)</f>
        <v>7.29</v>
      </c>
      <c r="G364" s="1">
        <f>VLOOKUP(Table7[[#This Row],[Student_ID]],student_data[#All],6,0)</f>
        <v>4</v>
      </c>
      <c r="H364" s="1">
        <f>VLOOKUP(Table7[[#This Row],[Student_ID]],student_internships[],2,0)</f>
        <v>1</v>
      </c>
      <c r="I364" s="1">
        <f>VLOOKUP(Table7[[#This Row],[Student_ID]],Placements!A364:E1363,5,0)</f>
        <v>0</v>
      </c>
      <c r="J364" s="1" t="str">
        <f>IF(VLOOKUP(Table7[[#This Row],[Student_ID]],student_data[#All],5,0)&gt;8,"HIGH",IF(VLOOKUP(Table7[[#This Row],[Student_ID]],student_data[#All],5,0)&lt;6.5,"LOW","MEDIUM"))</f>
        <v>MEDIUM</v>
      </c>
    </row>
    <row r="365" spans="1:10" x14ac:dyDescent="0.2">
      <c r="A365" s="1" t="s">
        <v>374</v>
      </c>
      <c r="B365" s="1" t="str">
        <f>VLOOKUP(Table7[[#This Row],[Student_ID]],student_data[#All],2,0)</f>
        <v>Civil</v>
      </c>
      <c r="C365" s="1">
        <f>(VLOOKUP(Table7[[#This Row],[Student_ID]],student_data[],5,0)*5)+(VLOOKUP(Table7[[#This Row],[Student_ID]],student_data[],6,0)*3)+(VLOOKUP(Table7[[#This Row],[Student_ID]],student_skills[],6,0)*2)+(VLOOKUP(Table7[[#This Row],[Student_ID]],student_internships[],2,0)*5)</f>
        <v>70.55</v>
      </c>
      <c r="D365" s="1">
        <f>AVERAGE(VLOOKUP(Table7[[#This Row],[Student_ID]],student_skills[],3,0),VLOOKUP(Table7[[#This Row],[Student_ID]],student_skills[],4,0),VLOOKUP(Table7[[#This Row],[Student_ID]],student_skills[],5,0),VLOOKUP(Table7[[#This Row],[Student_ID]],student_skills[],6,0))</f>
        <v>5.75</v>
      </c>
      <c r="E365" s="1" t="str">
        <f>IF(VLOOKUP(Table7[[#This Row],[Student_ID]],student_internships[#All],2,0)&gt;1,"EXPERIENCED",IF(VLOOKUP(Table7[[#This Row],[Student_ID]],student_internships[#All],2,0)=1,"BEGINNER","NOT EXPERIENCED"))</f>
        <v>BEGINNER</v>
      </c>
      <c r="F365" s="1">
        <f>VLOOKUP(Table7[[#This Row],[Student_ID]],student_data[],5,0)</f>
        <v>8.91</v>
      </c>
      <c r="G365" s="1">
        <f>VLOOKUP(Table7[[#This Row],[Student_ID]],student_data[#All],6,0)</f>
        <v>3</v>
      </c>
      <c r="H365" s="1">
        <f>VLOOKUP(Table7[[#This Row],[Student_ID]],student_internships[],2,0)</f>
        <v>1</v>
      </c>
      <c r="I365" s="1">
        <f>VLOOKUP(Table7[[#This Row],[Student_ID]],Placements!A365:E1364,5,0)</f>
        <v>5.65</v>
      </c>
      <c r="J365" s="1" t="str">
        <f>IF(VLOOKUP(Table7[[#This Row],[Student_ID]],student_data[#All],5,0)&gt;8,"HIGH",IF(VLOOKUP(Table7[[#This Row],[Student_ID]],student_data[#All],5,0)&lt;6.5,"LOW","MEDIUM"))</f>
        <v>HIGH</v>
      </c>
    </row>
    <row r="366" spans="1:10" x14ac:dyDescent="0.2">
      <c r="A366" s="1" t="s">
        <v>375</v>
      </c>
      <c r="B366" s="1" t="str">
        <f>VLOOKUP(Table7[[#This Row],[Student_ID]],student_data[#All],2,0)</f>
        <v>Civil</v>
      </c>
      <c r="C366" s="1">
        <f>(VLOOKUP(Table7[[#This Row],[Student_ID]],student_data[],5,0)*5)+(VLOOKUP(Table7[[#This Row],[Student_ID]],student_data[],6,0)*3)+(VLOOKUP(Table7[[#This Row],[Student_ID]],student_skills[],6,0)*2)+(VLOOKUP(Table7[[#This Row],[Student_ID]],student_internships[],2,0)*5)</f>
        <v>69</v>
      </c>
      <c r="D366" s="1">
        <f>AVERAGE(VLOOKUP(Table7[[#This Row],[Student_ID]],student_skills[],3,0),VLOOKUP(Table7[[#This Row],[Student_ID]],student_skills[],4,0),VLOOKUP(Table7[[#This Row],[Student_ID]],student_skills[],5,0),VLOOKUP(Table7[[#This Row],[Student_ID]],student_skills[],6,0))</f>
        <v>5.5</v>
      </c>
      <c r="E366" s="1" t="str">
        <f>IF(VLOOKUP(Table7[[#This Row],[Student_ID]],student_internships[#All],2,0)&gt;1,"EXPERIENCED",IF(VLOOKUP(Table7[[#This Row],[Student_ID]],student_internships[#All],2,0)=1,"BEGINNER","NOT EXPERIENCED"))</f>
        <v>BEGINNER</v>
      </c>
      <c r="F366" s="1">
        <f>VLOOKUP(Table7[[#This Row],[Student_ID]],student_data[],5,0)</f>
        <v>9.8000000000000007</v>
      </c>
      <c r="G366" s="1">
        <f>VLOOKUP(Table7[[#This Row],[Student_ID]],student_data[#All],6,0)</f>
        <v>1</v>
      </c>
      <c r="H366" s="1">
        <f>VLOOKUP(Table7[[#This Row],[Student_ID]],student_internships[],2,0)</f>
        <v>1</v>
      </c>
      <c r="I366" s="1">
        <f>VLOOKUP(Table7[[#This Row],[Student_ID]],Placements!A366:E1365,5,0)</f>
        <v>4.3</v>
      </c>
      <c r="J366" s="1" t="str">
        <f>IF(VLOOKUP(Table7[[#This Row],[Student_ID]],student_data[#All],5,0)&gt;8,"HIGH",IF(VLOOKUP(Table7[[#This Row],[Student_ID]],student_data[#All],5,0)&lt;6.5,"LOW","MEDIUM"))</f>
        <v>HIGH</v>
      </c>
    </row>
    <row r="367" spans="1:10" x14ac:dyDescent="0.2">
      <c r="A367" s="1" t="s">
        <v>376</v>
      </c>
      <c r="B367" s="1" t="str">
        <f>VLOOKUP(Table7[[#This Row],[Student_ID]],student_data[#All],2,0)</f>
        <v>Information Technology</v>
      </c>
      <c r="C367" s="1">
        <f>(VLOOKUP(Table7[[#This Row],[Student_ID]],student_data[],5,0)*5)+(VLOOKUP(Table7[[#This Row],[Student_ID]],student_data[],6,0)*3)+(VLOOKUP(Table7[[#This Row],[Student_ID]],student_skills[],6,0)*2)+(VLOOKUP(Table7[[#This Row],[Student_ID]],student_internships[],2,0)*5)</f>
        <v>65.099999999999994</v>
      </c>
      <c r="D367" s="1">
        <f>AVERAGE(VLOOKUP(Table7[[#This Row],[Student_ID]],student_skills[],3,0),VLOOKUP(Table7[[#This Row],[Student_ID]],student_skills[],4,0),VLOOKUP(Table7[[#This Row],[Student_ID]],student_skills[],5,0),VLOOKUP(Table7[[#This Row],[Student_ID]],student_skills[],6,0))</f>
        <v>4.75</v>
      </c>
      <c r="E367" s="1" t="str">
        <f>IF(VLOOKUP(Table7[[#This Row],[Student_ID]],student_internships[#All],2,0)&gt;1,"EXPERIENCED",IF(VLOOKUP(Table7[[#This Row],[Student_ID]],student_internships[#All],2,0)=1,"BEGINNER","NOT EXPERIENCED"))</f>
        <v>BEGINNER</v>
      </c>
      <c r="F367" s="1">
        <f>VLOOKUP(Table7[[#This Row],[Student_ID]],student_data[],5,0)</f>
        <v>8.82</v>
      </c>
      <c r="G367" s="1">
        <f>VLOOKUP(Table7[[#This Row],[Student_ID]],student_data[#All],6,0)</f>
        <v>0</v>
      </c>
      <c r="H367" s="1">
        <f>VLOOKUP(Table7[[#This Row],[Student_ID]],student_internships[],2,0)</f>
        <v>1</v>
      </c>
      <c r="I367" s="1">
        <f>VLOOKUP(Table7[[#This Row],[Student_ID]],Placements!A367:E1366,5,0)</f>
        <v>3.87</v>
      </c>
      <c r="J367" s="1" t="str">
        <f>IF(VLOOKUP(Table7[[#This Row],[Student_ID]],student_data[#All],5,0)&gt;8,"HIGH",IF(VLOOKUP(Table7[[#This Row],[Student_ID]],student_data[#All],5,0)&lt;6.5,"LOW","MEDIUM"))</f>
        <v>HIGH</v>
      </c>
    </row>
    <row r="368" spans="1:10" x14ac:dyDescent="0.2">
      <c r="A368" s="1" t="s">
        <v>377</v>
      </c>
      <c r="B368" s="1" t="str">
        <f>VLOOKUP(Table7[[#This Row],[Student_ID]],student_data[#All],2,0)</f>
        <v>Civil</v>
      </c>
      <c r="C368" s="1">
        <f>(VLOOKUP(Table7[[#This Row],[Student_ID]],student_data[],5,0)*5)+(VLOOKUP(Table7[[#This Row],[Student_ID]],student_data[],6,0)*3)+(VLOOKUP(Table7[[#This Row],[Student_ID]],student_skills[],6,0)*2)+(VLOOKUP(Table7[[#This Row],[Student_ID]],student_internships[],2,0)*5)</f>
        <v>73.400000000000006</v>
      </c>
      <c r="D368" s="1">
        <f>AVERAGE(VLOOKUP(Table7[[#This Row],[Student_ID]],student_skills[],3,0),VLOOKUP(Table7[[#This Row],[Student_ID]],student_skills[],4,0),VLOOKUP(Table7[[#This Row],[Student_ID]],student_skills[],5,0),VLOOKUP(Table7[[#This Row],[Student_ID]],student_skills[],6,0))</f>
        <v>5.5</v>
      </c>
      <c r="E368" s="1" t="str">
        <f>IF(VLOOKUP(Table7[[#This Row],[Student_ID]],student_internships[#All],2,0)&gt;1,"EXPERIENCED",IF(VLOOKUP(Table7[[#This Row],[Student_ID]],student_internships[#All],2,0)=1,"BEGINNER","NOT EXPERIENCED"))</f>
        <v>EXPERIENCED</v>
      </c>
      <c r="F368" s="1">
        <f>VLOOKUP(Table7[[#This Row],[Student_ID]],student_data[],5,0)</f>
        <v>9.2799999999999994</v>
      </c>
      <c r="G368" s="1">
        <f>VLOOKUP(Table7[[#This Row],[Student_ID]],student_data[#All],6,0)</f>
        <v>0</v>
      </c>
      <c r="H368" s="1">
        <f>VLOOKUP(Table7[[#This Row],[Student_ID]],student_internships[],2,0)</f>
        <v>3</v>
      </c>
      <c r="I368" s="1">
        <f>VLOOKUP(Table7[[#This Row],[Student_ID]],Placements!A368:E1367,5,0)</f>
        <v>6.66</v>
      </c>
      <c r="J368" s="1" t="str">
        <f>IF(VLOOKUP(Table7[[#This Row],[Student_ID]],student_data[#All],5,0)&gt;8,"HIGH",IF(VLOOKUP(Table7[[#This Row],[Student_ID]],student_data[#All],5,0)&lt;6.5,"LOW","MEDIUM"))</f>
        <v>HIGH</v>
      </c>
    </row>
    <row r="369" spans="1:10" x14ac:dyDescent="0.2">
      <c r="A369" s="1" t="s">
        <v>378</v>
      </c>
      <c r="B369" s="1" t="str">
        <f>VLOOKUP(Table7[[#This Row],[Student_ID]],student_data[#All],2,0)</f>
        <v>Information Technology</v>
      </c>
      <c r="C369" s="1">
        <f>(VLOOKUP(Table7[[#This Row],[Student_ID]],student_data[],5,0)*5)+(VLOOKUP(Table7[[#This Row],[Student_ID]],student_data[],6,0)*3)+(VLOOKUP(Table7[[#This Row],[Student_ID]],student_skills[],6,0)*2)+(VLOOKUP(Table7[[#This Row],[Student_ID]],student_internships[],2,0)*5)</f>
        <v>56.099999999999994</v>
      </c>
      <c r="D369" s="1">
        <f>AVERAGE(VLOOKUP(Table7[[#This Row],[Student_ID]],student_skills[],3,0),VLOOKUP(Table7[[#This Row],[Student_ID]],student_skills[],4,0),VLOOKUP(Table7[[#This Row],[Student_ID]],student_skills[],5,0),VLOOKUP(Table7[[#This Row],[Student_ID]],student_skills[],6,0))</f>
        <v>3</v>
      </c>
      <c r="E369" s="1" t="str">
        <f>IF(VLOOKUP(Table7[[#This Row],[Student_ID]],student_internships[#All],2,0)&gt;1,"EXPERIENCED",IF(VLOOKUP(Table7[[#This Row],[Student_ID]],student_internships[#All],2,0)=1,"BEGINNER","NOT EXPERIENCED"))</f>
        <v>BEGINNER</v>
      </c>
      <c r="F369" s="1">
        <f>VLOOKUP(Table7[[#This Row],[Student_ID]],student_data[],5,0)</f>
        <v>8.02</v>
      </c>
      <c r="G369" s="1">
        <f>VLOOKUP(Table7[[#This Row],[Student_ID]],student_data[#All],6,0)</f>
        <v>3</v>
      </c>
      <c r="H369" s="1">
        <f>VLOOKUP(Table7[[#This Row],[Student_ID]],student_internships[],2,0)</f>
        <v>1</v>
      </c>
      <c r="I369" s="1">
        <f>VLOOKUP(Table7[[#This Row],[Student_ID]],Placements!A369:E1368,5,0)</f>
        <v>6.85</v>
      </c>
      <c r="J369" s="1" t="str">
        <f>IF(VLOOKUP(Table7[[#This Row],[Student_ID]],student_data[#All],5,0)&gt;8,"HIGH",IF(VLOOKUP(Table7[[#This Row],[Student_ID]],student_data[#All],5,0)&lt;6.5,"LOW","MEDIUM"))</f>
        <v>HIGH</v>
      </c>
    </row>
    <row r="370" spans="1:10" x14ac:dyDescent="0.2">
      <c r="A370" s="1" t="s">
        <v>379</v>
      </c>
      <c r="B370" s="1" t="str">
        <f>VLOOKUP(Table7[[#This Row],[Student_ID]],student_data[#All],2,0)</f>
        <v>Civil</v>
      </c>
      <c r="C370" s="1">
        <f>(VLOOKUP(Table7[[#This Row],[Student_ID]],student_data[],5,0)*5)+(VLOOKUP(Table7[[#This Row],[Student_ID]],student_data[],6,0)*3)+(VLOOKUP(Table7[[#This Row],[Student_ID]],student_skills[],6,0)*2)+(VLOOKUP(Table7[[#This Row],[Student_ID]],student_internships[],2,0)*5)</f>
        <v>77.900000000000006</v>
      </c>
      <c r="D370" s="1">
        <f>AVERAGE(VLOOKUP(Table7[[#This Row],[Student_ID]],student_skills[],3,0),VLOOKUP(Table7[[#This Row],[Student_ID]],student_skills[],4,0),VLOOKUP(Table7[[#This Row],[Student_ID]],student_skills[],5,0),VLOOKUP(Table7[[#This Row],[Student_ID]],student_skills[],6,0))</f>
        <v>5.75</v>
      </c>
      <c r="E370" s="1" t="str">
        <f>IF(VLOOKUP(Table7[[#This Row],[Student_ID]],student_internships[#All],2,0)&gt;1,"EXPERIENCED",IF(VLOOKUP(Table7[[#This Row],[Student_ID]],student_internships[#All],2,0)=1,"BEGINNER","NOT EXPERIENCED"))</f>
        <v>EXPERIENCED</v>
      </c>
      <c r="F370" s="1">
        <f>VLOOKUP(Table7[[#This Row],[Student_ID]],student_data[],5,0)</f>
        <v>9.18</v>
      </c>
      <c r="G370" s="1">
        <f>VLOOKUP(Table7[[#This Row],[Student_ID]],student_data[#All],6,0)</f>
        <v>3</v>
      </c>
      <c r="H370" s="1">
        <f>VLOOKUP(Table7[[#This Row],[Student_ID]],student_internships[],2,0)</f>
        <v>3</v>
      </c>
      <c r="I370" s="1">
        <f>VLOOKUP(Table7[[#This Row],[Student_ID]],Placements!A370:E1369,5,0)</f>
        <v>5.37</v>
      </c>
      <c r="J370" s="1" t="str">
        <f>IF(VLOOKUP(Table7[[#This Row],[Student_ID]],student_data[#All],5,0)&gt;8,"HIGH",IF(VLOOKUP(Table7[[#This Row],[Student_ID]],student_data[#All],5,0)&lt;6.5,"LOW","MEDIUM"))</f>
        <v>HIGH</v>
      </c>
    </row>
    <row r="371" spans="1:10" x14ac:dyDescent="0.2">
      <c r="A371" s="1" t="s">
        <v>380</v>
      </c>
      <c r="B371" s="1" t="str">
        <f>VLOOKUP(Table7[[#This Row],[Student_ID]],student_data[#All],2,0)</f>
        <v>Mechanical</v>
      </c>
      <c r="C371" s="1">
        <f>(VLOOKUP(Table7[[#This Row],[Student_ID]],student_data[],5,0)*5)+(VLOOKUP(Table7[[#This Row],[Student_ID]],student_data[],6,0)*3)+(VLOOKUP(Table7[[#This Row],[Student_ID]],student_skills[],6,0)*2)+(VLOOKUP(Table7[[#This Row],[Student_ID]],student_internships[],2,0)*5)</f>
        <v>88.6</v>
      </c>
      <c r="D371" s="1">
        <f>AVERAGE(VLOOKUP(Table7[[#This Row],[Student_ID]],student_skills[],3,0),VLOOKUP(Table7[[#This Row],[Student_ID]],student_skills[],4,0),VLOOKUP(Table7[[#This Row],[Student_ID]],student_skills[],5,0),VLOOKUP(Table7[[#This Row],[Student_ID]],student_skills[],6,0))</f>
        <v>6.5</v>
      </c>
      <c r="E371" s="1" t="str">
        <f>IF(VLOOKUP(Table7[[#This Row],[Student_ID]],student_internships[#All],2,0)&gt;1,"EXPERIENCED",IF(VLOOKUP(Table7[[#This Row],[Student_ID]],student_internships[#All],2,0)=1,"BEGINNER","NOT EXPERIENCED"))</f>
        <v>EXPERIENCED</v>
      </c>
      <c r="F371" s="1">
        <f>VLOOKUP(Table7[[#This Row],[Student_ID]],student_data[],5,0)</f>
        <v>8.92</v>
      </c>
      <c r="G371" s="1">
        <f>VLOOKUP(Table7[[#This Row],[Student_ID]],student_data[#All],6,0)</f>
        <v>5</v>
      </c>
      <c r="H371" s="1">
        <f>VLOOKUP(Table7[[#This Row],[Student_ID]],student_internships[],2,0)</f>
        <v>3</v>
      </c>
      <c r="I371" s="1">
        <f>VLOOKUP(Table7[[#This Row],[Student_ID]],Placements!A371:E1370,5,0)</f>
        <v>4.6900000000000004</v>
      </c>
      <c r="J371" s="1" t="str">
        <f>IF(VLOOKUP(Table7[[#This Row],[Student_ID]],student_data[#All],5,0)&gt;8,"HIGH",IF(VLOOKUP(Table7[[#This Row],[Student_ID]],student_data[#All],5,0)&lt;6.5,"LOW","MEDIUM"))</f>
        <v>HIGH</v>
      </c>
    </row>
    <row r="372" spans="1:10" x14ac:dyDescent="0.2">
      <c r="A372" s="1" t="s">
        <v>381</v>
      </c>
      <c r="B372" s="1" t="str">
        <f>VLOOKUP(Table7[[#This Row],[Student_ID]],student_data[#All],2,0)</f>
        <v>Civil</v>
      </c>
      <c r="C372" s="1">
        <f>(VLOOKUP(Table7[[#This Row],[Student_ID]],student_data[],5,0)*5)+(VLOOKUP(Table7[[#This Row],[Student_ID]],student_data[],6,0)*3)+(VLOOKUP(Table7[[#This Row],[Student_ID]],student_skills[],6,0)*2)+(VLOOKUP(Table7[[#This Row],[Student_ID]],student_internships[],2,0)*5)</f>
        <v>44.4</v>
      </c>
      <c r="D372" s="1">
        <f>AVERAGE(VLOOKUP(Table7[[#This Row],[Student_ID]],student_skills[],3,0),VLOOKUP(Table7[[#This Row],[Student_ID]],student_skills[],4,0),VLOOKUP(Table7[[#This Row],[Student_ID]],student_skills[],5,0),VLOOKUP(Table7[[#This Row],[Student_ID]],student_skills[],6,0))</f>
        <v>2.25</v>
      </c>
      <c r="E372" s="1" t="str">
        <f>IF(VLOOKUP(Table7[[#This Row],[Student_ID]],student_internships[#All],2,0)&gt;1,"EXPERIENCED",IF(VLOOKUP(Table7[[#This Row],[Student_ID]],student_internships[#All],2,0)=1,"BEGINNER","NOT EXPERIENCED"))</f>
        <v>NOT EXPERIENCED</v>
      </c>
      <c r="F372" s="1">
        <f>VLOOKUP(Table7[[#This Row],[Student_ID]],student_data[],5,0)</f>
        <v>6.88</v>
      </c>
      <c r="G372" s="1">
        <f>VLOOKUP(Table7[[#This Row],[Student_ID]],student_data[#All],6,0)</f>
        <v>2</v>
      </c>
      <c r="H372" s="1">
        <f>VLOOKUP(Table7[[#This Row],[Student_ID]],student_internships[],2,0)</f>
        <v>0</v>
      </c>
      <c r="I372" s="1">
        <f>VLOOKUP(Table7[[#This Row],[Student_ID]],Placements!A372:E1371,5,0)</f>
        <v>0</v>
      </c>
      <c r="J372" s="1" t="str">
        <f>IF(VLOOKUP(Table7[[#This Row],[Student_ID]],student_data[#All],5,0)&gt;8,"HIGH",IF(VLOOKUP(Table7[[#This Row],[Student_ID]],student_data[#All],5,0)&lt;6.5,"LOW","MEDIUM"))</f>
        <v>MEDIUM</v>
      </c>
    </row>
    <row r="373" spans="1:10" x14ac:dyDescent="0.2">
      <c r="A373" s="1" t="s">
        <v>382</v>
      </c>
      <c r="B373" s="1" t="str">
        <f>VLOOKUP(Table7[[#This Row],[Student_ID]],student_data[#All],2,0)</f>
        <v>Information Technology</v>
      </c>
      <c r="C373" s="1">
        <f>(VLOOKUP(Table7[[#This Row],[Student_ID]],student_data[],5,0)*5)+(VLOOKUP(Table7[[#This Row],[Student_ID]],student_data[],6,0)*3)+(VLOOKUP(Table7[[#This Row],[Student_ID]],student_skills[],6,0)*2)+(VLOOKUP(Table7[[#This Row],[Student_ID]],student_internships[],2,0)*5)</f>
        <v>59.8</v>
      </c>
      <c r="D373" s="1">
        <f>AVERAGE(VLOOKUP(Table7[[#This Row],[Student_ID]],student_skills[],3,0),VLOOKUP(Table7[[#This Row],[Student_ID]],student_skills[],4,0),VLOOKUP(Table7[[#This Row],[Student_ID]],student_skills[],5,0),VLOOKUP(Table7[[#This Row],[Student_ID]],student_skills[],6,0))</f>
        <v>7.25</v>
      </c>
      <c r="E373" s="1" t="str">
        <f>IF(VLOOKUP(Table7[[#This Row],[Student_ID]],student_internships[#All],2,0)&gt;1,"EXPERIENCED",IF(VLOOKUP(Table7[[#This Row],[Student_ID]],student_internships[#All],2,0)=1,"BEGINNER","NOT EXPERIENCED"))</f>
        <v>NOT EXPERIENCED</v>
      </c>
      <c r="F373" s="1">
        <f>VLOOKUP(Table7[[#This Row],[Student_ID]],student_data[],5,0)</f>
        <v>7.76</v>
      </c>
      <c r="G373" s="1">
        <f>VLOOKUP(Table7[[#This Row],[Student_ID]],student_data[#All],6,0)</f>
        <v>1</v>
      </c>
      <c r="H373" s="1">
        <f>VLOOKUP(Table7[[#This Row],[Student_ID]],student_internships[],2,0)</f>
        <v>0</v>
      </c>
      <c r="I373" s="1">
        <f>VLOOKUP(Table7[[#This Row],[Student_ID]],Placements!A373:E1372,5,0)</f>
        <v>5.32</v>
      </c>
      <c r="J373" s="1" t="str">
        <f>IF(VLOOKUP(Table7[[#This Row],[Student_ID]],student_data[#All],5,0)&gt;8,"HIGH",IF(VLOOKUP(Table7[[#This Row],[Student_ID]],student_data[#All],5,0)&lt;6.5,"LOW","MEDIUM"))</f>
        <v>MEDIUM</v>
      </c>
    </row>
    <row r="374" spans="1:10" x14ac:dyDescent="0.2">
      <c r="A374" s="1" t="s">
        <v>383</v>
      </c>
      <c r="B374" s="1" t="str">
        <f>VLOOKUP(Table7[[#This Row],[Student_ID]],student_data[#All],2,0)</f>
        <v>Electronics</v>
      </c>
      <c r="C374" s="1">
        <f>(VLOOKUP(Table7[[#This Row],[Student_ID]],student_data[],5,0)*5)+(VLOOKUP(Table7[[#This Row],[Student_ID]],student_data[],6,0)*3)+(VLOOKUP(Table7[[#This Row],[Student_ID]],student_skills[],6,0)*2)+(VLOOKUP(Table7[[#This Row],[Student_ID]],student_internships[],2,0)*5)</f>
        <v>70.099999999999994</v>
      </c>
      <c r="D374" s="1">
        <f>AVERAGE(VLOOKUP(Table7[[#This Row],[Student_ID]],student_skills[],3,0),VLOOKUP(Table7[[#This Row],[Student_ID]],student_skills[],4,0),VLOOKUP(Table7[[#This Row],[Student_ID]],student_skills[],5,0),VLOOKUP(Table7[[#This Row],[Student_ID]],student_skills[],6,0))</f>
        <v>6</v>
      </c>
      <c r="E374" s="1" t="str">
        <f>IF(VLOOKUP(Table7[[#This Row],[Student_ID]],student_internships[#All],2,0)&gt;1,"EXPERIENCED",IF(VLOOKUP(Table7[[#This Row],[Student_ID]],student_internships[#All],2,0)=1,"BEGINNER","NOT EXPERIENCED"))</f>
        <v>NOT EXPERIENCED</v>
      </c>
      <c r="F374" s="1">
        <f>VLOOKUP(Table7[[#This Row],[Student_ID]],student_data[],5,0)</f>
        <v>9.02</v>
      </c>
      <c r="G374" s="1">
        <f>VLOOKUP(Table7[[#This Row],[Student_ID]],student_data[#All],6,0)</f>
        <v>3</v>
      </c>
      <c r="H374" s="1">
        <f>VLOOKUP(Table7[[#This Row],[Student_ID]],student_internships[],2,0)</f>
        <v>0</v>
      </c>
      <c r="I374" s="1">
        <f>VLOOKUP(Table7[[#This Row],[Student_ID]],Placements!A374:E1373,5,0)</f>
        <v>0</v>
      </c>
      <c r="J374" s="1" t="str">
        <f>IF(VLOOKUP(Table7[[#This Row],[Student_ID]],student_data[#All],5,0)&gt;8,"HIGH",IF(VLOOKUP(Table7[[#This Row],[Student_ID]],student_data[#All],5,0)&lt;6.5,"LOW","MEDIUM"))</f>
        <v>HIGH</v>
      </c>
    </row>
    <row r="375" spans="1:10" x14ac:dyDescent="0.2">
      <c r="A375" s="1" t="s">
        <v>384</v>
      </c>
      <c r="B375" s="1" t="str">
        <f>VLOOKUP(Table7[[#This Row],[Student_ID]],student_data[#All],2,0)</f>
        <v>Civil</v>
      </c>
      <c r="C375" s="1">
        <f>(VLOOKUP(Table7[[#This Row],[Student_ID]],student_data[],5,0)*5)+(VLOOKUP(Table7[[#This Row],[Student_ID]],student_data[],6,0)*3)+(VLOOKUP(Table7[[#This Row],[Student_ID]],student_skills[],6,0)*2)+(VLOOKUP(Table7[[#This Row],[Student_ID]],student_internships[],2,0)*5)</f>
        <v>48.150000000000006</v>
      </c>
      <c r="D375" s="1">
        <f>AVERAGE(VLOOKUP(Table7[[#This Row],[Student_ID]],student_skills[],3,0),VLOOKUP(Table7[[#This Row],[Student_ID]],student_skills[],4,0),VLOOKUP(Table7[[#This Row],[Student_ID]],student_skills[],5,0),VLOOKUP(Table7[[#This Row],[Student_ID]],student_skills[],6,0))</f>
        <v>5.25</v>
      </c>
      <c r="E375" s="1" t="str">
        <f>IF(VLOOKUP(Table7[[#This Row],[Student_ID]],student_internships[#All],2,0)&gt;1,"EXPERIENCED",IF(VLOOKUP(Table7[[#This Row],[Student_ID]],student_internships[#All],2,0)=1,"BEGINNER","NOT EXPERIENCED"))</f>
        <v>NOT EXPERIENCED</v>
      </c>
      <c r="F375" s="1">
        <f>VLOOKUP(Table7[[#This Row],[Student_ID]],student_data[],5,0)</f>
        <v>5.23</v>
      </c>
      <c r="G375" s="1">
        <f>VLOOKUP(Table7[[#This Row],[Student_ID]],student_data[#All],6,0)</f>
        <v>2</v>
      </c>
      <c r="H375" s="1">
        <f>VLOOKUP(Table7[[#This Row],[Student_ID]],student_internships[],2,0)</f>
        <v>0</v>
      </c>
      <c r="I375" s="1">
        <f>VLOOKUP(Table7[[#This Row],[Student_ID]],Placements!A375:E1374,5,0)</f>
        <v>0</v>
      </c>
      <c r="J375" s="1" t="str">
        <f>IF(VLOOKUP(Table7[[#This Row],[Student_ID]],student_data[#All],5,0)&gt;8,"HIGH",IF(VLOOKUP(Table7[[#This Row],[Student_ID]],student_data[#All],5,0)&lt;6.5,"LOW","MEDIUM"))</f>
        <v>LOW</v>
      </c>
    </row>
    <row r="376" spans="1:10" x14ac:dyDescent="0.2">
      <c r="A376" s="1" t="s">
        <v>385</v>
      </c>
      <c r="B376" s="1" t="str">
        <f>VLOOKUP(Table7[[#This Row],[Student_ID]],student_data[#All],2,0)</f>
        <v>Electronics</v>
      </c>
      <c r="C376" s="1">
        <f>(VLOOKUP(Table7[[#This Row],[Student_ID]],student_data[],5,0)*5)+(VLOOKUP(Table7[[#This Row],[Student_ID]],student_data[],6,0)*3)+(VLOOKUP(Table7[[#This Row],[Student_ID]],student_skills[],6,0)*2)+(VLOOKUP(Table7[[#This Row],[Student_ID]],student_internships[],2,0)*5)</f>
        <v>74.199999999999989</v>
      </c>
      <c r="D376" s="1">
        <f>AVERAGE(VLOOKUP(Table7[[#This Row],[Student_ID]],student_skills[],3,0),VLOOKUP(Table7[[#This Row],[Student_ID]],student_skills[],4,0),VLOOKUP(Table7[[#This Row],[Student_ID]],student_skills[],5,0),VLOOKUP(Table7[[#This Row],[Student_ID]],student_skills[],6,0))</f>
        <v>5.75</v>
      </c>
      <c r="E376" s="1" t="str">
        <f>IF(VLOOKUP(Table7[[#This Row],[Student_ID]],student_internships[#All],2,0)&gt;1,"EXPERIENCED",IF(VLOOKUP(Table7[[#This Row],[Student_ID]],student_internships[#All],2,0)=1,"BEGINNER","NOT EXPERIENCED"))</f>
        <v>NOT EXPERIENCED</v>
      </c>
      <c r="F376" s="1">
        <f>VLOOKUP(Table7[[#This Row],[Student_ID]],student_data[],5,0)</f>
        <v>9.0399999999999991</v>
      </c>
      <c r="G376" s="1">
        <f>VLOOKUP(Table7[[#This Row],[Student_ID]],student_data[#All],6,0)</f>
        <v>5</v>
      </c>
      <c r="H376" s="1">
        <f>VLOOKUP(Table7[[#This Row],[Student_ID]],student_internships[],2,0)</f>
        <v>0</v>
      </c>
      <c r="I376" s="1">
        <f>VLOOKUP(Table7[[#This Row],[Student_ID]],Placements!A376:E1375,5,0)</f>
        <v>3.71</v>
      </c>
      <c r="J376" s="1" t="str">
        <f>IF(VLOOKUP(Table7[[#This Row],[Student_ID]],student_data[#All],5,0)&gt;8,"HIGH",IF(VLOOKUP(Table7[[#This Row],[Student_ID]],student_data[#All],5,0)&lt;6.5,"LOW","MEDIUM"))</f>
        <v>HIGH</v>
      </c>
    </row>
    <row r="377" spans="1:10" x14ac:dyDescent="0.2">
      <c r="A377" s="1" t="s">
        <v>386</v>
      </c>
      <c r="B377" s="1" t="str">
        <f>VLOOKUP(Table7[[#This Row],[Student_ID]],student_data[#All],2,0)</f>
        <v>Mechanical</v>
      </c>
      <c r="C377" s="1">
        <f>(VLOOKUP(Table7[[#This Row],[Student_ID]],student_data[],5,0)*5)+(VLOOKUP(Table7[[#This Row],[Student_ID]],student_data[],6,0)*3)+(VLOOKUP(Table7[[#This Row],[Student_ID]],student_skills[],6,0)*2)+(VLOOKUP(Table7[[#This Row],[Student_ID]],student_internships[],2,0)*5)</f>
        <v>48.45</v>
      </c>
      <c r="D377" s="1">
        <f>AVERAGE(VLOOKUP(Table7[[#This Row],[Student_ID]],student_skills[],3,0),VLOOKUP(Table7[[#This Row],[Student_ID]],student_skills[],4,0),VLOOKUP(Table7[[#This Row],[Student_ID]],student_skills[],5,0),VLOOKUP(Table7[[#This Row],[Student_ID]],student_skills[],6,0))</f>
        <v>5.5</v>
      </c>
      <c r="E377" s="1" t="str">
        <f>IF(VLOOKUP(Table7[[#This Row],[Student_ID]],student_internships[#All],2,0)&gt;1,"EXPERIENCED",IF(VLOOKUP(Table7[[#This Row],[Student_ID]],student_internships[#All],2,0)=1,"BEGINNER","NOT EXPERIENCED"))</f>
        <v>BEGINNER</v>
      </c>
      <c r="F377" s="1">
        <f>VLOOKUP(Table7[[#This Row],[Student_ID]],student_data[],5,0)</f>
        <v>5.89</v>
      </c>
      <c r="G377" s="1">
        <f>VLOOKUP(Table7[[#This Row],[Student_ID]],student_data[#All],6,0)</f>
        <v>2</v>
      </c>
      <c r="H377" s="1">
        <f>VLOOKUP(Table7[[#This Row],[Student_ID]],student_internships[],2,0)</f>
        <v>1</v>
      </c>
      <c r="I377" s="1">
        <f>VLOOKUP(Table7[[#This Row],[Student_ID]],Placements!A377:E1376,5,0)</f>
        <v>3.87</v>
      </c>
      <c r="J377" s="1" t="str">
        <f>IF(VLOOKUP(Table7[[#This Row],[Student_ID]],student_data[#All],5,0)&gt;8,"HIGH",IF(VLOOKUP(Table7[[#This Row],[Student_ID]],student_data[#All],5,0)&lt;6.5,"LOW","MEDIUM"))</f>
        <v>LOW</v>
      </c>
    </row>
    <row r="378" spans="1:10" x14ac:dyDescent="0.2">
      <c r="A378" s="1" t="s">
        <v>387</v>
      </c>
      <c r="B378" s="1" t="str">
        <f>VLOOKUP(Table7[[#This Row],[Student_ID]],student_data[#All],2,0)</f>
        <v>Computer Science</v>
      </c>
      <c r="C378" s="1">
        <f>(VLOOKUP(Table7[[#This Row],[Student_ID]],student_data[],5,0)*5)+(VLOOKUP(Table7[[#This Row],[Student_ID]],student_data[],6,0)*3)+(VLOOKUP(Table7[[#This Row],[Student_ID]],student_skills[],6,0)*2)+(VLOOKUP(Table7[[#This Row],[Student_ID]],student_internships[],2,0)*5)</f>
        <v>50.85</v>
      </c>
      <c r="D378" s="1">
        <f>AVERAGE(VLOOKUP(Table7[[#This Row],[Student_ID]],student_skills[],3,0),VLOOKUP(Table7[[#This Row],[Student_ID]],student_skills[],4,0),VLOOKUP(Table7[[#This Row],[Student_ID]],student_skills[],5,0),VLOOKUP(Table7[[#This Row],[Student_ID]],student_skills[],6,0))</f>
        <v>5</v>
      </c>
      <c r="E378" s="1" t="str">
        <f>IF(VLOOKUP(Table7[[#This Row],[Student_ID]],student_internships[#All],2,0)&gt;1,"EXPERIENCED",IF(VLOOKUP(Table7[[#This Row],[Student_ID]],student_internships[#All],2,0)=1,"BEGINNER","NOT EXPERIENCED"))</f>
        <v>NOT EXPERIENCED</v>
      </c>
      <c r="F378" s="1">
        <f>VLOOKUP(Table7[[#This Row],[Student_ID]],student_data[],5,0)</f>
        <v>7.57</v>
      </c>
      <c r="G378" s="1">
        <f>VLOOKUP(Table7[[#This Row],[Student_ID]],student_data[#All],6,0)</f>
        <v>3</v>
      </c>
      <c r="H378" s="1">
        <f>VLOOKUP(Table7[[#This Row],[Student_ID]],student_internships[],2,0)</f>
        <v>0</v>
      </c>
      <c r="I378" s="1">
        <f>VLOOKUP(Table7[[#This Row],[Student_ID]],Placements!A378:E1377,5,0)</f>
        <v>5.74</v>
      </c>
      <c r="J378" s="1" t="str">
        <f>IF(VLOOKUP(Table7[[#This Row],[Student_ID]],student_data[#All],5,0)&gt;8,"HIGH",IF(VLOOKUP(Table7[[#This Row],[Student_ID]],student_data[#All],5,0)&lt;6.5,"LOW","MEDIUM"))</f>
        <v>MEDIUM</v>
      </c>
    </row>
    <row r="379" spans="1:10" x14ac:dyDescent="0.2">
      <c r="A379" s="1" t="s">
        <v>388</v>
      </c>
      <c r="B379" s="1" t="str">
        <f>VLOOKUP(Table7[[#This Row],[Student_ID]],student_data[#All],2,0)</f>
        <v>Mechanical</v>
      </c>
      <c r="C379" s="1">
        <f>(VLOOKUP(Table7[[#This Row],[Student_ID]],student_data[],5,0)*5)+(VLOOKUP(Table7[[#This Row],[Student_ID]],student_data[],6,0)*3)+(VLOOKUP(Table7[[#This Row],[Student_ID]],student_skills[],6,0)*2)+(VLOOKUP(Table7[[#This Row],[Student_ID]],student_internships[],2,0)*5)</f>
        <v>56.199999999999996</v>
      </c>
      <c r="D379" s="1">
        <f>AVERAGE(VLOOKUP(Table7[[#This Row],[Student_ID]],student_skills[],3,0),VLOOKUP(Table7[[#This Row],[Student_ID]],student_skills[],4,0),VLOOKUP(Table7[[#This Row],[Student_ID]],student_skills[],5,0),VLOOKUP(Table7[[#This Row],[Student_ID]],student_skills[],6,0))</f>
        <v>7.5</v>
      </c>
      <c r="E379" s="1" t="str">
        <f>IF(VLOOKUP(Table7[[#This Row],[Student_ID]],student_internships[#All],2,0)&gt;1,"EXPERIENCED",IF(VLOOKUP(Table7[[#This Row],[Student_ID]],student_internships[#All],2,0)=1,"BEGINNER","NOT EXPERIENCED"))</f>
        <v>BEGINNER</v>
      </c>
      <c r="F379" s="1">
        <f>VLOOKUP(Table7[[#This Row],[Student_ID]],student_data[],5,0)</f>
        <v>9.0399999999999991</v>
      </c>
      <c r="G379" s="1">
        <f>VLOOKUP(Table7[[#This Row],[Student_ID]],student_data[#All],6,0)</f>
        <v>0</v>
      </c>
      <c r="H379" s="1">
        <f>VLOOKUP(Table7[[#This Row],[Student_ID]],student_internships[],2,0)</f>
        <v>1</v>
      </c>
      <c r="I379" s="1">
        <f>VLOOKUP(Table7[[#This Row],[Student_ID]],Placements!A379:E1378,5,0)</f>
        <v>0</v>
      </c>
      <c r="J379" s="1" t="str">
        <f>IF(VLOOKUP(Table7[[#This Row],[Student_ID]],student_data[#All],5,0)&gt;8,"HIGH",IF(VLOOKUP(Table7[[#This Row],[Student_ID]],student_data[#All],5,0)&lt;6.5,"LOW","MEDIUM"))</f>
        <v>HIGH</v>
      </c>
    </row>
    <row r="380" spans="1:10" x14ac:dyDescent="0.2">
      <c r="A380" s="1" t="s">
        <v>389</v>
      </c>
      <c r="B380" s="1" t="str">
        <f>VLOOKUP(Table7[[#This Row],[Student_ID]],student_data[#All],2,0)</f>
        <v>Civil</v>
      </c>
      <c r="C380" s="1">
        <f>(VLOOKUP(Table7[[#This Row],[Student_ID]],student_data[],5,0)*5)+(VLOOKUP(Table7[[#This Row],[Student_ID]],student_data[],6,0)*3)+(VLOOKUP(Table7[[#This Row],[Student_ID]],student_skills[],6,0)*2)+(VLOOKUP(Table7[[#This Row],[Student_ID]],student_internships[],2,0)*5)</f>
        <v>56.349999999999994</v>
      </c>
      <c r="D380" s="1">
        <f>AVERAGE(VLOOKUP(Table7[[#This Row],[Student_ID]],student_skills[],3,0),VLOOKUP(Table7[[#This Row],[Student_ID]],student_skills[],4,0),VLOOKUP(Table7[[#This Row],[Student_ID]],student_skills[],5,0),VLOOKUP(Table7[[#This Row],[Student_ID]],student_skills[],6,0))</f>
        <v>5</v>
      </c>
      <c r="E380" s="1" t="str">
        <f>IF(VLOOKUP(Table7[[#This Row],[Student_ID]],student_internships[#All],2,0)&gt;1,"EXPERIENCED",IF(VLOOKUP(Table7[[#This Row],[Student_ID]],student_internships[#All],2,0)=1,"BEGINNER","NOT EXPERIENCED"))</f>
        <v>EXPERIENCED</v>
      </c>
      <c r="F380" s="1">
        <f>VLOOKUP(Table7[[#This Row],[Student_ID]],student_data[],5,0)</f>
        <v>6.27</v>
      </c>
      <c r="G380" s="1">
        <f>VLOOKUP(Table7[[#This Row],[Student_ID]],student_data[#All],6,0)</f>
        <v>1</v>
      </c>
      <c r="H380" s="1">
        <f>VLOOKUP(Table7[[#This Row],[Student_ID]],student_internships[],2,0)</f>
        <v>2</v>
      </c>
      <c r="I380" s="1">
        <f>VLOOKUP(Table7[[#This Row],[Student_ID]],Placements!A380:E1379,5,0)</f>
        <v>0</v>
      </c>
      <c r="J380" s="1" t="str">
        <f>IF(VLOOKUP(Table7[[#This Row],[Student_ID]],student_data[#All],5,0)&gt;8,"HIGH",IF(VLOOKUP(Table7[[#This Row],[Student_ID]],student_data[#All],5,0)&lt;6.5,"LOW","MEDIUM"))</f>
        <v>LOW</v>
      </c>
    </row>
    <row r="381" spans="1:10" x14ac:dyDescent="0.2">
      <c r="A381" s="1" t="s">
        <v>390</v>
      </c>
      <c r="B381" s="1" t="str">
        <f>VLOOKUP(Table7[[#This Row],[Student_ID]],student_data[#All],2,0)</f>
        <v>Electronics</v>
      </c>
      <c r="C381" s="1">
        <f>(VLOOKUP(Table7[[#This Row],[Student_ID]],student_data[],5,0)*5)+(VLOOKUP(Table7[[#This Row],[Student_ID]],student_data[],6,0)*3)+(VLOOKUP(Table7[[#This Row],[Student_ID]],student_skills[],6,0)*2)+(VLOOKUP(Table7[[#This Row],[Student_ID]],student_internships[],2,0)*5)</f>
        <v>44.150000000000006</v>
      </c>
      <c r="D381" s="1">
        <f>AVERAGE(VLOOKUP(Table7[[#This Row],[Student_ID]],student_skills[],3,0),VLOOKUP(Table7[[#This Row],[Student_ID]],student_skills[],4,0),VLOOKUP(Table7[[#This Row],[Student_ID]],student_skills[],5,0),VLOOKUP(Table7[[#This Row],[Student_ID]],student_skills[],6,0))</f>
        <v>5</v>
      </c>
      <c r="E381" s="1" t="str">
        <f>IF(VLOOKUP(Table7[[#This Row],[Student_ID]],student_internships[#All],2,0)&gt;1,"EXPERIENCED",IF(VLOOKUP(Table7[[#This Row],[Student_ID]],student_internships[#All],2,0)=1,"BEGINNER","NOT EXPERIENCED"))</f>
        <v>NOT EXPERIENCED</v>
      </c>
      <c r="F381" s="1">
        <f>VLOOKUP(Table7[[#This Row],[Student_ID]],student_data[],5,0)</f>
        <v>6.23</v>
      </c>
      <c r="G381" s="1">
        <f>VLOOKUP(Table7[[#This Row],[Student_ID]],student_data[#All],6,0)</f>
        <v>1</v>
      </c>
      <c r="H381" s="1">
        <f>VLOOKUP(Table7[[#This Row],[Student_ID]],student_internships[],2,0)</f>
        <v>0</v>
      </c>
      <c r="I381" s="1">
        <f>VLOOKUP(Table7[[#This Row],[Student_ID]],Placements!A381:E1380,5,0)</f>
        <v>6.17</v>
      </c>
      <c r="J381" s="1" t="str">
        <f>IF(VLOOKUP(Table7[[#This Row],[Student_ID]],student_data[#All],5,0)&gt;8,"HIGH",IF(VLOOKUP(Table7[[#This Row],[Student_ID]],student_data[#All],5,0)&lt;6.5,"LOW","MEDIUM"))</f>
        <v>LOW</v>
      </c>
    </row>
    <row r="382" spans="1:10" x14ac:dyDescent="0.2">
      <c r="A382" s="1" t="s">
        <v>391</v>
      </c>
      <c r="B382" s="1" t="str">
        <f>VLOOKUP(Table7[[#This Row],[Student_ID]],student_data[#All],2,0)</f>
        <v>Electronics</v>
      </c>
      <c r="C382" s="1">
        <f>(VLOOKUP(Table7[[#This Row],[Student_ID]],student_data[],5,0)*5)+(VLOOKUP(Table7[[#This Row],[Student_ID]],student_data[],6,0)*3)+(VLOOKUP(Table7[[#This Row],[Student_ID]],student_skills[],6,0)*2)+(VLOOKUP(Table7[[#This Row],[Student_ID]],student_internships[],2,0)*5)</f>
        <v>61.05</v>
      </c>
      <c r="D382" s="1">
        <f>AVERAGE(VLOOKUP(Table7[[#This Row],[Student_ID]],student_skills[],3,0),VLOOKUP(Table7[[#This Row],[Student_ID]],student_skills[],4,0),VLOOKUP(Table7[[#This Row],[Student_ID]],student_skills[],5,0),VLOOKUP(Table7[[#This Row],[Student_ID]],student_skills[],6,0))</f>
        <v>8.5</v>
      </c>
      <c r="E382" s="1" t="str">
        <f>IF(VLOOKUP(Table7[[#This Row],[Student_ID]],student_internships[#All],2,0)&gt;1,"EXPERIENCED",IF(VLOOKUP(Table7[[#This Row],[Student_ID]],student_internships[#All],2,0)=1,"BEGINNER","NOT EXPERIENCED"))</f>
        <v>EXPERIENCED</v>
      </c>
      <c r="F382" s="1">
        <f>VLOOKUP(Table7[[#This Row],[Student_ID]],student_data[],5,0)</f>
        <v>7.01</v>
      </c>
      <c r="G382" s="1">
        <f>VLOOKUP(Table7[[#This Row],[Student_ID]],student_data[#All],6,0)</f>
        <v>0</v>
      </c>
      <c r="H382" s="1">
        <f>VLOOKUP(Table7[[#This Row],[Student_ID]],student_internships[],2,0)</f>
        <v>2</v>
      </c>
      <c r="I382" s="1">
        <f>VLOOKUP(Table7[[#This Row],[Student_ID]],Placements!A382:E1381,5,0)</f>
        <v>5.85</v>
      </c>
      <c r="J382" s="1" t="str">
        <f>IF(VLOOKUP(Table7[[#This Row],[Student_ID]],student_data[#All],5,0)&gt;8,"HIGH",IF(VLOOKUP(Table7[[#This Row],[Student_ID]],student_data[#All],5,0)&lt;6.5,"LOW","MEDIUM"))</f>
        <v>MEDIUM</v>
      </c>
    </row>
    <row r="383" spans="1:10" x14ac:dyDescent="0.2">
      <c r="A383" s="1" t="s">
        <v>392</v>
      </c>
      <c r="B383" s="1" t="str">
        <f>VLOOKUP(Table7[[#This Row],[Student_ID]],student_data[#All],2,0)</f>
        <v>Information Technology</v>
      </c>
      <c r="C383" s="1">
        <f>(VLOOKUP(Table7[[#This Row],[Student_ID]],student_data[],5,0)*5)+(VLOOKUP(Table7[[#This Row],[Student_ID]],student_data[],6,0)*3)+(VLOOKUP(Table7[[#This Row],[Student_ID]],student_skills[],6,0)*2)+(VLOOKUP(Table7[[#This Row],[Student_ID]],student_internships[],2,0)*5)</f>
        <v>68.349999999999994</v>
      </c>
      <c r="D383" s="1">
        <f>AVERAGE(VLOOKUP(Table7[[#This Row],[Student_ID]],student_skills[],3,0),VLOOKUP(Table7[[#This Row],[Student_ID]],student_skills[],4,0),VLOOKUP(Table7[[#This Row],[Student_ID]],student_skills[],5,0),VLOOKUP(Table7[[#This Row],[Student_ID]],student_skills[],6,0))</f>
        <v>6.5</v>
      </c>
      <c r="E383" s="1" t="str">
        <f>IF(VLOOKUP(Table7[[#This Row],[Student_ID]],student_internships[#All],2,0)&gt;1,"EXPERIENCED",IF(VLOOKUP(Table7[[#This Row],[Student_ID]],student_internships[#All],2,0)=1,"BEGINNER","NOT EXPERIENCED"))</f>
        <v>NOT EXPERIENCED</v>
      </c>
      <c r="F383" s="1">
        <f>VLOOKUP(Table7[[#This Row],[Student_ID]],student_data[],5,0)</f>
        <v>9.4700000000000006</v>
      </c>
      <c r="G383" s="1">
        <f>VLOOKUP(Table7[[#This Row],[Student_ID]],student_data[#All],6,0)</f>
        <v>3</v>
      </c>
      <c r="H383" s="1">
        <f>VLOOKUP(Table7[[#This Row],[Student_ID]],student_internships[],2,0)</f>
        <v>0</v>
      </c>
      <c r="I383" s="1">
        <f>VLOOKUP(Table7[[#This Row],[Student_ID]],Placements!A383:E1382,5,0)</f>
        <v>0</v>
      </c>
      <c r="J383" s="1" t="str">
        <f>IF(VLOOKUP(Table7[[#This Row],[Student_ID]],student_data[#All],5,0)&gt;8,"HIGH",IF(VLOOKUP(Table7[[#This Row],[Student_ID]],student_data[#All],5,0)&lt;6.5,"LOW","MEDIUM"))</f>
        <v>HIGH</v>
      </c>
    </row>
    <row r="384" spans="1:10" x14ac:dyDescent="0.2">
      <c r="A384" s="1" t="s">
        <v>393</v>
      </c>
      <c r="B384" s="1" t="str">
        <f>VLOOKUP(Table7[[#This Row],[Student_ID]],student_data[#All],2,0)</f>
        <v>Electronics</v>
      </c>
      <c r="C384" s="1">
        <f>(VLOOKUP(Table7[[#This Row],[Student_ID]],student_data[],5,0)*5)+(VLOOKUP(Table7[[#This Row],[Student_ID]],student_data[],6,0)*3)+(VLOOKUP(Table7[[#This Row],[Student_ID]],student_skills[],6,0)*2)+(VLOOKUP(Table7[[#This Row],[Student_ID]],student_internships[],2,0)*5)</f>
        <v>40</v>
      </c>
      <c r="D384" s="1">
        <f>AVERAGE(VLOOKUP(Table7[[#This Row],[Student_ID]],student_skills[],3,0),VLOOKUP(Table7[[#This Row],[Student_ID]],student_skills[],4,0),VLOOKUP(Table7[[#This Row],[Student_ID]],student_skills[],5,0),VLOOKUP(Table7[[#This Row],[Student_ID]],student_skills[],6,0))</f>
        <v>5.75</v>
      </c>
      <c r="E384" s="1" t="str">
        <f>IF(VLOOKUP(Table7[[#This Row],[Student_ID]],student_internships[#All],2,0)&gt;1,"EXPERIENCED",IF(VLOOKUP(Table7[[#This Row],[Student_ID]],student_internships[#All],2,0)=1,"BEGINNER","NOT EXPERIENCED"))</f>
        <v>NOT EXPERIENCED</v>
      </c>
      <c r="F384" s="1">
        <f>VLOOKUP(Table7[[#This Row],[Student_ID]],student_data[],5,0)</f>
        <v>5</v>
      </c>
      <c r="G384" s="1">
        <f>VLOOKUP(Table7[[#This Row],[Student_ID]],student_data[#All],6,0)</f>
        <v>1</v>
      </c>
      <c r="H384" s="1">
        <f>VLOOKUP(Table7[[#This Row],[Student_ID]],student_internships[],2,0)</f>
        <v>0</v>
      </c>
      <c r="I384" s="1">
        <f>VLOOKUP(Table7[[#This Row],[Student_ID]],Placements!A384:E1383,5,0)</f>
        <v>3.99</v>
      </c>
      <c r="J384" s="1" t="str">
        <f>IF(VLOOKUP(Table7[[#This Row],[Student_ID]],student_data[#All],5,0)&gt;8,"HIGH",IF(VLOOKUP(Table7[[#This Row],[Student_ID]],student_data[#All],5,0)&lt;6.5,"LOW","MEDIUM"))</f>
        <v>LOW</v>
      </c>
    </row>
    <row r="385" spans="1:10" x14ac:dyDescent="0.2">
      <c r="A385" s="1" t="s">
        <v>394</v>
      </c>
      <c r="B385" s="1" t="str">
        <f>VLOOKUP(Table7[[#This Row],[Student_ID]],student_data[#All],2,0)</f>
        <v>Information Technology</v>
      </c>
      <c r="C385" s="1">
        <f>(VLOOKUP(Table7[[#This Row],[Student_ID]],student_data[],5,0)*5)+(VLOOKUP(Table7[[#This Row],[Student_ID]],student_data[],6,0)*3)+(VLOOKUP(Table7[[#This Row],[Student_ID]],student_skills[],6,0)*2)+(VLOOKUP(Table7[[#This Row],[Student_ID]],student_internships[],2,0)*5)</f>
        <v>63.55</v>
      </c>
      <c r="D385" s="1">
        <f>AVERAGE(VLOOKUP(Table7[[#This Row],[Student_ID]],student_skills[],3,0),VLOOKUP(Table7[[#This Row],[Student_ID]],student_skills[],4,0),VLOOKUP(Table7[[#This Row],[Student_ID]],student_skills[],5,0),VLOOKUP(Table7[[#This Row],[Student_ID]],student_skills[],6,0))</f>
        <v>4.5</v>
      </c>
      <c r="E385" s="1" t="str">
        <f>IF(VLOOKUP(Table7[[#This Row],[Student_ID]],student_internships[#All],2,0)&gt;1,"EXPERIENCED",IF(VLOOKUP(Table7[[#This Row],[Student_ID]],student_internships[#All],2,0)=1,"BEGINNER","NOT EXPERIENCED"))</f>
        <v>BEGINNER</v>
      </c>
      <c r="F385" s="1">
        <f>VLOOKUP(Table7[[#This Row],[Student_ID]],student_data[],5,0)</f>
        <v>9.51</v>
      </c>
      <c r="G385" s="1">
        <f>VLOOKUP(Table7[[#This Row],[Student_ID]],student_data[#All],6,0)</f>
        <v>3</v>
      </c>
      <c r="H385" s="1">
        <f>VLOOKUP(Table7[[#This Row],[Student_ID]],student_internships[],2,0)</f>
        <v>1</v>
      </c>
      <c r="I385" s="1">
        <f>VLOOKUP(Table7[[#This Row],[Student_ID]],Placements!A385:E1384,5,0)</f>
        <v>0</v>
      </c>
      <c r="J385" s="1" t="str">
        <f>IF(VLOOKUP(Table7[[#This Row],[Student_ID]],student_data[#All],5,0)&gt;8,"HIGH",IF(VLOOKUP(Table7[[#This Row],[Student_ID]],student_data[#All],5,0)&lt;6.5,"LOW","MEDIUM"))</f>
        <v>HIGH</v>
      </c>
    </row>
    <row r="386" spans="1:10" x14ac:dyDescent="0.2">
      <c r="A386" s="1" t="s">
        <v>395</v>
      </c>
      <c r="B386" s="1" t="str">
        <f>VLOOKUP(Table7[[#This Row],[Student_ID]],student_data[#All],2,0)</f>
        <v>Computer Science</v>
      </c>
      <c r="C386" s="1">
        <f>(VLOOKUP(Table7[[#This Row],[Student_ID]],student_data[],5,0)*5)+(VLOOKUP(Table7[[#This Row],[Student_ID]],student_data[],6,0)*3)+(VLOOKUP(Table7[[#This Row],[Student_ID]],student_skills[],6,0)*2)+(VLOOKUP(Table7[[#This Row],[Student_ID]],student_internships[],2,0)*5)</f>
        <v>56.849999999999994</v>
      </c>
      <c r="D386" s="1">
        <f>AVERAGE(VLOOKUP(Table7[[#This Row],[Student_ID]],student_skills[],3,0),VLOOKUP(Table7[[#This Row],[Student_ID]],student_skills[],4,0),VLOOKUP(Table7[[#This Row],[Student_ID]],student_skills[],5,0),VLOOKUP(Table7[[#This Row],[Student_ID]],student_skills[],6,0))</f>
        <v>3.5</v>
      </c>
      <c r="E386" s="1" t="str">
        <f>IF(VLOOKUP(Table7[[#This Row],[Student_ID]],student_internships[#All],2,0)&gt;1,"EXPERIENCED",IF(VLOOKUP(Table7[[#This Row],[Student_ID]],student_internships[#All],2,0)=1,"BEGINNER","NOT EXPERIENCED"))</f>
        <v>BEGINNER</v>
      </c>
      <c r="F386" s="1">
        <f>VLOOKUP(Table7[[#This Row],[Student_ID]],student_data[],5,0)</f>
        <v>5.77</v>
      </c>
      <c r="G386" s="1">
        <f>VLOOKUP(Table7[[#This Row],[Student_ID]],student_data[#All],6,0)</f>
        <v>5</v>
      </c>
      <c r="H386" s="1">
        <f>VLOOKUP(Table7[[#This Row],[Student_ID]],student_internships[],2,0)</f>
        <v>1</v>
      </c>
      <c r="I386" s="1">
        <f>VLOOKUP(Table7[[#This Row],[Student_ID]],Placements!A386:E1385,5,0)</f>
        <v>4.1900000000000004</v>
      </c>
      <c r="J386" s="1" t="str">
        <f>IF(VLOOKUP(Table7[[#This Row],[Student_ID]],student_data[#All],5,0)&gt;8,"HIGH",IF(VLOOKUP(Table7[[#This Row],[Student_ID]],student_data[#All],5,0)&lt;6.5,"LOW","MEDIUM"))</f>
        <v>LOW</v>
      </c>
    </row>
    <row r="387" spans="1:10" x14ac:dyDescent="0.2">
      <c r="A387" s="1" t="s">
        <v>396</v>
      </c>
      <c r="B387" s="1" t="str">
        <f>VLOOKUP(Table7[[#This Row],[Student_ID]],student_data[#All],2,0)</f>
        <v>Civil</v>
      </c>
      <c r="C387" s="1">
        <f>(VLOOKUP(Table7[[#This Row],[Student_ID]],student_data[],5,0)*5)+(VLOOKUP(Table7[[#This Row],[Student_ID]],student_data[],6,0)*3)+(VLOOKUP(Table7[[#This Row],[Student_ID]],student_skills[],6,0)*2)+(VLOOKUP(Table7[[#This Row],[Student_ID]],student_internships[],2,0)*5)</f>
        <v>78.75</v>
      </c>
      <c r="D387" s="1">
        <f>AVERAGE(VLOOKUP(Table7[[#This Row],[Student_ID]],student_skills[],3,0),VLOOKUP(Table7[[#This Row],[Student_ID]],student_skills[],4,0),VLOOKUP(Table7[[#This Row],[Student_ID]],student_skills[],5,0),VLOOKUP(Table7[[#This Row],[Student_ID]],student_skills[],6,0))</f>
        <v>6.75</v>
      </c>
      <c r="E387" s="1" t="str">
        <f>IF(VLOOKUP(Table7[[#This Row],[Student_ID]],student_internships[#All],2,0)&gt;1,"EXPERIENCED",IF(VLOOKUP(Table7[[#This Row],[Student_ID]],student_internships[#All],2,0)=1,"BEGINNER","NOT EXPERIENCED"))</f>
        <v>EXPERIENCED</v>
      </c>
      <c r="F387" s="1">
        <f>VLOOKUP(Table7[[#This Row],[Student_ID]],student_data[],5,0)</f>
        <v>9.9499999999999993</v>
      </c>
      <c r="G387" s="1">
        <f>VLOOKUP(Table7[[#This Row],[Student_ID]],student_data[#All],6,0)</f>
        <v>3</v>
      </c>
      <c r="H387" s="1">
        <f>VLOOKUP(Table7[[#This Row],[Student_ID]],student_internships[],2,0)</f>
        <v>2</v>
      </c>
      <c r="I387" s="1">
        <f>VLOOKUP(Table7[[#This Row],[Student_ID]],Placements!A387:E1386,5,0)</f>
        <v>6.83</v>
      </c>
      <c r="J387" s="1" t="str">
        <f>IF(VLOOKUP(Table7[[#This Row],[Student_ID]],student_data[#All],5,0)&gt;8,"HIGH",IF(VLOOKUP(Table7[[#This Row],[Student_ID]],student_data[#All],5,0)&lt;6.5,"LOW","MEDIUM"))</f>
        <v>HIGH</v>
      </c>
    </row>
    <row r="388" spans="1:10" x14ac:dyDescent="0.2">
      <c r="A388" s="1" t="s">
        <v>397</v>
      </c>
      <c r="B388" s="1" t="str">
        <f>VLOOKUP(Table7[[#This Row],[Student_ID]],student_data[#All],2,0)</f>
        <v>Information Technology</v>
      </c>
      <c r="C388" s="1">
        <f>(VLOOKUP(Table7[[#This Row],[Student_ID]],student_data[],5,0)*5)+(VLOOKUP(Table7[[#This Row],[Student_ID]],student_data[],6,0)*3)+(VLOOKUP(Table7[[#This Row],[Student_ID]],student_skills[],6,0)*2)+(VLOOKUP(Table7[[#This Row],[Student_ID]],student_internships[],2,0)*5)</f>
        <v>70.849999999999994</v>
      </c>
      <c r="D388" s="1">
        <f>AVERAGE(VLOOKUP(Table7[[#This Row],[Student_ID]],student_skills[],3,0),VLOOKUP(Table7[[#This Row],[Student_ID]],student_skills[],4,0),VLOOKUP(Table7[[#This Row],[Student_ID]],student_skills[],5,0),VLOOKUP(Table7[[#This Row],[Student_ID]],student_skills[],6,0))</f>
        <v>4.5</v>
      </c>
      <c r="E388" s="1" t="str">
        <f>IF(VLOOKUP(Table7[[#This Row],[Student_ID]],student_internships[#All],2,0)&gt;1,"EXPERIENCED",IF(VLOOKUP(Table7[[#This Row],[Student_ID]],student_internships[#All],2,0)=1,"BEGINNER","NOT EXPERIENCED"))</f>
        <v>EXPERIENCED</v>
      </c>
      <c r="F388" s="1">
        <f>VLOOKUP(Table7[[#This Row],[Student_ID]],student_data[],5,0)</f>
        <v>9.77</v>
      </c>
      <c r="G388" s="1">
        <f>VLOOKUP(Table7[[#This Row],[Student_ID]],student_data[#All],6,0)</f>
        <v>2</v>
      </c>
      <c r="H388" s="1">
        <f>VLOOKUP(Table7[[#This Row],[Student_ID]],student_internships[],2,0)</f>
        <v>2</v>
      </c>
      <c r="I388" s="1">
        <f>VLOOKUP(Table7[[#This Row],[Student_ID]],Placements!A388:E1387,5,0)</f>
        <v>0</v>
      </c>
      <c r="J388" s="1" t="str">
        <f>IF(VLOOKUP(Table7[[#This Row],[Student_ID]],student_data[#All],5,0)&gt;8,"HIGH",IF(VLOOKUP(Table7[[#This Row],[Student_ID]],student_data[#All],5,0)&lt;6.5,"LOW","MEDIUM"))</f>
        <v>HIGH</v>
      </c>
    </row>
    <row r="389" spans="1:10" x14ac:dyDescent="0.2">
      <c r="A389" s="1" t="s">
        <v>398</v>
      </c>
      <c r="B389" s="1" t="str">
        <f>VLOOKUP(Table7[[#This Row],[Student_ID]],student_data[#All],2,0)</f>
        <v>Computer Science</v>
      </c>
      <c r="C389" s="1">
        <f>(VLOOKUP(Table7[[#This Row],[Student_ID]],student_data[],5,0)*5)+(VLOOKUP(Table7[[#This Row],[Student_ID]],student_data[],6,0)*3)+(VLOOKUP(Table7[[#This Row],[Student_ID]],student_skills[],6,0)*2)+(VLOOKUP(Table7[[#This Row],[Student_ID]],student_internships[],2,0)*5)</f>
        <v>65.349999999999994</v>
      </c>
      <c r="D389" s="1">
        <f>AVERAGE(VLOOKUP(Table7[[#This Row],[Student_ID]],student_skills[],3,0),VLOOKUP(Table7[[#This Row],[Student_ID]],student_skills[],4,0),VLOOKUP(Table7[[#This Row],[Student_ID]],student_skills[],5,0),VLOOKUP(Table7[[#This Row],[Student_ID]],student_skills[],6,0))</f>
        <v>6.75</v>
      </c>
      <c r="E389" s="1" t="str">
        <f>IF(VLOOKUP(Table7[[#This Row],[Student_ID]],student_internships[#All],2,0)&gt;1,"EXPERIENCED",IF(VLOOKUP(Table7[[#This Row],[Student_ID]],student_internships[#All],2,0)=1,"BEGINNER","NOT EXPERIENCED"))</f>
        <v>EXPERIENCED</v>
      </c>
      <c r="F389" s="1">
        <f>VLOOKUP(Table7[[#This Row],[Student_ID]],student_data[],5,0)</f>
        <v>7.47</v>
      </c>
      <c r="G389" s="1">
        <f>VLOOKUP(Table7[[#This Row],[Student_ID]],student_data[#All],6,0)</f>
        <v>0</v>
      </c>
      <c r="H389" s="1">
        <f>VLOOKUP(Table7[[#This Row],[Student_ID]],student_internships[],2,0)</f>
        <v>2</v>
      </c>
      <c r="I389" s="1">
        <f>VLOOKUP(Table7[[#This Row],[Student_ID]],Placements!A389:E1388,5,0)</f>
        <v>3.69</v>
      </c>
      <c r="J389" s="1" t="str">
        <f>IF(VLOOKUP(Table7[[#This Row],[Student_ID]],student_data[#All],5,0)&gt;8,"HIGH",IF(VLOOKUP(Table7[[#This Row],[Student_ID]],student_data[#All],5,0)&lt;6.5,"LOW","MEDIUM"))</f>
        <v>MEDIUM</v>
      </c>
    </row>
    <row r="390" spans="1:10" x14ac:dyDescent="0.2">
      <c r="A390" s="1" t="s">
        <v>399</v>
      </c>
      <c r="B390" s="1" t="str">
        <f>VLOOKUP(Table7[[#This Row],[Student_ID]],student_data[#All],2,0)</f>
        <v>Electronics</v>
      </c>
      <c r="C390" s="1">
        <f>(VLOOKUP(Table7[[#This Row],[Student_ID]],student_data[],5,0)*5)+(VLOOKUP(Table7[[#This Row],[Student_ID]],student_data[],6,0)*3)+(VLOOKUP(Table7[[#This Row],[Student_ID]],student_skills[],6,0)*2)+(VLOOKUP(Table7[[#This Row],[Student_ID]],student_internships[],2,0)*5)</f>
        <v>48.8</v>
      </c>
      <c r="D390" s="1">
        <f>AVERAGE(VLOOKUP(Table7[[#This Row],[Student_ID]],student_skills[],3,0),VLOOKUP(Table7[[#This Row],[Student_ID]],student_skills[],4,0),VLOOKUP(Table7[[#This Row],[Student_ID]],student_skills[],5,0),VLOOKUP(Table7[[#This Row],[Student_ID]],student_skills[],6,0))</f>
        <v>4.5</v>
      </c>
      <c r="E390" s="1" t="str">
        <f>IF(VLOOKUP(Table7[[#This Row],[Student_ID]],student_internships[#All],2,0)&gt;1,"EXPERIENCED",IF(VLOOKUP(Table7[[#This Row],[Student_ID]],student_internships[#All],2,0)=1,"BEGINNER","NOT EXPERIENCED"))</f>
        <v>NOT EXPERIENCED</v>
      </c>
      <c r="F390" s="1">
        <f>VLOOKUP(Table7[[#This Row],[Student_ID]],student_data[],5,0)</f>
        <v>7.56</v>
      </c>
      <c r="G390" s="1">
        <f>VLOOKUP(Table7[[#This Row],[Student_ID]],student_data[#All],6,0)</f>
        <v>3</v>
      </c>
      <c r="H390" s="1">
        <f>VLOOKUP(Table7[[#This Row],[Student_ID]],student_internships[],2,0)</f>
        <v>0</v>
      </c>
      <c r="I390" s="1">
        <f>VLOOKUP(Table7[[#This Row],[Student_ID]],Placements!A390:E1389,5,0)</f>
        <v>4.34</v>
      </c>
      <c r="J390" s="1" t="str">
        <f>IF(VLOOKUP(Table7[[#This Row],[Student_ID]],student_data[#All],5,0)&gt;8,"HIGH",IF(VLOOKUP(Table7[[#This Row],[Student_ID]],student_data[#All],5,0)&lt;6.5,"LOW","MEDIUM"))</f>
        <v>MEDIUM</v>
      </c>
    </row>
    <row r="391" spans="1:10" x14ac:dyDescent="0.2">
      <c r="A391" s="1" t="s">
        <v>400</v>
      </c>
      <c r="B391" s="1" t="str">
        <f>VLOOKUP(Table7[[#This Row],[Student_ID]],student_data[#All],2,0)</f>
        <v>Electronics</v>
      </c>
      <c r="C391" s="1">
        <f>(VLOOKUP(Table7[[#This Row],[Student_ID]],student_data[],5,0)*5)+(VLOOKUP(Table7[[#This Row],[Student_ID]],student_data[],6,0)*3)+(VLOOKUP(Table7[[#This Row],[Student_ID]],student_skills[],6,0)*2)+(VLOOKUP(Table7[[#This Row],[Student_ID]],student_internships[],2,0)*5)</f>
        <v>64.05</v>
      </c>
      <c r="D391" s="1">
        <f>AVERAGE(VLOOKUP(Table7[[#This Row],[Student_ID]],student_skills[],3,0),VLOOKUP(Table7[[#This Row],[Student_ID]],student_skills[],4,0),VLOOKUP(Table7[[#This Row],[Student_ID]],student_skills[],5,0),VLOOKUP(Table7[[#This Row],[Student_ID]],student_skills[],6,0))</f>
        <v>6.75</v>
      </c>
      <c r="E391" s="1" t="str">
        <f>IF(VLOOKUP(Table7[[#This Row],[Student_ID]],student_internships[#All],2,0)&gt;1,"EXPERIENCED",IF(VLOOKUP(Table7[[#This Row],[Student_ID]],student_internships[#All],2,0)=1,"BEGINNER","NOT EXPERIENCED"))</f>
        <v>NOT EXPERIENCED</v>
      </c>
      <c r="F391" s="1">
        <f>VLOOKUP(Table7[[#This Row],[Student_ID]],student_data[],5,0)</f>
        <v>7.41</v>
      </c>
      <c r="G391" s="1">
        <f>VLOOKUP(Table7[[#This Row],[Student_ID]],student_data[#All],6,0)</f>
        <v>5</v>
      </c>
      <c r="H391" s="1">
        <f>VLOOKUP(Table7[[#This Row],[Student_ID]],student_internships[],2,0)</f>
        <v>0</v>
      </c>
      <c r="I391" s="1">
        <f>VLOOKUP(Table7[[#This Row],[Student_ID]],Placements!A391:E1390,5,0)</f>
        <v>4.7</v>
      </c>
      <c r="J391" s="1" t="str">
        <f>IF(VLOOKUP(Table7[[#This Row],[Student_ID]],student_data[#All],5,0)&gt;8,"HIGH",IF(VLOOKUP(Table7[[#This Row],[Student_ID]],student_data[#All],5,0)&lt;6.5,"LOW","MEDIUM"))</f>
        <v>MEDIUM</v>
      </c>
    </row>
    <row r="392" spans="1:10" x14ac:dyDescent="0.2">
      <c r="A392" s="1" t="s">
        <v>401</v>
      </c>
      <c r="B392" s="1" t="str">
        <f>VLOOKUP(Table7[[#This Row],[Student_ID]],student_data[#All],2,0)</f>
        <v>Computer Science</v>
      </c>
      <c r="C392" s="1">
        <f>(VLOOKUP(Table7[[#This Row],[Student_ID]],student_data[],5,0)*5)+(VLOOKUP(Table7[[#This Row],[Student_ID]],student_data[],6,0)*3)+(VLOOKUP(Table7[[#This Row],[Student_ID]],student_skills[],6,0)*2)+(VLOOKUP(Table7[[#This Row],[Student_ID]],student_internships[],2,0)*5)</f>
        <v>74.900000000000006</v>
      </c>
      <c r="D392" s="1">
        <f>AVERAGE(VLOOKUP(Table7[[#This Row],[Student_ID]],student_skills[],3,0),VLOOKUP(Table7[[#This Row],[Student_ID]],student_skills[],4,0),VLOOKUP(Table7[[#This Row],[Student_ID]],student_skills[],5,0),VLOOKUP(Table7[[#This Row],[Student_ID]],student_skills[],6,0))</f>
        <v>6.25</v>
      </c>
      <c r="E392" s="1" t="str">
        <f>IF(VLOOKUP(Table7[[#This Row],[Student_ID]],student_internships[#All],2,0)&gt;1,"EXPERIENCED",IF(VLOOKUP(Table7[[#This Row],[Student_ID]],student_internships[#All],2,0)=1,"BEGINNER","NOT EXPERIENCED"))</f>
        <v>EXPERIENCED</v>
      </c>
      <c r="F392" s="1">
        <f>VLOOKUP(Table7[[#This Row],[Student_ID]],student_data[],5,0)</f>
        <v>8.18</v>
      </c>
      <c r="G392" s="1">
        <f>VLOOKUP(Table7[[#This Row],[Student_ID]],student_data[#All],6,0)</f>
        <v>4</v>
      </c>
      <c r="H392" s="1">
        <f>VLOOKUP(Table7[[#This Row],[Student_ID]],student_internships[],2,0)</f>
        <v>2</v>
      </c>
      <c r="I392" s="1">
        <f>VLOOKUP(Table7[[#This Row],[Student_ID]],Placements!A392:E1391,5,0)</f>
        <v>3.58</v>
      </c>
      <c r="J392" s="1" t="str">
        <f>IF(VLOOKUP(Table7[[#This Row],[Student_ID]],student_data[#All],5,0)&gt;8,"HIGH",IF(VLOOKUP(Table7[[#This Row],[Student_ID]],student_data[#All],5,0)&lt;6.5,"LOW","MEDIUM"))</f>
        <v>HIGH</v>
      </c>
    </row>
    <row r="393" spans="1:10" x14ac:dyDescent="0.2">
      <c r="A393" s="1" t="s">
        <v>402</v>
      </c>
      <c r="B393" s="1" t="str">
        <f>VLOOKUP(Table7[[#This Row],[Student_ID]],student_data[#All],2,0)</f>
        <v>Electronics</v>
      </c>
      <c r="C393" s="1">
        <f>(VLOOKUP(Table7[[#This Row],[Student_ID]],student_data[],5,0)*5)+(VLOOKUP(Table7[[#This Row],[Student_ID]],student_data[],6,0)*3)+(VLOOKUP(Table7[[#This Row],[Student_ID]],student_skills[],6,0)*2)+(VLOOKUP(Table7[[#This Row],[Student_ID]],student_internships[],2,0)*5)</f>
        <v>57.25</v>
      </c>
      <c r="D393" s="1">
        <f>AVERAGE(VLOOKUP(Table7[[#This Row],[Student_ID]],student_skills[],3,0),VLOOKUP(Table7[[#This Row],[Student_ID]],student_skills[],4,0),VLOOKUP(Table7[[#This Row],[Student_ID]],student_skills[],5,0),VLOOKUP(Table7[[#This Row],[Student_ID]],student_skills[],6,0))</f>
        <v>6.25</v>
      </c>
      <c r="E393" s="1" t="str">
        <f>IF(VLOOKUP(Table7[[#This Row],[Student_ID]],student_internships[#All],2,0)&gt;1,"EXPERIENCED",IF(VLOOKUP(Table7[[#This Row],[Student_ID]],student_internships[#All],2,0)=1,"BEGINNER","NOT EXPERIENCED"))</f>
        <v>EXPERIENCED</v>
      </c>
      <c r="F393" s="1">
        <f>VLOOKUP(Table7[[#This Row],[Student_ID]],student_data[],5,0)</f>
        <v>5.45</v>
      </c>
      <c r="G393" s="1">
        <f>VLOOKUP(Table7[[#This Row],[Student_ID]],student_data[#All],6,0)</f>
        <v>0</v>
      </c>
      <c r="H393" s="1">
        <f>VLOOKUP(Table7[[#This Row],[Student_ID]],student_internships[],2,0)</f>
        <v>2</v>
      </c>
      <c r="I393" s="1">
        <f>VLOOKUP(Table7[[#This Row],[Student_ID]],Placements!A393:E1392,5,0)</f>
        <v>4.53</v>
      </c>
      <c r="J393" s="1" t="str">
        <f>IF(VLOOKUP(Table7[[#This Row],[Student_ID]],student_data[#All],5,0)&gt;8,"HIGH",IF(VLOOKUP(Table7[[#This Row],[Student_ID]],student_data[#All],5,0)&lt;6.5,"LOW","MEDIUM"))</f>
        <v>LOW</v>
      </c>
    </row>
    <row r="394" spans="1:10" x14ac:dyDescent="0.2">
      <c r="A394" s="1" t="s">
        <v>403</v>
      </c>
      <c r="B394" s="1" t="str">
        <f>VLOOKUP(Table7[[#This Row],[Student_ID]],student_data[#All],2,0)</f>
        <v>Computer Science</v>
      </c>
      <c r="C394" s="1">
        <f>(VLOOKUP(Table7[[#This Row],[Student_ID]],student_data[],5,0)*5)+(VLOOKUP(Table7[[#This Row],[Student_ID]],student_data[],6,0)*3)+(VLOOKUP(Table7[[#This Row],[Student_ID]],student_skills[],6,0)*2)+(VLOOKUP(Table7[[#This Row],[Student_ID]],student_internships[],2,0)*5)</f>
        <v>53.8</v>
      </c>
      <c r="D394" s="1">
        <f>AVERAGE(VLOOKUP(Table7[[#This Row],[Student_ID]],student_skills[],3,0),VLOOKUP(Table7[[#This Row],[Student_ID]],student_skills[],4,0),VLOOKUP(Table7[[#This Row],[Student_ID]],student_skills[],5,0),VLOOKUP(Table7[[#This Row],[Student_ID]],student_skills[],6,0))</f>
        <v>7</v>
      </c>
      <c r="E394" s="1" t="str">
        <f>IF(VLOOKUP(Table7[[#This Row],[Student_ID]],student_internships[#All],2,0)&gt;1,"EXPERIENCED",IF(VLOOKUP(Table7[[#This Row],[Student_ID]],student_internships[#All],2,0)=1,"BEGINNER","NOT EXPERIENCED"))</f>
        <v>EXPERIENCED</v>
      </c>
      <c r="F394" s="1">
        <f>VLOOKUP(Table7[[#This Row],[Student_ID]],student_data[],5,0)</f>
        <v>5.16</v>
      </c>
      <c r="G394" s="1">
        <f>VLOOKUP(Table7[[#This Row],[Student_ID]],student_data[#All],6,0)</f>
        <v>1</v>
      </c>
      <c r="H394" s="1">
        <f>VLOOKUP(Table7[[#This Row],[Student_ID]],student_internships[],2,0)</f>
        <v>3</v>
      </c>
      <c r="I394" s="1">
        <f>VLOOKUP(Table7[[#This Row],[Student_ID]],Placements!A394:E1393,5,0)</f>
        <v>0</v>
      </c>
      <c r="J394" s="1" t="str">
        <f>IF(VLOOKUP(Table7[[#This Row],[Student_ID]],student_data[#All],5,0)&gt;8,"HIGH",IF(VLOOKUP(Table7[[#This Row],[Student_ID]],student_data[#All],5,0)&lt;6.5,"LOW","MEDIUM"))</f>
        <v>LOW</v>
      </c>
    </row>
    <row r="395" spans="1:10" x14ac:dyDescent="0.2">
      <c r="A395" s="1" t="s">
        <v>404</v>
      </c>
      <c r="B395" s="1" t="str">
        <f>VLOOKUP(Table7[[#This Row],[Student_ID]],student_data[#All],2,0)</f>
        <v>Information Technology</v>
      </c>
      <c r="C395" s="1">
        <f>(VLOOKUP(Table7[[#This Row],[Student_ID]],student_data[],5,0)*5)+(VLOOKUP(Table7[[#This Row],[Student_ID]],student_data[],6,0)*3)+(VLOOKUP(Table7[[#This Row],[Student_ID]],student_skills[],6,0)*2)+(VLOOKUP(Table7[[#This Row],[Student_ID]],student_internships[],2,0)*5)</f>
        <v>47.45</v>
      </c>
      <c r="D395" s="1">
        <f>AVERAGE(VLOOKUP(Table7[[#This Row],[Student_ID]],student_skills[],3,0),VLOOKUP(Table7[[#This Row],[Student_ID]],student_skills[],4,0),VLOOKUP(Table7[[#This Row],[Student_ID]],student_skills[],5,0),VLOOKUP(Table7[[#This Row],[Student_ID]],student_skills[],6,0))</f>
        <v>5.75</v>
      </c>
      <c r="E395" s="1" t="str">
        <f>IF(VLOOKUP(Table7[[#This Row],[Student_ID]],student_internships[#All],2,0)&gt;1,"EXPERIENCED",IF(VLOOKUP(Table7[[#This Row],[Student_ID]],student_internships[#All],2,0)=1,"BEGINNER","NOT EXPERIENCED"))</f>
        <v>BEGINNER</v>
      </c>
      <c r="F395" s="1">
        <f>VLOOKUP(Table7[[#This Row],[Student_ID]],student_data[],5,0)</f>
        <v>5.29</v>
      </c>
      <c r="G395" s="1">
        <f>VLOOKUP(Table7[[#This Row],[Student_ID]],student_data[#All],6,0)</f>
        <v>2</v>
      </c>
      <c r="H395" s="1">
        <f>VLOOKUP(Table7[[#This Row],[Student_ID]],student_internships[],2,0)</f>
        <v>1</v>
      </c>
      <c r="I395" s="1">
        <f>VLOOKUP(Table7[[#This Row],[Student_ID]],Placements!A395:E1394,5,0)</f>
        <v>3.75</v>
      </c>
      <c r="J395" s="1" t="str">
        <f>IF(VLOOKUP(Table7[[#This Row],[Student_ID]],student_data[#All],5,0)&gt;8,"HIGH",IF(VLOOKUP(Table7[[#This Row],[Student_ID]],student_data[#All],5,0)&lt;6.5,"LOW","MEDIUM"))</f>
        <v>LOW</v>
      </c>
    </row>
    <row r="396" spans="1:10" x14ac:dyDescent="0.2">
      <c r="A396" s="1" t="s">
        <v>405</v>
      </c>
      <c r="B396" s="1" t="str">
        <f>VLOOKUP(Table7[[#This Row],[Student_ID]],student_data[#All],2,0)</f>
        <v>Information Technology</v>
      </c>
      <c r="C396" s="1">
        <f>(VLOOKUP(Table7[[#This Row],[Student_ID]],student_data[],5,0)*5)+(VLOOKUP(Table7[[#This Row],[Student_ID]],student_data[],6,0)*3)+(VLOOKUP(Table7[[#This Row],[Student_ID]],student_skills[],6,0)*2)+(VLOOKUP(Table7[[#This Row],[Student_ID]],student_internships[],2,0)*5)</f>
        <v>64.099999999999994</v>
      </c>
      <c r="D396" s="1">
        <f>AVERAGE(VLOOKUP(Table7[[#This Row],[Student_ID]],student_skills[],3,0),VLOOKUP(Table7[[#This Row],[Student_ID]],student_skills[],4,0),VLOOKUP(Table7[[#This Row],[Student_ID]],student_skills[],5,0),VLOOKUP(Table7[[#This Row],[Student_ID]],student_skills[],6,0))</f>
        <v>6.5</v>
      </c>
      <c r="E396" s="1" t="str">
        <f>IF(VLOOKUP(Table7[[#This Row],[Student_ID]],student_internships[#All],2,0)&gt;1,"EXPERIENCED",IF(VLOOKUP(Table7[[#This Row],[Student_ID]],student_internships[#All],2,0)=1,"BEGINNER","NOT EXPERIENCED"))</f>
        <v>BEGINNER</v>
      </c>
      <c r="F396" s="1">
        <f>VLOOKUP(Table7[[#This Row],[Student_ID]],student_data[],5,0)</f>
        <v>7.22</v>
      </c>
      <c r="G396" s="1">
        <f>VLOOKUP(Table7[[#This Row],[Student_ID]],student_data[#All],6,0)</f>
        <v>1</v>
      </c>
      <c r="H396" s="1">
        <f>VLOOKUP(Table7[[#This Row],[Student_ID]],student_internships[],2,0)</f>
        <v>1</v>
      </c>
      <c r="I396" s="1">
        <f>VLOOKUP(Table7[[#This Row],[Student_ID]],Placements!A396:E1395,5,0)</f>
        <v>0</v>
      </c>
      <c r="J396" s="1" t="str">
        <f>IF(VLOOKUP(Table7[[#This Row],[Student_ID]],student_data[#All],5,0)&gt;8,"HIGH",IF(VLOOKUP(Table7[[#This Row],[Student_ID]],student_data[#All],5,0)&lt;6.5,"LOW","MEDIUM"))</f>
        <v>MEDIUM</v>
      </c>
    </row>
    <row r="397" spans="1:10" x14ac:dyDescent="0.2">
      <c r="A397" s="1" t="s">
        <v>406</v>
      </c>
      <c r="B397" s="1" t="str">
        <f>VLOOKUP(Table7[[#This Row],[Student_ID]],student_data[#All],2,0)</f>
        <v>Computer Science</v>
      </c>
      <c r="C397" s="1">
        <f>(VLOOKUP(Table7[[#This Row],[Student_ID]],student_data[],5,0)*5)+(VLOOKUP(Table7[[#This Row],[Student_ID]],student_data[],6,0)*3)+(VLOOKUP(Table7[[#This Row],[Student_ID]],student_skills[],6,0)*2)+(VLOOKUP(Table7[[#This Row],[Student_ID]],student_internships[],2,0)*5)</f>
        <v>66.900000000000006</v>
      </c>
      <c r="D397" s="1">
        <f>AVERAGE(VLOOKUP(Table7[[#This Row],[Student_ID]],student_skills[],3,0),VLOOKUP(Table7[[#This Row],[Student_ID]],student_skills[],4,0),VLOOKUP(Table7[[#This Row],[Student_ID]],student_skills[],5,0),VLOOKUP(Table7[[#This Row],[Student_ID]],student_skills[],6,0))</f>
        <v>6</v>
      </c>
      <c r="E397" s="1" t="str">
        <f>IF(VLOOKUP(Table7[[#This Row],[Student_ID]],student_internships[#All],2,0)&gt;1,"EXPERIENCED",IF(VLOOKUP(Table7[[#This Row],[Student_ID]],student_internships[#All],2,0)=1,"BEGINNER","NOT EXPERIENCED"))</f>
        <v>EXPERIENCED</v>
      </c>
      <c r="F397" s="1">
        <f>VLOOKUP(Table7[[#This Row],[Student_ID]],student_data[],5,0)</f>
        <v>6.38</v>
      </c>
      <c r="G397" s="1">
        <f>VLOOKUP(Table7[[#This Row],[Student_ID]],student_data[#All],6,0)</f>
        <v>5</v>
      </c>
      <c r="H397" s="1">
        <f>VLOOKUP(Table7[[#This Row],[Student_ID]],student_internships[],2,0)</f>
        <v>2</v>
      </c>
      <c r="I397" s="1">
        <f>VLOOKUP(Table7[[#This Row],[Student_ID]],Placements!A397:E1396,5,0)</f>
        <v>0</v>
      </c>
      <c r="J397" s="1" t="str">
        <f>IF(VLOOKUP(Table7[[#This Row],[Student_ID]],student_data[#All],5,0)&gt;8,"HIGH",IF(VLOOKUP(Table7[[#This Row],[Student_ID]],student_data[#All],5,0)&lt;6.5,"LOW","MEDIUM"))</f>
        <v>LOW</v>
      </c>
    </row>
    <row r="398" spans="1:10" x14ac:dyDescent="0.2">
      <c r="A398" s="1" t="s">
        <v>407</v>
      </c>
      <c r="B398" s="1" t="str">
        <f>VLOOKUP(Table7[[#This Row],[Student_ID]],student_data[#All],2,0)</f>
        <v>Information Technology</v>
      </c>
      <c r="C398" s="1">
        <f>(VLOOKUP(Table7[[#This Row],[Student_ID]],student_data[],5,0)*5)+(VLOOKUP(Table7[[#This Row],[Student_ID]],student_data[],6,0)*3)+(VLOOKUP(Table7[[#This Row],[Student_ID]],student_skills[],6,0)*2)+(VLOOKUP(Table7[[#This Row],[Student_ID]],student_internships[],2,0)*5)</f>
        <v>72.55</v>
      </c>
      <c r="D398" s="1">
        <f>AVERAGE(VLOOKUP(Table7[[#This Row],[Student_ID]],student_skills[],3,0),VLOOKUP(Table7[[#This Row],[Student_ID]],student_skills[],4,0),VLOOKUP(Table7[[#This Row],[Student_ID]],student_skills[],5,0),VLOOKUP(Table7[[#This Row],[Student_ID]],student_skills[],6,0))</f>
        <v>6.75</v>
      </c>
      <c r="E398" s="1" t="str">
        <f>IF(VLOOKUP(Table7[[#This Row],[Student_ID]],student_internships[#All],2,0)&gt;1,"EXPERIENCED",IF(VLOOKUP(Table7[[#This Row],[Student_ID]],student_internships[#All],2,0)=1,"BEGINNER","NOT EXPERIENCED"))</f>
        <v>BEGINNER</v>
      </c>
      <c r="F398" s="1">
        <f>VLOOKUP(Table7[[#This Row],[Student_ID]],student_data[],5,0)</f>
        <v>8.11</v>
      </c>
      <c r="G398" s="1">
        <f>VLOOKUP(Table7[[#This Row],[Student_ID]],student_data[#All],6,0)</f>
        <v>5</v>
      </c>
      <c r="H398" s="1">
        <f>VLOOKUP(Table7[[#This Row],[Student_ID]],student_internships[],2,0)</f>
        <v>1</v>
      </c>
      <c r="I398" s="1">
        <f>VLOOKUP(Table7[[#This Row],[Student_ID]],Placements!A398:E1397,5,0)</f>
        <v>14.65</v>
      </c>
      <c r="J398" s="1" t="str">
        <f>IF(VLOOKUP(Table7[[#This Row],[Student_ID]],student_data[#All],5,0)&gt;8,"HIGH",IF(VLOOKUP(Table7[[#This Row],[Student_ID]],student_data[#All],5,0)&lt;6.5,"LOW","MEDIUM"))</f>
        <v>HIGH</v>
      </c>
    </row>
    <row r="399" spans="1:10" x14ac:dyDescent="0.2">
      <c r="A399" s="1" t="s">
        <v>408</v>
      </c>
      <c r="B399" s="1" t="str">
        <f>VLOOKUP(Table7[[#This Row],[Student_ID]],student_data[#All],2,0)</f>
        <v>Information Technology</v>
      </c>
      <c r="C399" s="1">
        <f>(VLOOKUP(Table7[[#This Row],[Student_ID]],student_data[],5,0)*5)+(VLOOKUP(Table7[[#This Row],[Student_ID]],student_data[],6,0)*3)+(VLOOKUP(Table7[[#This Row],[Student_ID]],student_skills[],6,0)*2)+(VLOOKUP(Table7[[#This Row],[Student_ID]],student_internships[],2,0)*5)</f>
        <v>83.800000000000011</v>
      </c>
      <c r="D399" s="1">
        <f>AVERAGE(VLOOKUP(Table7[[#This Row],[Student_ID]],student_skills[],3,0),VLOOKUP(Table7[[#This Row],[Student_ID]],student_skills[],4,0),VLOOKUP(Table7[[#This Row],[Student_ID]],student_skills[],5,0),VLOOKUP(Table7[[#This Row],[Student_ID]],student_skills[],6,0))</f>
        <v>7</v>
      </c>
      <c r="E399" s="1" t="str">
        <f>IF(VLOOKUP(Table7[[#This Row],[Student_ID]],student_internships[#All],2,0)&gt;1,"EXPERIENCED",IF(VLOOKUP(Table7[[#This Row],[Student_ID]],student_internships[#All],2,0)=1,"BEGINNER","NOT EXPERIENCED"))</f>
        <v>EXPERIENCED</v>
      </c>
      <c r="F399" s="1">
        <f>VLOOKUP(Table7[[#This Row],[Student_ID]],student_data[],5,0)</f>
        <v>9.9600000000000009</v>
      </c>
      <c r="G399" s="1">
        <f>VLOOKUP(Table7[[#This Row],[Student_ID]],student_data[#All],6,0)</f>
        <v>1</v>
      </c>
      <c r="H399" s="1">
        <f>VLOOKUP(Table7[[#This Row],[Student_ID]],student_internships[],2,0)</f>
        <v>3</v>
      </c>
      <c r="I399" s="1">
        <f>VLOOKUP(Table7[[#This Row],[Student_ID]],Placements!A399:E1398,5,0)</f>
        <v>0</v>
      </c>
      <c r="J399" s="1" t="str">
        <f>IF(VLOOKUP(Table7[[#This Row],[Student_ID]],student_data[#All],5,0)&gt;8,"HIGH",IF(VLOOKUP(Table7[[#This Row],[Student_ID]],student_data[#All],5,0)&lt;6.5,"LOW","MEDIUM"))</f>
        <v>HIGH</v>
      </c>
    </row>
    <row r="400" spans="1:10" x14ac:dyDescent="0.2">
      <c r="A400" s="1" t="s">
        <v>409</v>
      </c>
      <c r="B400" s="1" t="str">
        <f>VLOOKUP(Table7[[#This Row],[Student_ID]],student_data[#All],2,0)</f>
        <v>Information Technology</v>
      </c>
      <c r="C400" s="1">
        <f>(VLOOKUP(Table7[[#This Row],[Student_ID]],student_data[],5,0)*5)+(VLOOKUP(Table7[[#This Row],[Student_ID]],student_data[],6,0)*3)+(VLOOKUP(Table7[[#This Row],[Student_ID]],student_skills[],6,0)*2)+(VLOOKUP(Table7[[#This Row],[Student_ID]],student_internships[],2,0)*5)</f>
        <v>48.65</v>
      </c>
      <c r="D400" s="1">
        <f>AVERAGE(VLOOKUP(Table7[[#This Row],[Student_ID]],student_skills[],3,0),VLOOKUP(Table7[[#This Row],[Student_ID]],student_skills[],4,0),VLOOKUP(Table7[[#This Row],[Student_ID]],student_skills[],5,0),VLOOKUP(Table7[[#This Row],[Student_ID]],student_skills[],6,0))</f>
        <v>5.5</v>
      </c>
      <c r="E400" s="1" t="str">
        <f>IF(VLOOKUP(Table7[[#This Row],[Student_ID]],student_internships[#All],2,0)&gt;1,"EXPERIENCED",IF(VLOOKUP(Table7[[#This Row],[Student_ID]],student_internships[#All],2,0)=1,"BEGINNER","NOT EXPERIENCED"))</f>
        <v>EXPERIENCED</v>
      </c>
      <c r="F400" s="1">
        <f>VLOOKUP(Table7[[#This Row],[Student_ID]],student_data[],5,0)</f>
        <v>6.93</v>
      </c>
      <c r="G400" s="1">
        <f>VLOOKUP(Table7[[#This Row],[Student_ID]],student_data[#All],6,0)</f>
        <v>0</v>
      </c>
      <c r="H400" s="1">
        <f>VLOOKUP(Table7[[#This Row],[Student_ID]],student_internships[],2,0)</f>
        <v>2</v>
      </c>
      <c r="I400" s="1">
        <f>VLOOKUP(Table7[[#This Row],[Student_ID]],Placements!A400:E1399,5,0)</f>
        <v>13.6</v>
      </c>
      <c r="J400" s="1" t="str">
        <f>IF(VLOOKUP(Table7[[#This Row],[Student_ID]],student_data[#All],5,0)&gt;8,"HIGH",IF(VLOOKUP(Table7[[#This Row],[Student_ID]],student_data[#All],5,0)&lt;6.5,"LOW","MEDIUM"))</f>
        <v>MEDIUM</v>
      </c>
    </row>
    <row r="401" spans="1:10" x14ac:dyDescent="0.2">
      <c r="A401" s="1" t="s">
        <v>410</v>
      </c>
      <c r="B401" s="1" t="str">
        <f>VLOOKUP(Table7[[#This Row],[Student_ID]],student_data[#All],2,0)</f>
        <v>Mechanical</v>
      </c>
      <c r="C401" s="1">
        <f>(VLOOKUP(Table7[[#This Row],[Student_ID]],student_data[],5,0)*5)+(VLOOKUP(Table7[[#This Row],[Student_ID]],student_data[],6,0)*3)+(VLOOKUP(Table7[[#This Row],[Student_ID]],student_skills[],6,0)*2)+(VLOOKUP(Table7[[#This Row],[Student_ID]],student_internships[],2,0)*5)</f>
        <v>59.35</v>
      </c>
      <c r="D401" s="1">
        <f>AVERAGE(VLOOKUP(Table7[[#This Row],[Student_ID]],student_skills[],3,0),VLOOKUP(Table7[[#This Row],[Student_ID]],student_skills[],4,0),VLOOKUP(Table7[[#This Row],[Student_ID]],student_skills[],5,0),VLOOKUP(Table7[[#This Row],[Student_ID]],student_skills[],6,0))</f>
        <v>4.25</v>
      </c>
      <c r="E401" s="1" t="str">
        <f>IF(VLOOKUP(Table7[[#This Row],[Student_ID]],student_internships[#All],2,0)&gt;1,"EXPERIENCED",IF(VLOOKUP(Table7[[#This Row],[Student_ID]],student_internships[#All],2,0)=1,"BEGINNER","NOT EXPERIENCED"))</f>
        <v>BEGINNER</v>
      </c>
      <c r="F401" s="1">
        <f>VLOOKUP(Table7[[#This Row],[Student_ID]],student_data[],5,0)</f>
        <v>7.87</v>
      </c>
      <c r="G401" s="1">
        <f>VLOOKUP(Table7[[#This Row],[Student_ID]],student_data[#All],6,0)</f>
        <v>1</v>
      </c>
      <c r="H401" s="1">
        <f>VLOOKUP(Table7[[#This Row],[Student_ID]],student_internships[],2,0)</f>
        <v>1</v>
      </c>
      <c r="I401" s="1">
        <f>VLOOKUP(Table7[[#This Row],[Student_ID]],Placements!A401:E1400,5,0)</f>
        <v>3.64</v>
      </c>
      <c r="J401" s="1" t="str">
        <f>IF(VLOOKUP(Table7[[#This Row],[Student_ID]],student_data[#All],5,0)&gt;8,"HIGH",IF(VLOOKUP(Table7[[#This Row],[Student_ID]],student_data[#All],5,0)&lt;6.5,"LOW","MEDIUM"))</f>
        <v>MEDIUM</v>
      </c>
    </row>
    <row r="402" spans="1:10" x14ac:dyDescent="0.2">
      <c r="A402" s="1" t="s">
        <v>411</v>
      </c>
      <c r="B402" s="1" t="str">
        <f>VLOOKUP(Table7[[#This Row],[Student_ID]],student_data[#All],2,0)</f>
        <v>Civil</v>
      </c>
      <c r="C402" s="1">
        <f>(VLOOKUP(Table7[[#This Row],[Student_ID]],student_data[],5,0)*5)+(VLOOKUP(Table7[[#This Row],[Student_ID]],student_data[],6,0)*3)+(VLOOKUP(Table7[[#This Row],[Student_ID]],student_skills[],6,0)*2)+(VLOOKUP(Table7[[#This Row],[Student_ID]],student_internships[],2,0)*5)</f>
        <v>56.4</v>
      </c>
      <c r="D402" s="1">
        <f>AVERAGE(VLOOKUP(Table7[[#This Row],[Student_ID]],student_skills[],3,0),VLOOKUP(Table7[[#This Row],[Student_ID]],student_skills[],4,0),VLOOKUP(Table7[[#This Row],[Student_ID]],student_skills[],5,0),VLOOKUP(Table7[[#This Row],[Student_ID]],student_skills[],6,0))</f>
        <v>6</v>
      </c>
      <c r="E402" s="1" t="str">
        <f>IF(VLOOKUP(Table7[[#This Row],[Student_ID]],student_internships[#All],2,0)&gt;1,"EXPERIENCED",IF(VLOOKUP(Table7[[#This Row],[Student_ID]],student_internships[#All],2,0)=1,"BEGINNER","NOT EXPERIENCED"))</f>
        <v>EXPERIENCED</v>
      </c>
      <c r="F402" s="1">
        <f>VLOOKUP(Table7[[#This Row],[Student_ID]],student_data[],5,0)</f>
        <v>7.08</v>
      </c>
      <c r="G402" s="1">
        <f>VLOOKUP(Table7[[#This Row],[Student_ID]],student_data[#All],6,0)</f>
        <v>3</v>
      </c>
      <c r="H402" s="1">
        <f>VLOOKUP(Table7[[#This Row],[Student_ID]],student_internships[],2,0)</f>
        <v>2</v>
      </c>
      <c r="I402" s="1">
        <f>VLOOKUP(Table7[[#This Row],[Student_ID]],Placements!A402:E1401,5,0)</f>
        <v>4.92</v>
      </c>
      <c r="J402" s="1" t="str">
        <f>IF(VLOOKUP(Table7[[#This Row],[Student_ID]],student_data[#All],5,0)&gt;8,"HIGH",IF(VLOOKUP(Table7[[#This Row],[Student_ID]],student_data[#All],5,0)&lt;6.5,"LOW","MEDIUM"))</f>
        <v>MEDIUM</v>
      </c>
    </row>
    <row r="403" spans="1:10" x14ac:dyDescent="0.2">
      <c r="A403" s="1" t="s">
        <v>412</v>
      </c>
      <c r="B403" s="1" t="str">
        <f>VLOOKUP(Table7[[#This Row],[Student_ID]],student_data[#All],2,0)</f>
        <v>Electronics</v>
      </c>
      <c r="C403" s="1">
        <f>(VLOOKUP(Table7[[#This Row],[Student_ID]],student_data[],5,0)*5)+(VLOOKUP(Table7[[#This Row],[Student_ID]],student_data[],6,0)*3)+(VLOOKUP(Table7[[#This Row],[Student_ID]],student_skills[],6,0)*2)+(VLOOKUP(Table7[[#This Row],[Student_ID]],student_internships[],2,0)*5)</f>
        <v>67.2</v>
      </c>
      <c r="D403" s="1">
        <f>AVERAGE(VLOOKUP(Table7[[#This Row],[Student_ID]],student_skills[],3,0),VLOOKUP(Table7[[#This Row],[Student_ID]],student_skills[],4,0),VLOOKUP(Table7[[#This Row],[Student_ID]],student_skills[],5,0),VLOOKUP(Table7[[#This Row],[Student_ID]],student_skills[],6,0))</f>
        <v>5.25</v>
      </c>
      <c r="E403" s="1" t="str">
        <f>IF(VLOOKUP(Table7[[#This Row],[Student_ID]],student_internships[#All],2,0)&gt;1,"EXPERIENCED",IF(VLOOKUP(Table7[[#This Row],[Student_ID]],student_internships[#All],2,0)=1,"BEGINNER","NOT EXPERIENCED"))</f>
        <v>EXPERIENCED</v>
      </c>
      <c r="F403" s="1">
        <f>VLOOKUP(Table7[[#This Row],[Student_ID]],student_data[],5,0)</f>
        <v>9.24</v>
      </c>
      <c r="G403" s="1">
        <f>VLOOKUP(Table7[[#This Row],[Student_ID]],student_data[#All],6,0)</f>
        <v>1</v>
      </c>
      <c r="H403" s="1">
        <f>VLOOKUP(Table7[[#This Row],[Student_ID]],student_internships[],2,0)</f>
        <v>2</v>
      </c>
      <c r="I403" s="1">
        <f>VLOOKUP(Table7[[#This Row],[Student_ID]],Placements!A403:E1402,5,0)</f>
        <v>5.35</v>
      </c>
      <c r="J403" s="1" t="str">
        <f>IF(VLOOKUP(Table7[[#This Row],[Student_ID]],student_data[#All],5,0)&gt;8,"HIGH",IF(VLOOKUP(Table7[[#This Row],[Student_ID]],student_data[#All],5,0)&lt;6.5,"LOW","MEDIUM"))</f>
        <v>HIGH</v>
      </c>
    </row>
    <row r="404" spans="1:10" x14ac:dyDescent="0.2">
      <c r="A404" s="1" t="s">
        <v>413</v>
      </c>
      <c r="B404" s="1" t="str">
        <f>VLOOKUP(Table7[[#This Row],[Student_ID]],student_data[#All],2,0)</f>
        <v>Mechanical</v>
      </c>
      <c r="C404" s="1">
        <f>(VLOOKUP(Table7[[#This Row],[Student_ID]],student_data[],5,0)*5)+(VLOOKUP(Table7[[#This Row],[Student_ID]],student_data[],6,0)*3)+(VLOOKUP(Table7[[#This Row],[Student_ID]],student_skills[],6,0)*2)+(VLOOKUP(Table7[[#This Row],[Student_ID]],student_internships[],2,0)*5)</f>
        <v>73.55</v>
      </c>
      <c r="D404" s="1">
        <f>AVERAGE(VLOOKUP(Table7[[#This Row],[Student_ID]],student_skills[],3,0),VLOOKUP(Table7[[#This Row],[Student_ID]],student_skills[],4,0),VLOOKUP(Table7[[#This Row],[Student_ID]],student_skills[],5,0),VLOOKUP(Table7[[#This Row],[Student_ID]],student_skills[],6,0))</f>
        <v>8.25</v>
      </c>
      <c r="E404" s="1" t="str">
        <f>IF(VLOOKUP(Table7[[#This Row],[Student_ID]],student_internships[#All],2,0)&gt;1,"EXPERIENCED",IF(VLOOKUP(Table7[[#This Row],[Student_ID]],student_internships[#All],2,0)=1,"BEGINNER","NOT EXPERIENCED"))</f>
        <v>NOT EXPERIENCED</v>
      </c>
      <c r="F404" s="1">
        <f>VLOOKUP(Table7[[#This Row],[Student_ID]],student_data[],5,0)</f>
        <v>9.51</v>
      </c>
      <c r="G404" s="1">
        <f>VLOOKUP(Table7[[#This Row],[Student_ID]],student_data[#All],6,0)</f>
        <v>2</v>
      </c>
      <c r="H404" s="1">
        <f>VLOOKUP(Table7[[#This Row],[Student_ID]],student_internships[],2,0)</f>
        <v>0</v>
      </c>
      <c r="I404" s="1">
        <f>VLOOKUP(Table7[[#This Row],[Student_ID]],Placements!A404:E1403,5,0)</f>
        <v>11.39</v>
      </c>
      <c r="J404" s="1" t="str">
        <f>IF(VLOOKUP(Table7[[#This Row],[Student_ID]],student_data[#All],5,0)&gt;8,"HIGH",IF(VLOOKUP(Table7[[#This Row],[Student_ID]],student_data[#All],5,0)&lt;6.5,"LOW","MEDIUM"))</f>
        <v>HIGH</v>
      </c>
    </row>
    <row r="405" spans="1:10" x14ac:dyDescent="0.2">
      <c r="A405" s="1" t="s">
        <v>414</v>
      </c>
      <c r="B405" s="1" t="str">
        <f>VLOOKUP(Table7[[#This Row],[Student_ID]],student_data[#All],2,0)</f>
        <v>Information Technology</v>
      </c>
      <c r="C405" s="1">
        <f>(VLOOKUP(Table7[[#This Row],[Student_ID]],student_data[],5,0)*5)+(VLOOKUP(Table7[[#This Row],[Student_ID]],student_data[],6,0)*3)+(VLOOKUP(Table7[[#This Row],[Student_ID]],student_skills[],6,0)*2)+(VLOOKUP(Table7[[#This Row],[Student_ID]],student_internships[],2,0)*5)</f>
        <v>73.95</v>
      </c>
      <c r="D405" s="1">
        <f>AVERAGE(VLOOKUP(Table7[[#This Row],[Student_ID]],student_skills[],3,0),VLOOKUP(Table7[[#This Row],[Student_ID]],student_skills[],4,0),VLOOKUP(Table7[[#This Row],[Student_ID]],student_skills[],5,0),VLOOKUP(Table7[[#This Row],[Student_ID]],student_skills[],6,0))</f>
        <v>5</v>
      </c>
      <c r="E405" s="1" t="str">
        <f>IF(VLOOKUP(Table7[[#This Row],[Student_ID]],student_internships[#All],2,0)&gt;1,"EXPERIENCED",IF(VLOOKUP(Table7[[#This Row],[Student_ID]],student_internships[#All],2,0)=1,"BEGINNER","NOT EXPERIENCED"))</f>
        <v>EXPERIENCED</v>
      </c>
      <c r="F405" s="1">
        <f>VLOOKUP(Table7[[#This Row],[Student_ID]],student_data[],5,0)</f>
        <v>9.39</v>
      </c>
      <c r="G405" s="1">
        <f>VLOOKUP(Table7[[#This Row],[Student_ID]],student_data[#All],6,0)</f>
        <v>2</v>
      </c>
      <c r="H405" s="1">
        <f>VLOOKUP(Table7[[#This Row],[Student_ID]],student_internships[],2,0)</f>
        <v>3</v>
      </c>
      <c r="I405" s="1">
        <f>VLOOKUP(Table7[[#This Row],[Student_ID]],Placements!A405:E1404,5,0)</f>
        <v>4.42</v>
      </c>
      <c r="J405" s="1" t="str">
        <f>IF(VLOOKUP(Table7[[#This Row],[Student_ID]],student_data[#All],5,0)&gt;8,"HIGH",IF(VLOOKUP(Table7[[#This Row],[Student_ID]],student_data[#All],5,0)&lt;6.5,"LOW","MEDIUM"))</f>
        <v>HIGH</v>
      </c>
    </row>
    <row r="406" spans="1:10" x14ac:dyDescent="0.2">
      <c r="A406" s="1" t="s">
        <v>415</v>
      </c>
      <c r="B406" s="1" t="str">
        <f>VLOOKUP(Table7[[#This Row],[Student_ID]],student_data[#All],2,0)</f>
        <v>Computer Science</v>
      </c>
      <c r="C406" s="1">
        <f>(VLOOKUP(Table7[[#This Row],[Student_ID]],student_data[],5,0)*5)+(VLOOKUP(Table7[[#This Row],[Student_ID]],student_data[],6,0)*3)+(VLOOKUP(Table7[[#This Row],[Student_ID]],student_skills[],6,0)*2)+(VLOOKUP(Table7[[#This Row],[Student_ID]],student_internships[],2,0)*5)</f>
        <v>84.35</v>
      </c>
      <c r="D406" s="1">
        <f>AVERAGE(VLOOKUP(Table7[[#This Row],[Student_ID]],student_skills[],3,0),VLOOKUP(Table7[[#This Row],[Student_ID]],student_skills[],4,0),VLOOKUP(Table7[[#This Row],[Student_ID]],student_skills[],5,0),VLOOKUP(Table7[[#This Row],[Student_ID]],student_skills[],6,0))</f>
        <v>7.75</v>
      </c>
      <c r="E406" s="1" t="str">
        <f>IF(VLOOKUP(Table7[[#This Row],[Student_ID]],student_internships[#All],2,0)&gt;1,"EXPERIENCED",IF(VLOOKUP(Table7[[#This Row],[Student_ID]],student_internships[#All],2,0)=1,"BEGINNER","NOT EXPERIENCED"))</f>
        <v>BEGINNER</v>
      </c>
      <c r="F406" s="1">
        <f>VLOOKUP(Table7[[#This Row],[Student_ID]],student_data[],5,0)</f>
        <v>9.8699999999999992</v>
      </c>
      <c r="G406" s="1">
        <f>VLOOKUP(Table7[[#This Row],[Student_ID]],student_data[#All],6,0)</f>
        <v>4</v>
      </c>
      <c r="H406" s="1">
        <f>VLOOKUP(Table7[[#This Row],[Student_ID]],student_internships[],2,0)</f>
        <v>1</v>
      </c>
      <c r="I406" s="1">
        <f>VLOOKUP(Table7[[#This Row],[Student_ID]],Placements!A406:E1405,5,0)</f>
        <v>4.8600000000000003</v>
      </c>
      <c r="J406" s="1" t="str">
        <f>IF(VLOOKUP(Table7[[#This Row],[Student_ID]],student_data[#All],5,0)&gt;8,"HIGH",IF(VLOOKUP(Table7[[#This Row],[Student_ID]],student_data[#All],5,0)&lt;6.5,"LOW","MEDIUM"))</f>
        <v>HIGH</v>
      </c>
    </row>
    <row r="407" spans="1:10" x14ac:dyDescent="0.2">
      <c r="A407" s="1" t="s">
        <v>416</v>
      </c>
      <c r="B407" s="1" t="str">
        <f>VLOOKUP(Table7[[#This Row],[Student_ID]],student_data[#All],2,0)</f>
        <v>Information Technology</v>
      </c>
      <c r="C407" s="1">
        <f>(VLOOKUP(Table7[[#This Row],[Student_ID]],student_data[],5,0)*5)+(VLOOKUP(Table7[[#This Row],[Student_ID]],student_data[],6,0)*3)+(VLOOKUP(Table7[[#This Row],[Student_ID]],student_skills[],6,0)*2)+(VLOOKUP(Table7[[#This Row],[Student_ID]],student_internships[],2,0)*5)</f>
        <v>47.7</v>
      </c>
      <c r="D407" s="1">
        <f>AVERAGE(VLOOKUP(Table7[[#This Row],[Student_ID]],student_skills[],3,0),VLOOKUP(Table7[[#This Row],[Student_ID]],student_skills[],4,0),VLOOKUP(Table7[[#This Row],[Student_ID]],student_skills[],5,0),VLOOKUP(Table7[[#This Row],[Student_ID]],student_skills[],6,0))</f>
        <v>4.75</v>
      </c>
      <c r="E407" s="1" t="str">
        <f>IF(VLOOKUP(Table7[[#This Row],[Student_ID]],student_internships[#All],2,0)&gt;1,"EXPERIENCED",IF(VLOOKUP(Table7[[#This Row],[Student_ID]],student_internships[#All],2,0)=1,"BEGINNER","NOT EXPERIENCED"))</f>
        <v>EXPERIENCED</v>
      </c>
      <c r="F407" s="1">
        <f>VLOOKUP(Table7[[#This Row],[Student_ID]],student_data[],5,0)</f>
        <v>5.14</v>
      </c>
      <c r="G407" s="1">
        <f>VLOOKUP(Table7[[#This Row],[Student_ID]],student_data[#All],6,0)</f>
        <v>2</v>
      </c>
      <c r="H407" s="1">
        <f>VLOOKUP(Table7[[#This Row],[Student_ID]],student_internships[],2,0)</f>
        <v>2</v>
      </c>
      <c r="I407" s="1">
        <f>VLOOKUP(Table7[[#This Row],[Student_ID]],Placements!A407:E1406,5,0)</f>
        <v>11.59</v>
      </c>
      <c r="J407" s="1" t="str">
        <f>IF(VLOOKUP(Table7[[#This Row],[Student_ID]],student_data[#All],5,0)&gt;8,"HIGH",IF(VLOOKUP(Table7[[#This Row],[Student_ID]],student_data[#All],5,0)&lt;6.5,"LOW","MEDIUM"))</f>
        <v>LOW</v>
      </c>
    </row>
    <row r="408" spans="1:10" x14ac:dyDescent="0.2">
      <c r="A408" s="1" t="s">
        <v>417</v>
      </c>
      <c r="B408" s="1" t="str">
        <f>VLOOKUP(Table7[[#This Row],[Student_ID]],student_data[#All],2,0)</f>
        <v>Civil</v>
      </c>
      <c r="C408" s="1">
        <f>(VLOOKUP(Table7[[#This Row],[Student_ID]],student_data[],5,0)*5)+(VLOOKUP(Table7[[#This Row],[Student_ID]],student_data[],6,0)*3)+(VLOOKUP(Table7[[#This Row],[Student_ID]],student_skills[],6,0)*2)+(VLOOKUP(Table7[[#This Row],[Student_ID]],student_internships[],2,0)*5)</f>
        <v>66</v>
      </c>
      <c r="D408" s="1">
        <f>AVERAGE(VLOOKUP(Table7[[#This Row],[Student_ID]],student_skills[],3,0),VLOOKUP(Table7[[#This Row],[Student_ID]],student_skills[],4,0),VLOOKUP(Table7[[#This Row],[Student_ID]],student_skills[],5,0),VLOOKUP(Table7[[#This Row],[Student_ID]],student_skills[],6,0))</f>
        <v>4.75</v>
      </c>
      <c r="E408" s="1" t="str">
        <f>IF(VLOOKUP(Table7[[#This Row],[Student_ID]],student_internships[#All],2,0)&gt;1,"EXPERIENCED",IF(VLOOKUP(Table7[[#This Row],[Student_ID]],student_internships[#All],2,0)=1,"BEGINNER","NOT EXPERIENCED"))</f>
        <v>BEGINNER</v>
      </c>
      <c r="F408" s="1">
        <f>VLOOKUP(Table7[[#This Row],[Student_ID]],student_data[],5,0)</f>
        <v>9.1999999999999993</v>
      </c>
      <c r="G408" s="1">
        <f>VLOOKUP(Table7[[#This Row],[Student_ID]],student_data[#All],6,0)</f>
        <v>1</v>
      </c>
      <c r="H408" s="1">
        <f>VLOOKUP(Table7[[#This Row],[Student_ID]],student_internships[],2,0)</f>
        <v>1</v>
      </c>
      <c r="I408" s="1">
        <f>VLOOKUP(Table7[[#This Row],[Student_ID]],Placements!A408:E1407,5,0)</f>
        <v>5.16</v>
      </c>
      <c r="J408" s="1" t="str">
        <f>IF(VLOOKUP(Table7[[#This Row],[Student_ID]],student_data[#All],5,0)&gt;8,"HIGH",IF(VLOOKUP(Table7[[#This Row],[Student_ID]],student_data[#All],5,0)&lt;6.5,"LOW","MEDIUM"))</f>
        <v>HIGH</v>
      </c>
    </row>
    <row r="409" spans="1:10" x14ac:dyDescent="0.2">
      <c r="A409" s="1" t="s">
        <v>418</v>
      </c>
      <c r="B409" s="1" t="str">
        <f>VLOOKUP(Table7[[#This Row],[Student_ID]],student_data[#All],2,0)</f>
        <v>Information Technology</v>
      </c>
      <c r="C409" s="1">
        <f>(VLOOKUP(Table7[[#This Row],[Student_ID]],student_data[],5,0)*5)+(VLOOKUP(Table7[[#This Row],[Student_ID]],student_data[],6,0)*3)+(VLOOKUP(Table7[[#This Row],[Student_ID]],student_skills[],6,0)*2)+(VLOOKUP(Table7[[#This Row],[Student_ID]],student_internships[],2,0)*5)</f>
        <v>61.8</v>
      </c>
      <c r="D409" s="1">
        <f>AVERAGE(VLOOKUP(Table7[[#This Row],[Student_ID]],student_skills[],3,0),VLOOKUP(Table7[[#This Row],[Student_ID]],student_skills[],4,0),VLOOKUP(Table7[[#This Row],[Student_ID]],student_skills[],5,0),VLOOKUP(Table7[[#This Row],[Student_ID]],student_skills[],6,0))</f>
        <v>6</v>
      </c>
      <c r="E409" s="1" t="str">
        <f>IF(VLOOKUP(Table7[[#This Row],[Student_ID]],student_internships[#All],2,0)&gt;1,"EXPERIENCED",IF(VLOOKUP(Table7[[#This Row],[Student_ID]],student_internships[#All],2,0)=1,"BEGINNER","NOT EXPERIENCED"))</f>
        <v>EXPERIENCED</v>
      </c>
      <c r="F409" s="1">
        <f>VLOOKUP(Table7[[#This Row],[Student_ID]],student_data[],5,0)</f>
        <v>8.76</v>
      </c>
      <c r="G409" s="1">
        <f>VLOOKUP(Table7[[#This Row],[Student_ID]],student_data[#All],6,0)</f>
        <v>2</v>
      </c>
      <c r="H409" s="1">
        <f>VLOOKUP(Table7[[#This Row],[Student_ID]],student_internships[],2,0)</f>
        <v>2</v>
      </c>
      <c r="I409" s="1">
        <f>VLOOKUP(Table7[[#This Row],[Student_ID]],Placements!A409:E1408,5,0)</f>
        <v>0</v>
      </c>
      <c r="J409" s="1" t="str">
        <f>IF(VLOOKUP(Table7[[#This Row],[Student_ID]],student_data[#All],5,0)&gt;8,"HIGH",IF(VLOOKUP(Table7[[#This Row],[Student_ID]],student_data[#All],5,0)&lt;6.5,"LOW","MEDIUM"))</f>
        <v>HIGH</v>
      </c>
    </row>
    <row r="410" spans="1:10" x14ac:dyDescent="0.2">
      <c r="A410" s="1" t="s">
        <v>419</v>
      </c>
      <c r="B410" s="1" t="str">
        <f>VLOOKUP(Table7[[#This Row],[Student_ID]],student_data[#All],2,0)</f>
        <v>Computer Science</v>
      </c>
      <c r="C410" s="1">
        <f>(VLOOKUP(Table7[[#This Row],[Student_ID]],student_data[],5,0)*5)+(VLOOKUP(Table7[[#This Row],[Student_ID]],student_data[],6,0)*3)+(VLOOKUP(Table7[[#This Row],[Student_ID]],student_skills[],6,0)*2)+(VLOOKUP(Table7[[#This Row],[Student_ID]],student_internships[],2,0)*5)</f>
        <v>47.7</v>
      </c>
      <c r="D410" s="1">
        <f>AVERAGE(VLOOKUP(Table7[[#This Row],[Student_ID]],student_skills[],3,0),VLOOKUP(Table7[[#This Row],[Student_ID]],student_skills[],4,0),VLOOKUP(Table7[[#This Row],[Student_ID]],student_skills[],5,0),VLOOKUP(Table7[[#This Row],[Student_ID]],student_skills[],6,0))</f>
        <v>3</v>
      </c>
      <c r="E410" s="1" t="str">
        <f>IF(VLOOKUP(Table7[[#This Row],[Student_ID]],student_internships[#All],2,0)&gt;1,"EXPERIENCED",IF(VLOOKUP(Table7[[#This Row],[Student_ID]],student_internships[#All],2,0)=1,"BEGINNER","NOT EXPERIENCED"))</f>
        <v>BEGINNER</v>
      </c>
      <c r="F410" s="1">
        <f>VLOOKUP(Table7[[#This Row],[Student_ID]],student_data[],5,0)</f>
        <v>6.14</v>
      </c>
      <c r="G410" s="1">
        <f>VLOOKUP(Table7[[#This Row],[Student_ID]],student_data[#All],6,0)</f>
        <v>0</v>
      </c>
      <c r="H410" s="1">
        <f>VLOOKUP(Table7[[#This Row],[Student_ID]],student_internships[],2,0)</f>
        <v>1</v>
      </c>
      <c r="I410" s="1">
        <f>VLOOKUP(Table7[[#This Row],[Student_ID]],Placements!A410:E1409,5,0)</f>
        <v>0</v>
      </c>
      <c r="J410" s="1" t="str">
        <f>IF(VLOOKUP(Table7[[#This Row],[Student_ID]],student_data[#All],5,0)&gt;8,"HIGH",IF(VLOOKUP(Table7[[#This Row],[Student_ID]],student_data[#All],5,0)&lt;6.5,"LOW","MEDIUM"))</f>
        <v>LOW</v>
      </c>
    </row>
    <row r="411" spans="1:10" x14ac:dyDescent="0.2">
      <c r="A411" s="1" t="s">
        <v>420</v>
      </c>
      <c r="B411" s="1" t="str">
        <f>VLOOKUP(Table7[[#This Row],[Student_ID]],student_data[#All],2,0)</f>
        <v>Civil</v>
      </c>
      <c r="C411" s="1">
        <f>(VLOOKUP(Table7[[#This Row],[Student_ID]],student_data[],5,0)*5)+(VLOOKUP(Table7[[#This Row],[Student_ID]],student_data[],6,0)*3)+(VLOOKUP(Table7[[#This Row],[Student_ID]],student_skills[],6,0)*2)+(VLOOKUP(Table7[[#This Row],[Student_ID]],student_internships[],2,0)*5)</f>
        <v>62.9</v>
      </c>
      <c r="D411" s="1">
        <f>AVERAGE(VLOOKUP(Table7[[#This Row],[Student_ID]],student_skills[],3,0),VLOOKUP(Table7[[#This Row],[Student_ID]],student_skills[],4,0),VLOOKUP(Table7[[#This Row],[Student_ID]],student_skills[],5,0),VLOOKUP(Table7[[#This Row],[Student_ID]],student_skills[],6,0))</f>
        <v>7</v>
      </c>
      <c r="E411" s="1" t="str">
        <f>IF(VLOOKUP(Table7[[#This Row],[Student_ID]],student_internships[#All],2,0)&gt;1,"EXPERIENCED",IF(VLOOKUP(Table7[[#This Row],[Student_ID]],student_internships[#All],2,0)=1,"BEGINNER","NOT EXPERIENCED"))</f>
        <v>NOT EXPERIENCED</v>
      </c>
      <c r="F411" s="1">
        <f>VLOOKUP(Table7[[#This Row],[Student_ID]],student_data[],5,0)</f>
        <v>9.7799999999999994</v>
      </c>
      <c r="G411" s="1">
        <f>VLOOKUP(Table7[[#This Row],[Student_ID]],student_data[#All],6,0)</f>
        <v>2</v>
      </c>
      <c r="H411" s="1">
        <f>VLOOKUP(Table7[[#This Row],[Student_ID]],student_internships[],2,0)</f>
        <v>0</v>
      </c>
      <c r="I411" s="1">
        <f>VLOOKUP(Table7[[#This Row],[Student_ID]],Placements!A411:E1410,5,0)</f>
        <v>6.96</v>
      </c>
      <c r="J411" s="1" t="str">
        <f>IF(VLOOKUP(Table7[[#This Row],[Student_ID]],student_data[#All],5,0)&gt;8,"HIGH",IF(VLOOKUP(Table7[[#This Row],[Student_ID]],student_data[#All],5,0)&lt;6.5,"LOW","MEDIUM"))</f>
        <v>HIGH</v>
      </c>
    </row>
    <row r="412" spans="1:10" x14ac:dyDescent="0.2">
      <c r="A412" s="1" t="s">
        <v>421</v>
      </c>
      <c r="B412" s="1" t="str">
        <f>VLOOKUP(Table7[[#This Row],[Student_ID]],student_data[#All],2,0)</f>
        <v>Information Technology</v>
      </c>
      <c r="C412" s="1">
        <f>(VLOOKUP(Table7[[#This Row],[Student_ID]],student_data[],5,0)*5)+(VLOOKUP(Table7[[#This Row],[Student_ID]],student_data[],6,0)*3)+(VLOOKUP(Table7[[#This Row],[Student_ID]],student_skills[],6,0)*2)+(VLOOKUP(Table7[[#This Row],[Student_ID]],student_internships[],2,0)*5)</f>
        <v>68.7</v>
      </c>
      <c r="D412" s="1">
        <f>AVERAGE(VLOOKUP(Table7[[#This Row],[Student_ID]],student_skills[],3,0),VLOOKUP(Table7[[#This Row],[Student_ID]],student_skills[],4,0),VLOOKUP(Table7[[#This Row],[Student_ID]],student_skills[],5,0),VLOOKUP(Table7[[#This Row],[Student_ID]],student_skills[],6,0))</f>
        <v>5.75</v>
      </c>
      <c r="E412" s="1" t="str">
        <f>IF(VLOOKUP(Table7[[#This Row],[Student_ID]],student_internships[#All],2,0)&gt;1,"EXPERIENCED",IF(VLOOKUP(Table7[[#This Row],[Student_ID]],student_internships[#All],2,0)=1,"BEGINNER","NOT EXPERIENCED"))</f>
        <v>EXPERIENCED</v>
      </c>
      <c r="F412" s="1">
        <f>VLOOKUP(Table7[[#This Row],[Student_ID]],student_data[],5,0)</f>
        <v>5.74</v>
      </c>
      <c r="G412" s="1">
        <f>VLOOKUP(Table7[[#This Row],[Student_ID]],student_data[#All],6,0)</f>
        <v>3</v>
      </c>
      <c r="H412" s="1">
        <f>VLOOKUP(Table7[[#This Row],[Student_ID]],student_internships[],2,0)</f>
        <v>3</v>
      </c>
      <c r="I412" s="1">
        <f>VLOOKUP(Table7[[#This Row],[Student_ID]],Placements!A412:E1411,5,0)</f>
        <v>3.67</v>
      </c>
      <c r="J412" s="1" t="str">
        <f>IF(VLOOKUP(Table7[[#This Row],[Student_ID]],student_data[#All],5,0)&gt;8,"HIGH",IF(VLOOKUP(Table7[[#This Row],[Student_ID]],student_data[#All],5,0)&lt;6.5,"LOW","MEDIUM"))</f>
        <v>LOW</v>
      </c>
    </row>
    <row r="413" spans="1:10" x14ac:dyDescent="0.2">
      <c r="A413" s="1" t="s">
        <v>422</v>
      </c>
      <c r="B413" s="1" t="str">
        <f>VLOOKUP(Table7[[#This Row],[Student_ID]],student_data[#All],2,0)</f>
        <v>Civil</v>
      </c>
      <c r="C413" s="1">
        <f>(VLOOKUP(Table7[[#This Row],[Student_ID]],student_data[],5,0)*5)+(VLOOKUP(Table7[[#This Row],[Student_ID]],student_data[],6,0)*3)+(VLOOKUP(Table7[[#This Row],[Student_ID]],student_skills[],6,0)*2)+(VLOOKUP(Table7[[#This Row],[Student_ID]],student_internships[],2,0)*5)</f>
        <v>60</v>
      </c>
      <c r="D413" s="1">
        <f>AVERAGE(VLOOKUP(Table7[[#This Row],[Student_ID]],student_skills[],3,0),VLOOKUP(Table7[[#This Row],[Student_ID]],student_skills[],4,0),VLOOKUP(Table7[[#This Row],[Student_ID]],student_skills[],5,0),VLOOKUP(Table7[[#This Row],[Student_ID]],student_skills[],6,0))</f>
        <v>5.5</v>
      </c>
      <c r="E413" s="1" t="str">
        <f>IF(VLOOKUP(Table7[[#This Row],[Student_ID]],student_internships[#All],2,0)&gt;1,"EXPERIENCED",IF(VLOOKUP(Table7[[#This Row],[Student_ID]],student_internships[#All],2,0)=1,"BEGINNER","NOT EXPERIENCED"))</f>
        <v>NOT EXPERIENCED</v>
      </c>
      <c r="F413" s="1">
        <f>VLOOKUP(Table7[[#This Row],[Student_ID]],student_data[],5,0)</f>
        <v>8.4</v>
      </c>
      <c r="G413" s="1">
        <f>VLOOKUP(Table7[[#This Row],[Student_ID]],student_data[#All],6,0)</f>
        <v>0</v>
      </c>
      <c r="H413" s="1">
        <f>VLOOKUP(Table7[[#This Row],[Student_ID]],student_internships[],2,0)</f>
        <v>0</v>
      </c>
      <c r="I413" s="1">
        <f>VLOOKUP(Table7[[#This Row],[Student_ID]],Placements!A413:E1412,5,0)</f>
        <v>5.01</v>
      </c>
      <c r="J413" s="1" t="str">
        <f>IF(VLOOKUP(Table7[[#This Row],[Student_ID]],student_data[#All],5,0)&gt;8,"HIGH",IF(VLOOKUP(Table7[[#This Row],[Student_ID]],student_data[#All],5,0)&lt;6.5,"LOW","MEDIUM"))</f>
        <v>HIGH</v>
      </c>
    </row>
    <row r="414" spans="1:10" x14ac:dyDescent="0.2">
      <c r="A414" s="1" t="s">
        <v>423</v>
      </c>
      <c r="B414" s="1" t="str">
        <f>VLOOKUP(Table7[[#This Row],[Student_ID]],student_data[#All],2,0)</f>
        <v>Electronics</v>
      </c>
      <c r="C414" s="1">
        <f>(VLOOKUP(Table7[[#This Row],[Student_ID]],student_data[],5,0)*5)+(VLOOKUP(Table7[[#This Row],[Student_ID]],student_data[],6,0)*3)+(VLOOKUP(Table7[[#This Row],[Student_ID]],student_skills[],6,0)*2)+(VLOOKUP(Table7[[#This Row],[Student_ID]],student_internships[],2,0)*5)</f>
        <v>55.6</v>
      </c>
      <c r="D414" s="1">
        <f>AVERAGE(VLOOKUP(Table7[[#This Row],[Student_ID]],student_skills[],3,0),VLOOKUP(Table7[[#This Row],[Student_ID]],student_skills[],4,0),VLOOKUP(Table7[[#This Row],[Student_ID]],student_skills[],5,0),VLOOKUP(Table7[[#This Row],[Student_ID]],student_skills[],6,0))</f>
        <v>5.75</v>
      </c>
      <c r="E414" s="1" t="str">
        <f>IF(VLOOKUP(Table7[[#This Row],[Student_ID]],student_internships[#All],2,0)&gt;1,"EXPERIENCED",IF(VLOOKUP(Table7[[#This Row],[Student_ID]],student_internships[#All],2,0)=1,"BEGINNER","NOT EXPERIENCED"))</f>
        <v>BEGINNER</v>
      </c>
      <c r="F414" s="1">
        <f>VLOOKUP(Table7[[#This Row],[Student_ID]],student_data[],5,0)</f>
        <v>6.12</v>
      </c>
      <c r="G414" s="1">
        <f>VLOOKUP(Table7[[#This Row],[Student_ID]],student_data[#All],6,0)</f>
        <v>4</v>
      </c>
      <c r="H414" s="1">
        <f>VLOOKUP(Table7[[#This Row],[Student_ID]],student_internships[],2,0)</f>
        <v>1</v>
      </c>
      <c r="I414" s="1">
        <f>VLOOKUP(Table7[[#This Row],[Student_ID]],Placements!A414:E1413,5,0)</f>
        <v>12.78</v>
      </c>
      <c r="J414" s="1" t="str">
        <f>IF(VLOOKUP(Table7[[#This Row],[Student_ID]],student_data[#All],5,0)&gt;8,"HIGH",IF(VLOOKUP(Table7[[#This Row],[Student_ID]],student_data[#All],5,0)&lt;6.5,"LOW","MEDIUM"))</f>
        <v>LOW</v>
      </c>
    </row>
    <row r="415" spans="1:10" x14ac:dyDescent="0.2">
      <c r="A415" s="1" t="s">
        <v>424</v>
      </c>
      <c r="B415" s="1" t="str">
        <f>VLOOKUP(Table7[[#This Row],[Student_ID]],student_data[#All],2,0)</f>
        <v>Electronics</v>
      </c>
      <c r="C415" s="1">
        <f>(VLOOKUP(Table7[[#This Row],[Student_ID]],student_data[],5,0)*5)+(VLOOKUP(Table7[[#This Row],[Student_ID]],student_data[],6,0)*3)+(VLOOKUP(Table7[[#This Row],[Student_ID]],student_skills[],6,0)*2)+(VLOOKUP(Table7[[#This Row],[Student_ID]],student_internships[],2,0)*5)</f>
        <v>79.8</v>
      </c>
      <c r="D415" s="1">
        <f>AVERAGE(VLOOKUP(Table7[[#This Row],[Student_ID]],student_skills[],3,0),VLOOKUP(Table7[[#This Row],[Student_ID]],student_skills[],4,0),VLOOKUP(Table7[[#This Row],[Student_ID]],student_skills[],5,0),VLOOKUP(Table7[[#This Row],[Student_ID]],student_skills[],6,0))</f>
        <v>6.75</v>
      </c>
      <c r="E415" s="1" t="str">
        <f>IF(VLOOKUP(Table7[[#This Row],[Student_ID]],student_internships[#All],2,0)&gt;1,"EXPERIENCED",IF(VLOOKUP(Table7[[#This Row],[Student_ID]],student_internships[#All],2,0)=1,"BEGINNER","NOT EXPERIENCED"))</f>
        <v>EXPERIENCED</v>
      </c>
      <c r="F415" s="1">
        <f>VLOOKUP(Table7[[#This Row],[Student_ID]],student_data[],5,0)</f>
        <v>7.16</v>
      </c>
      <c r="G415" s="1">
        <f>VLOOKUP(Table7[[#This Row],[Student_ID]],student_data[#All],6,0)</f>
        <v>3</v>
      </c>
      <c r="H415" s="1">
        <f>VLOOKUP(Table7[[#This Row],[Student_ID]],student_internships[],2,0)</f>
        <v>3</v>
      </c>
      <c r="I415" s="1">
        <f>VLOOKUP(Table7[[#This Row],[Student_ID]],Placements!A415:E1414,5,0)</f>
        <v>6.88</v>
      </c>
      <c r="J415" s="1" t="str">
        <f>IF(VLOOKUP(Table7[[#This Row],[Student_ID]],student_data[#All],5,0)&gt;8,"HIGH",IF(VLOOKUP(Table7[[#This Row],[Student_ID]],student_data[#All],5,0)&lt;6.5,"LOW","MEDIUM"))</f>
        <v>MEDIUM</v>
      </c>
    </row>
    <row r="416" spans="1:10" x14ac:dyDescent="0.2">
      <c r="A416" s="1" t="s">
        <v>425</v>
      </c>
      <c r="B416" s="1" t="str">
        <f>VLOOKUP(Table7[[#This Row],[Student_ID]],student_data[#All],2,0)</f>
        <v>Information Technology</v>
      </c>
      <c r="C416" s="1">
        <f>(VLOOKUP(Table7[[#This Row],[Student_ID]],student_data[],5,0)*5)+(VLOOKUP(Table7[[#This Row],[Student_ID]],student_data[],6,0)*3)+(VLOOKUP(Table7[[#This Row],[Student_ID]],student_skills[],6,0)*2)+(VLOOKUP(Table7[[#This Row],[Student_ID]],student_internships[],2,0)*5)</f>
        <v>81</v>
      </c>
      <c r="D416" s="1">
        <f>AVERAGE(VLOOKUP(Table7[[#This Row],[Student_ID]],student_skills[],3,0),VLOOKUP(Table7[[#This Row],[Student_ID]],student_skills[],4,0),VLOOKUP(Table7[[#This Row],[Student_ID]],student_skills[],5,0),VLOOKUP(Table7[[#This Row],[Student_ID]],student_skills[],6,0))</f>
        <v>7.75</v>
      </c>
      <c r="E416" s="1" t="str">
        <f>IF(VLOOKUP(Table7[[#This Row],[Student_ID]],student_internships[#All],2,0)&gt;1,"EXPERIENCED",IF(VLOOKUP(Table7[[#This Row],[Student_ID]],student_internships[#All],2,0)=1,"BEGINNER","NOT EXPERIENCED"))</f>
        <v>EXPERIENCED</v>
      </c>
      <c r="F416" s="1">
        <f>VLOOKUP(Table7[[#This Row],[Student_ID]],student_data[],5,0)</f>
        <v>8.6</v>
      </c>
      <c r="G416" s="1">
        <f>VLOOKUP(Table7[[#This Row],[Student_ID]],student_data[#All],6,0)</f>
        <v>1</v>
      </c>
      <c r="H416" s="1">
        <f>VLOOKUP(Table7[[#This Row],[Student_ID]],student_internships[],2,0)</f>
        <v>3</v>
      </c>
      <c r="I416" s="1">
        <f>VLOOKUP(Table7[[#This Row],[Student_ID]],Placements!A416:E1415,5,0)</f>
        <v>5.12</v>
      </c>
      <c r="J416" s="1" t="str">
        <f>IF(VLOOKUP(Table7[[#This Row],[Student_ID]],student_data[#All],5,0)&gt;8,"HIGH",IF(VLOOKUP(Table7[[#This Row],[Student_ID]],student_data[#All],5,0)&lt;6.5,"LOW","MEDIUM"))</f>
        <v>HIGH</v>
      </c>
    </row>
    <row r="417" spans="1:10" x14ac:dyDescent="0.2">
      <c r="A417" s="1" t="s">
        <v>426</v>
      </c>
      <c r="B417" s="1" t="str">
        <f>VLOOKUP(Table7[[#This Row],[Student_ID]],student_data[#All],2,0)</f>
        <v>Civil</v>
      </c>
      <c r="C417" s="1">
        <f>(VLOOKUP(Table7[[#This Row],[Student_ID]],student_data[],5,0)*5)+(VLOOKUP(Table7[[#This Row],[Student_ID]],student_data[],6,0)*3)+(VLOOKUP(Table7[[#This Row],[Student_ID]],student_skills[],6,0)*2)+(VLOOKUP(Table7[[#This Row],[Student_ID]],student_internships[],2,0)*5)</f>
        <v>59.1</v>
      </c>
      <c r="D417" s="1">
        <f>AVERAGE(VLOOKUP(Table7[[#This Row],[Student_ID]],student_skills[],3,0),VLOOKUP(Table7[[#This Row],[Student_ID]],student_skills[],4,0),VLOOKUP(Table7[[#This Row],[Student_ID]],student_skills[],5,0),VLOOKUP(Table7[[#This Row],[Student_ID]],student_skills[],6,0))</f>
        <v>4.5</v>
      </c>
      <c r="E417" s="1" t="str">
        <f>IF(VLOOKUP(Table7[[#This Row],[Student_ID]],student_internships[#All],2,0)&gt;1,"EXPERIENCED",IF(VLOOKUP(Table7[[#This Row],[Student_ID]],student_internships[#All],2,0)=1,"BEGINNER","NOT EXPERIENCED"))</f>
        <v>BEGINNER</v>
      </c>
      <c r="F417" s="1">
        <f>VLOOKUP(Table7[[#This Row],[Student_ID]],student_data[],5,0)</f>
        <v>7.82</v>
      </c>
      <c r="G417" s="1">
        <f>VLOOKUP(Table7[[#This Row],[Student_ID]],student_data[#All],6,0)</f>
        <v>1</v>
      </c>
      <c r="H417" s="1">
        <f>VLOOKUP(Table7[[#This Row],[Student_ID]],student_internships[],2,0)</f>
        <v>1</v>
      </c>
      <c r="I417" s="1">
        <f>VLOOKUP(Table7[[#This Row],[Student_ID]],Placements!A417:E1416,5,0)</f>
        <v>14.36</v>
      </c>
      <c r="J417" s="1" t="str">
        <f>IF(VLOOKUP(Table7[[#This Row],[Student_ID]],student_data[#All],5,0)&gt;8,"HIGH",IF(VLOOKUP(Table7[[#This Row],[Student_ID]],student_data[#All],5,0)&lt;6.5,"LOW","MEDIUM"))</f>
        <v>MEDIUM</v>
      </c>
    </row>
    <row r="418" spans="1:10" x14ac:dyDescent="0.2">
      <c r="A418" s="1" t="s">
        <v>427</v>
      </c>
      <c r="B418" s="1" t="str">
        <f>VLOOKUP(Table7[[#This Row],[Student_ID]],student_data[#All],2,0)</f>
        <v>Computer Science</v>
      </c>
      <c r="C418" s="1">
        <f>(VLOOKUP(Table7[[#This Row],[Student_ID]],student_data[],5,0)*5)+(VLOOKUP(Table7[[#This Row],[Student_ID]],student_data[],6,0)*3)+(VLOOKUP(Table7[[#This Row],[Student_ID]],student_skills[],6,0)*2)+(VLOOKUP(Table7[[#This Row],[Student_ID]],student_internships[],2,0)*5)</f>
        <v>45.699999999999996</v>
      </c>
      <c r="D418" s="1">
        <f>AVERAGE(VLOOKUP(Table7[[#This Row],[Student_ID]],student_skills[],3,0),VLOOKUP(Table7[[#This Row],[Student_ID]],student_skills[],4,0),VLOOKUP(Table7[[#This Row],[Student_ID]],student_skills[],5,0),VLOOKUP(Table7[[#This Row],[Student_ID]],student_skills[],6,0))</f>
        <v>2.5</v>
      </c>
      <c r="E418" s="1" t="str">
        <f>IF(VLOOKUP(Table7[[#This Row],[Student_ID]],student_internships[#All],2,0)&gt;1,"EXPERIENCED",IF(VLOOKUP(Table7[[#This Row],[Student_ID]],student_internships[#All],2,0)=1,"BEGINNER","NOT EXPERIENCED"))</f>
        <v>BEGINNER</v>
      </c>
      <c r="F418" s="1">
        <f>VLOOKUP(Table7[[#This Row],[Student_ID]],student_data[],5,0)</f>
        <v>7.14</v>
      </c>
      <c r="G418" s="1">
        <f>VLOOKUP(Table7[[#This Row],[Student_ID]],student_data[#All],6,0)</f>
        <v>1</v>
      </c>
      <c r="H418" s="1">
        <f>VLOOKUP(Table7[[#This Row],[Student_ID]],student_internships[],2,0)</f>
        <v>1</v>
      </c>
      <c r="I418" s="1">
        <f>VLOOKUP(Table7[[#This Row],[Student_ID]],Placements!A418:E1417,5,0)</f>
        <v>3.89</v>
      </c>
      <c r="J418" s="1" t="str">
        <f>IF(VLOOKUP(Table7[[#This Row],[Student_ID]],student_data[#All],5,0)&gt;8,"HIGH",IF(VLOOKUP(Table7[[#This Row],[Student_ID]],student_data[#All],5,0)&lt;6.5,"LOW","MEDIUM"))</f>
        <v>MEDIUM</v>
      </c>
    </row>
    <row r="419" spans="1:10" x14ac:dyDescent="0.2">
      <c r="A419" s="1" t="s">
        <v>428</v>
      </c>
      <c r="B419" s="1" t="str">
        <f>VLOOKUP(Table7[[#This Row],[Student_ID]],student_data[#All],2,0)</f>
        <v>Information Technology</v>
      </c>
      <c r="C419" s="1">
        <f>(VLOOKUP(Table7[[#This Row],[Student_ID]],student_data[],5,0)*5)+(VLOOKUP(Table7[[#This Row],[Student_ID]],student_data[],6,0)*3)+(VLOOKUP(Table7[[#This Row],[Student_ID]],student_skills[],6,0)*2)+(VLOOKUP(Table7[[#This Row],[Student_ID]],student_internships[],2,0)*5)</f>
        <v>55.15</v>
      </c>
      <c r="D419" s="1">
        <f>AVERAGE(VLOOKUP(Table7[[#This Row],[Student_ID]],student_skills[],3,0),VLOOKUP(Table7[[#This Row],[Student_ID]],student_skills[],4,0),VLOOKUP(Table7[[#This Row],[Student_ID]],student_skills[],5,0),VLOOKUP(Table7[[#This Row],[Student_ID]],student_skills[],6,0))</f>
        <v>4</v>
      </c>
      <c r="E419" s="1" t="str">
        <f>IF(VLOOKUP(Table7[[#This Row],[Student_ID]],student_internships[#All],2,0)&gt;1,"EXPERIENCED",IF(VLOOKUP(Table7[[#This Row],[Student_ID]],student_internships[#All],2,0)=1,"BEGINNER","NOT EXPERIENCED"))</f>
        <v>BEGINNER</v>
      </c>
      <c r="F419" s="1">
        <f>VLOOKUP(Table7[[#This Row],[Student_ID]],student_data[],5,0)</f>
        <v>6.63</v>
      </c>
      <c r="G419" s="1">
        <f>VLOOKUP(Table7[[#This Row],[Student_ID]],student_data[#All],6,0)</f>
        <v>3</v>
      </c>
      <c r="H419" s="1">
        <f>VLOOKUP(Table7[[#This Row],[Student_ID]],student_internships[],2,0)</f>
        <v>1</v>
      </c>
      <c r="I419" s="1">
        <f>VLOOKUP(Table7[[#This Row],[Student_ID]],Placements!A419:E1418,5,0)</f>
        <v>4.5</v>
      </c>
      <c r="J419" s="1" t="str">
        <f>IF(VLOOKUP(Table7[[#This Row],[Student_ID]],student_data[#All],5,0)&gt;8,"HIGH",IF(VLOOKUP(Table7[[#This Row],[Student_ID]],student_data[#All],5,0)&lt;6.5,"LOW","MEDIUM"))</f>
        <v>MEDIUM</v>
      </c>
    </row>
    <row r="420" spans="1:10" x14ac:dyDescent="0.2">
      <c r="A420" s="1" t="s">
        <v>429</v>
      </c>
      <c r="B420" s="1" t="str">
        <f>VLOOKUP(Table7[[#This Row],[Student_ID]],student_data[#All],2,0)</f>
        <v>Electronics</v>
      </c>
      <c r="C420" s="1">
        <f>(VLOOKUP(Table7[[#This Row],[Student_ID]],student_data[],5,0)*5)+(VLOOKUP(Table7[[#This Row],[Student_ID]],student_data[],6,0)*3)+(VLOOKUP(Table7[[#This Row],[Student_ID]],student_skills[],6,0)*2)+(VLOOKUP(Table7[[#This Row],[Student_ID]],student_internships[],2,0)*5)</f>
        <v>69</v>
      </c>
      <c r="D420" s="1">
        <f>AVERAGE(VLOOKUP(Table7[[#This Row],[Student_ID]],student_skills[],3,0),VLOOKUP(Table7[[#This Row],[Student_ID]],student_skills[],4,0),VLOOKUP(Table7[[#This Row],[Student_ID]],student_skills[],5,0),VLOOKUP(Table7[[#This Row],[Student_ID]],student_skills[],6,0))</f>
        <v>7</v>
      </c>
      <c r="E420" s="1" t="str">
        <f>IF(VLOOKUP(Table7[[#This Row],[Student_ID]],student_internships[#All],2,0)&gt;1,"EXPERIENCED",IF(VLOOKUP(Table7[[#This Row],[Student_ID]],student_internships[#All],2,0)=1,"BEGINNER","NOT EXPERIENCED"))</f>
        <v>NOT EXPERIENCED</v>
      </c>
      <c r="F420" s="1">
        <f>VLOOKUP(Table7[[#This Row],[Student_ID]],student_data[],5,0)</f>
        <v>9.1999999999999993</v>
      </c>
      <c r="G420" s="1">
        <f>VLOOKUP(Table7[[#This Row],[Student_ID]],student_data[#All],6,0)</f>
        <v>3</v>
      </c>
      <c r="H420" s="1">
        <f>VLOOKUP(Table7[[#This Row],[Student_ID]],student_internships[],2,0)</f>
        <v>0</v>
      </c>
      <c r="I420" s="1">
        <f>VLOOKUP(Table7[[#This Row],[Student_ID]],Placements!A420:E1419,5,0)</f>
        <v>3.52</v>
      </c>
      <c r="J420" s="1" t="str">
        <f>IF(VLOOKUP(Table7[[#This Row],[Student_ID]],student_data[#All],5,0)&gt;8,"HIGH",IF(VLOOKUP(Table7[[#This Row],[Student_ID]],student_data[#All],5,0)&lt;6.5,"LOW","MEDIUM"))</f>
        <v>HIGH</v>
      </c>
    </row>
    <row r="421" spans="1:10" x14ac:dyDescent="0.2">
      <c r="A421" s="1" t="s">
        <v>430</v>
      </c>
      <c r="B421" s="1" t="str">
        <f>VLOOKUP(Table7[[#This Row],[Student_ID]],student_data[#All],2,0)</f>
        <v>Electronics</v>
      </c>
      <c r="C421" s="1">
        <f>(VLOOKUP(Table7[[#This Row],[Student_ID]],student_data[],5,0)*5)+(VLOOKUP(Table7[[#This Row],[Student_ID]],student_data[],6,0)*3)+(VLOOKUP(Table7[[#This Row],[Student_ID]],student_skills[],6,0)*2)+(VLOOKUP(Table7[[#This Row],[Student_ID]],student_internships[],2,0)*5)</f>
        <v>44.599999999999994</v>
      </c>
      <c r="D421" s="1">
        <f>AVERAGE(VLOOKUP(Table7[[#This Row],[Student_ID]],student_skills[],3,0),VLOOKUP(Table7[[#This Row],[Student_ID]],student_skills[],4,0),VLOOKUP(Table7[[#This Row],[Student_ID]],student_skills[],5,0),VLOOKUP(Table7[[#This Row],[Student_ID]],student_skills[],6,0))</f>
        <v>5.75</v>
      </c>
      <c r="E421" s="1" t="str">
        <f>IF(VLOOKUP(Table7[[#This Row],[Student_ID]],student_internships[#All],2,0)&gt;1,"EXPERIENCED",IF(VLOOKUP(Table7[[#This Row],[Student_ID]],student_internships[#All],2,0)=1,"BEGINNER","NOT EXPERIENCED"))</f>
        <v>BEGINNER</v>
      </c>
      <c r="F421" s="1">
        <f>VLOOKUP(Table7[[#This Row],[Student_ID]],student_data[],5,0)</f>
        <v>5.72</v>
      </c>
      <c r="G421" s="1">
        <f>VLOOKUP(Table7[[#This Row],[Student_ID]],student_data[#All],6,0)</f>
        <v>3</v>
      </c>
      <c r="H421" s="1">
        <f>VLOOKUP(Table7[[#This Row],[Student_ID]],student_internships[],2,0)</f>
        <v>1</v>
      </c>
      <c r="I421" s="1">
        <f>VLOOKUP(Table7[[#This Row],[Student_ID]],Placements!A421:E1420,5,0)</f>
        <v>4.68</v>
      </c>
      <c r="J421" s="1" t="str">
        <f>IF(VLOOKUP(Table7[[#This Row],[Student_ID]],student_data[#All],5,0)&gt;8,"HIGH",IF(VLOOKUP(Table7[[#This Row],[Student_ID]],student_data[#All],5,0)&lt;6.5,"LOW","MEDIUM"))</f>
        <v>LOW</v>
      </c>
    </row>
    <row r="422" spans="1:10" x14ac:dyDescent="0.2">
      <c r="A422" s="1" t="s">
        <v>431</v>
      </c>
      <c r="B422" s="1" t="str">
        <f>VLOOKUP(Table7[[#This Row],[Student_ID]],student_data[#All],2,0)</f>
        <v>Information Technology</v>
      </c>
      <c r="C422" s="1">
        <f>(VLOOKUP(Table7[[#This Row],[Student_ID]],student_data[],5,0)*5)+(VLOOKUP(Table7[[#This Row],[Student_ID]],student_data[],6,0)*3)+(VLOOKUP(Table7[[#This Row],[Student_ID]],student_skills[],6,0)*2)+(VLOOKUP(Table7[[#This Row],[Student_ID]],student_internships[],2,0)*5)</f>
        <v>56.75</v>
      </c>
      <c r="D422" s="1">
        <f>AVERAGE(VLOOKUP(Table7[[#This Row],[Student_ID]],student_skills[],3,0),VLOOKUP(Table7[[#This Row],[Student_ID]],student_skills[],4,0),VLOOKUP(Table7[[#This Row],[Student_ID]],student_skills[],5,0),VLOOKUP(Table7[[#This Row],[Student_ID]],student_skills[],6,0))</f>
        <v>5</v>
      </c>
      <c r="E422" s="1" t="str">
        <f>IF(VLOOKUP(Table7[[#This Row],[Student_ID]],student_internships[#All],2,0)&gt;1,"EXPERIENCED",IF(VLOOKUP(Table7[[#This Row],[Student_ID]],student_internships[#All],2,0)=1,"BEGINNER","NOT EXPERIENCED"))</f>
        <v>BEGINNER</v>
      </c>
      <c r="F422" s="1">
        <f>VLOOKUP(Table7[[#This Row],[Student_ID]],student_data[],5,0)</f>
        <v>7.15</v>
      </c>
      <c r="G422" s="1">
        <f>VLOOKUP(Table7[[#This Row],[Student_ID]],student_data[#All],6,0)</f>
        <v>0</v>
      </c>
      <c r="H422" s="1">
        <f>VLOOKUP(Table7[[#This Row],[Student_ID]],student_internships[],2,0)</f>
        <v>1</v>
      </c>
      <c r="I422" s="1">
        <f>VLOOKUP(Table7[[#This Row],[Student_ID]],Placements!A422:E1421,5,0)</f>
        <v>0</v>
      </c>
      <c r="J422" s="1" t="str">
        <f>IF(VLOOKUP(Table7[[#This Row],[Student_ID]],student_data[#All],5,0)&gt;8,"HIGH",IF(VLOOKUP(Table7[[#This Row],[Student_ID]],student_data[#All],5,0)&lt;6.5,"LOW","MEDIUM"))</f>
        <v>MEDIUM</v>
      </c>
    </row>
    <row r="423" spans="1:10" x14ac:dyDescent="0.2">
      <c r="A423" s="1" t="s">
        <v>432</v>
      </c>
      <c r="B423" s="1" t="str">
        <f>VLOOKUP(Table7[[#This Row],[Student_ID]],student_data[#All],2,0)</f>
        <v>Civil</v>
      </c>
      <c r="C423" s="1">
        <f>(VLOOKUP(Table7[[#This Row],[Student_ID]],student_data[],5,0)*5)+(VLOOKUP(Table7[[#This Row],[Student_ID]],student_data[],6,0)*3)+(VLOOKUP(Table7[[#This Row],[Student_ID]],student_skills[],6,0)*2)+(VLOOKUP(Table7[[#This Row],[Student_ID]],student_internships[],2,0)*5)</f>
        <v>92.6</v>
      </c>
      <c r="D423" s="1">
        <f>AVERAGE(VLOOKUP(Table7[[#This Row],[Student_ID]],student_skills[],3,0),VLOOKUP(Table7[[#This Row],[Student_ID]],student_skills[],4,0),VLOOKUP(Table7[[#This Row],[Student_ID]],student_skills[],5,0),VLOOKUP(Table7[[#This Row],[Student_ID]],student_skills[],6,0))</f>
        <v>6</v>
      </c>
      <c r="E423" s="1" t="str">
        <f>IF(VLOOKUP(Table7[[#This Row],[Student_ID]],student_internships[#All],2,0)&gt;1,"EXPERIENCED",IF(VLOOKUP(Table7[[#This Row],[Student_ID]],student_internships[#All],2,0)=1,"BEGINNER","NOT EXPERIENCED"))</f>
        <v>EXPERIENCED</v>
      </c>
      <c r="F423" s="1">
        <f>VLOOKUP(Table7[[#This Row],[Student_ID]],student_data[],5,0)</f>
        <v>9.52</v>
      </c>
      <c r="G423" s="1">
        <f>VLOOKUP(Table7[[#This Row],[Student_ID]],student_data[#All],6,0)</f>
        <v>5</v>
      </c>
      <c r="H423" s="1">
        <f>VLOOKUP(Table7[[#This Row],[Student_ID]],student_internships[],2,0)</f>
        <v>2</v>
      </c>
      <c r="I423" s="1">
        <f>VLOOKUP(Table7[[#This Row],[Student_ID]],Placements!A423:E1422,5,0)</f>
        <v>6.88</v>
      </c>
      <c r="J423" s="1" t="str">
        <f>IF(VLOOKUP(Table7[[#This Row],[Student_ID]],student_data[#All],5,0)&gt;8,"HIGH",IF(VLOOKUP(Table7[[#This Row],[Student_ID]],student_data[#All],5,0)&lt;6.5,"LOW","MEDIUM"))</f>
        <v>HIGH</v>
      </c>
    </row>
    <row r="424" spans="1:10" x14ac:dyDescent="0.2">
      <c r="A424" s="1" t="s">
        <v>433</v>
      </c>
      <c r="B424" s="1" t="str">
        <f>VLOOKUP(Table7[[#This Row],[Student_ID]],student_data[#All],2,0)</f>
        <v>Electronics</v>
      </c>
      <c r="C424" s="1">
        <f>(VLOOKUP(Table7[[#This Row],[Student_ID]],student_data[],5,0)*5)+(VLOOKUP(Table7[[#This Row],[Student_ID]],student_data[],6,0)*3)+(VLOOKUP(Table7[[#This Row],[Student_ID]],student_skills[],6,0)*2)+(VLOOKUP(Table7[[#This Row],[Student_ID]],student_internships[],2,0)*5)</f>
        <v>68.150000000000006</v>
      </c>
      <c r="D424" s="1">
        <f>AVERAGE(VLOOKUP(Table7[[#This Row],[Student_ID]],student_skills[],3,0),VLOOKUP(Table7[[#This Row],[Student_ID]],student_skills[],4,0),VLOOKUP(Table7[[#This Row],[Student_ID]],student_skills[],5,0),VLOOKUP(Table7[[#This Row],[Student_ID]],student_skills[],6,0))</f>
        <v>6.5</v>
      </c>
      <c r="E424" s="1" t="str">
        <f>IF(VLOOKUP(Table7[[#This Row],[Student_ID]],student_internships[#All],2,0)&gt;1,"EXPERIENCED",IF(VLOOKUP(Table7[[#This Row],[Student_ID]],student_internships[#All],2,0)=1,"BEGINNER","NOT EXPERIENCED"))</f>
        <v>EXPERIENCED</v>
      </c>
      <c r="F424" s="1">
        <f>VLOOKUP(Table7[[#This Row],[Student_ID]],student_data[],5,0)</f>
        <v>9.23</v>
      </c>
      <c r="G424" s="1">
        <f>VLOOKUP(Table7[[#This Row],[Student_ID]],student_data[#All],6,0)</f>
        <v>0</v>
      </c>
      <c r="H424" s="1">
        <f>VLOOKUP(Table7[[#This Row],[Student_ID]],student_internships[],2,0)</f>
        <v>2</v>
      </c>
      <c r="I424" s="1">
        <f>VLOOKUP(Table7[[#This Row],[Student_ID]],Placements!A424:E1423,5,0)</f>
        <v>5.19</v>
      </c>
      <c r="J424" s="1" t="str">
        <f>IF(VLOOKUP(Table7[[#This Row],[Student_ID]],student_data[#All],5,0)&gt;8,"HIGH",IF(VLOOKUP(Table7[[#This Row],[Student_ID]],student_data[#All],5,0)&lt;6.5,"LOW","MEDIUM"))</f>
        <v>HIGH</v>
      </c>
    </row>
    <row r="425" spans="1:10" x14ac:dyDescent="0.2">
      <c r="A425" s="1" t="s">
        <v>434</v>
      </c>
      <c r="B425" s="1" t="str">
        <f>VLOOKUP(Table7[[#This Row],[Student_ID]],student_data[#All],2,0)</f>
        <v>Civil</v>
      </c>
      <c r="C425" s="1">
        <f>(VLOOKUP(Table7[[#This Row],[Student_ID]],student_data[],5,0)*5)+(VLOOKUP(Table7[[#This Row],[Student_ID]],student_data[],6,0)*3)+(VLOOKUP(Table7[[#This Row],[Student_ID]],student_skills[],6,0)*2)+(VLOOKUP(Table7[[#This Row],[Student_ID]],student_internships[],2,0)*5)</f>
        <v>58</v>
      </c>
      <c r="D425" s="1">
        <f>AVERAGE(VLOOKUP(Table7[[#This Row],[Student_ID]],student_skills[],3,0),VLOOKUP(Table7[[#This Row],[Student_ID]],student_skills[],4,0),VLOOKUP(Table7[[#This Row],[Student_ID]],student_skills[],5,0),VLOOKUP(Table7[[#This Row],[Student_ID]],student_skills[],6,0))</f>
        <v>5.5</v>
      </c>
      <c r="E425" s="1" t="str">
        <f>IF(VLOOKUP(Table7[[#This Row],[Student_ID]],student_internships[#All],2,0)&gt;1,"EXPERIENCED",IF(VLOOKUP(Table7[[#This Row],[Student_ID]],student_internships[#All],2,0)=1,"BEGINNER","NOT EXPERIENCED"))</f>
        <v>EXPERIENCED</v>
      </c>
      <c r="F425" s="1">
        <f>VLOOKUP(Table7[[#This Row],[Student_ID]],student_data[],5,0)</f>
        <v>7</v>
      </c>
      <c r="G425" s="1">
        <f>VLOOKUP(Table7[[#This Row],[Student_ID]],student_data[#All],6,0)</f>
        <v>1</v>
      </c>
      <c r="H425" s="1">
        <f>VLOOKUP(Table7[[#This Row],[Student_ID]],student_internships[],2,0)</f>
        <v>2</v>
      </c>
      <c r="I425" s="1">
        <f>VLOOKUP(Table7[[#This Row],[Student_ID]],Placements!A425:E1424,5,0)</f>
        <v>6.88</v>
      </c>
      <c r="J425" s="1" t="str">
        <f>IF(VLOOKUP(Table7[[#This Row],[Student_ID]],student_data[#All],5,0)&gt;8,"HIGH",IF(VLOOKUP(Table7[[#This Row],[Student_ID]],student_data[#All],5,0)&lt;6.5,"LOW","MEDIUM"))</f>
        <v>MEDIUM</v>
      </c>
    </row>
    <row r="426" spans="1:10" x14ac:dyDescent="0.2">
      <c r="A426" s="1" t="s">
        <v>435</v>
      </c>
      <c r="B426" s="1" t="str">
        <f>VLOOKUP(Table7[[#This Row],[Student_ID]],student_data[#All],2,0)</f>
        <v>Electronics</v>
      </c>
      <c r="C426" s="1">
        <f>(VLOOKUP(Table7[[#This Row],[Student_ID]],student_data[],5,0)*5)+(VLOOKUP(Table7[[#This Row],[Student_ID]],student_data[],6,0)*3)+(VLOOKUP(Table7[[#This Row],[Student_ID]],student_skills[],6,0)*2)+(VLOOKUP(Table7[[#This Row],[Student_ID]],student_internships[],2,0)*5)</f>
        <v>79.099999999999994</v>
      </c>
      <c r="D426" s="1">
        <f>AVERAGE(VLOOKUP(Table7[[#This Row],[Student_ID]],student_skills[],3,0),VLOOKUP(Table7[[#This Row],[Student_ID]],student_skills[],4,0),VLOOKUP(Table7[[#This Row],[Student_ID]],student_skills[],5,0),VLOOKUP(Table7[[#This Row],[Student_ID]],student_skills[],6,0))</f>
        <v>7.5</v>
      </c>
      <c r="E426" s="1" t="str">
        <f>IF(VLOOKUP(Table7[[#This Row],[Student_ID]],student_internships[#All],2,0)&gt;1,"EXPERIENCED",IF(VLOOKUP(Table7[[#This Row],[Student_ID]],student_internships[#All],2,0)=1,"BEGINNER","NOT EXPERIENCED"))</f>
        <v>NOT EXPERIENCED</v>
      </c>
      <c r="F426" s="1">
        <f>VLOOKUP(Table7[[#This Row],[Student_ID]],student_data[],5,0)</f>
        <v>8.82</v>
      </c>
      <c r="G426" s="1">
        <f>VLOOKUP(Table7[[#This Row],[Student_ID]],student_data[#All],6,0)</f>
        <v>5</v>
      </c>
      <c r="H426" s="1">
        <f>VLOOKUP(Table7[[#This Row],[Student_ID]],student_internships[],2,0)</f>
        <v>0</v>
      </c>
      <c r="I426" s="1">
        <f>VLOOKUP(Table7[[#This Row],[Student_ID]],Placements!A426:E1425,5,0)</f>
        <v>0</v>
      </c>
      <c r="J426" s="1" t="str">
        <f>IF(VLOOKUP(Table7[[#This Row],[Student_ID]],student_data[#All],5,0)&gt;8,"HIGH",IF(VLOOKUP(Table7[[#This Row],[Student_ID]],student_data[#All],5,0)&lt;6.5,"LOW","MEDIUM"))</f>
        <v>HIGH</v>
      </c>
    </row>
    <row r="427" spans="1:10" x14ac:dyDescent="0.2">
      <c r="A427" s="1" t="s">
        <v>436</v>
      </c>
      <c r="B427" s="1" t="str">
        <f>VLOOKUP(Table7[[#This Row],[Student_ID]],student_data[#All],2,0)</f>
        <v>Electronics</v>
      </c>
      <c r="C427" s="1">
        <f>(VLOOKUP(Table7[[#This Row],[Student_ID]],student_data[],5,0)*5)+(VLOOKUP(Table7[[#This Row],[Student_ID]],student_data[],6,0)*3)+(VLOOKUP(Table7[[#This Row],[Student_ID]],student_skills[],6,0)*2)+(VLOOKUP(Table7[[#This Row],[Student_ID]],student_internships[],2,0)*5)</f>
        <v>74.599999999999994</v>
      </c>
      <c r="D427" s="1">
        <f>AVERAGE(VLOOKUP(Table7[[#This Row],[Student_ID]],student_skills[],3,0),VLOOKUP(Table7[[#This Row],[Student_ID]],student_skills[],4,0),VLOOKUP(Table7[[#This Row],[Student_ID]],student_skills[],5,0),VLOOKUP(Table7[[#This Row],[Student_ID]],student_skills[],6,0))</f>
        <v>7</v>
      </c>
      <c r="E427" s="1" t="str">
        <f>IF(VLOOKUP(Table7[[#This Row],[Student_ID]],student_internships[#All],2,0)&gt;1,"EXPERIENCED",IF(VLOOKUP(Table7[[#This Row],[Student_ID]],student_internships[#All],2,0)=1,"BEGINNER","NOT EXPERIENCED"))</f>
        <v>BEGINNER</v>
      </c>
      <c r="F427" s="1">
        <f>VLOOKUP(Table7[[#This Row],[Student_ID]],student_data[],5,0)</f>
        <v>9.1199999999999992</v>
      </c>
      <c r="G427" s="1">
        <f>VLOOKUP(Table7[[#This Row],[Student_ID]],student_data[#All],6,0)</f>
        <v>2</v>
      </c>
      <c r="H427" s="1">
        <f>VLOOKUP(Table7[[#This Row],[Student_ID]],student_internships[],2,0)</f>
        <v>1</v>
      </c>
      <c r="I427" s="1">
        <f>VLOOKUP(Table7[[#This Row],[Student_ID]],Placements!A427:E1426,5,0)</f>
        <v>3.87</v>
      </c>
      <c r="J427" s="1" t="str">
        <f>IF(VLOOKUP(Table7[[#This Row],[Student_ID]],student_data[#All],5,0)&gt;8,"HIGH",IF(VLOOKUP(Table7[[#This Row],[Student_ID]],student_data[#All],5,0)&lt;6.5,"LOW","MEDIUM"))</f>
        <v>HIGH</v>
      </c>
    </row>
    <row r="428" spans="1:10" x14ac:dyDescent="0.2">
      <c r="A428" s="1" t="s">
        <v>437</v>
      </c>
      <c r="B428" s="1" t="str">
        <f>VLOOKUP(Table7[[#This Row],[Student_ID]],student_data[#All],2,0)</f>
        <v>Mechanical</v>
      </c>
      <c r="C428" s="1">
        <f>(VLOOKUP(Table7[[#This Row],[Student_ID]],student_data[],5,0)*5)+(VLOOKUP(Table7[[#This Row],[Student_ID]],student_data[],6,0)*3)+(VLOOKUP(Table7[[#This Row],[Student_ID]],student_skills[],6,0)*2)+(VLOOKUP(Table7[[#This Row],[Student_ID]],student_internships[],2,0)*5)</f>
        <v>54.199999999999996</v>
      </c>
      <c r="D428" s="1">
        <f>AVERAGE(VLOOKUP(Table7[[#This Row],[Student_ID]],student_skills[],3,0),VLOOKUP(Table7[[#This Row],[Student_ID]],student_skills[],4,0),VLOOKUP(Table7[[#This Row],[Student_ID]],student_skills[],5,0),VLOOKUP(Table7[[#This Row],[Student_ID]],student_skills[],6,0))</f>
        <v>6.5</v>
      </c>
      <c r="E428" s="1" t="str">
        <f>IF(VLOOKUP(Table7[[#This Row],[Student_ID]],student_internships[#All],2,0)&gt;1,"EXPERIENCED",IF(VLOOKUP(Table7[[#This Row],[Student_ID]],student_internships[#All],2,0)=1,"BEGINNER","NOT EXPERIENCED"))</f>
        <v>NOT EXPERIENCED</v>
      </c>
      <c r="F428" s="1">
        <f>VLOOKUP(Table7[[#This Row],[Student_ID]],student_data[],5,0)</f>
        <v>9.44</v>
      </c>
      <c r="G428" s="1">
        <f>VLOOKUP(Table7[[#This Row],[Student_ID]],student_data[#All],6,0)</f>
        <v>1</v>
      </c>
      <c r="H428" s="1">
        <f>VLOOKUP(Table7[[#This Row],[Student_ID]],student_internships[],2,0)</f>
        <v>0</v>
      </c>
      <c r="I428" s="1">
        <f>VLOOKUP(Table7[[#This Row],[Student_ID]],Placements!A428:E1427,5,0)</f>
        <v>4.1900000000000004</v>
      </c>
      <c r="J428" s="1" t="str">
        <f>IF(VLOOKUP(Table7[[#This Row],[Student_ID]],student_data[#All],5,0)&gt;8,"HIGH",IF(VLOOKUP(Table7[[#This Row],[Student_ID]],student_data[#All],5,0)&lt;6.5,"LOW","MEDIUM"))</f>
        <v>HIGH</v>
      </c>
    </row>
    <row r="429" spans="1:10" x14ac:dyDescent="0.2">
      <c r="A429" s="1" t="s">
        <v>438</v>
      </c>
      <c r="B429" s="1" t="str">
        <f>VLOOKUP(Table7[[#This Row],[Student_ID]],student_data[#All],2,0)</f>
        <v>Electronics</v>
      </c>
      <c r="C429" s="1">
        <f>(VLOOKUP(Table7[[#This Row],[Student_ID]],student_data[],5,0)*5)+(VLOOKUP(Table7[[#This Row],[Student_ID]],student_data[],6,0)*3)+(VLOOKUP(Table7[[#This Row],[Student_ID]],student_skills[],6,0)*2)+(VLOOKUP(Table7[[#This Row],[Student_ID]],student_internships[],2,0)*5)</f>
        <v>65.599999999999994</v>
      </c>
      <c r="D429" s="1">
        <f>AVERAGE(VLOOKUP(Table7[[#This Row],[Student_ID]],student_skills[],3,0),VLOOKUP(Table7[[#This Row],[Student_ID]],student_skills[],4,0),VLOOKUP(Table7[[#This Row],[Student_ID]],student_skills[],5,0),VLOOKUP(Table7[[#This Row],[Student_ID]],student_skills[],6,0))</f>
        <v>6.25</v>
      </c>
      <c r="E429" s="1" t="str">
        <f>IF(VLOOKUP(Table7[[#This Row],[Student_ID]],student_internships[#All],2,0)&gt;1,"EXPERIENCED",IF(VLOOKUP(Table7[[#This Row],[Student_ID]],student_internships[#All],2,0)=1,"BEGINNER","NOT EXPERIENCED"))</f>
        <v>BEGINNER</v>
      </c>
      <c r="F429" s="1">
        <f>VLOOKUP(Table7[[#This Row],[Student_ID]],student_data[],5,0)</f>
        <v>7.72</v>
      </c>
      <c r="G429" s="1">
        <f>VLOOKUP(Table7[[#This Row],[Student_ID]],student_data[#All],6,0)</f>
        <v>4</v>
      </c>
      <c r="H429" s="1">
        <f>VLOOKUP(Table7[[#This Row],[Student_ID]],student_internships[],2,0)</f>
        <v>1</v>
      </c>
      <c r="I429" s="1">
        <f>VLOOKUP(Table7[[#This Row],[Student_ID]],Placements!A429:E1428,5,0)</f>
        <v>3.86</v>
      </c>
      <c r="J429" s="1" t="str">
        <f>IF(VLOOKUP(Table7[[#This Row],[Student_ID]],student_data[#All],5,0)&gt;8,"HIGH",IF(VLOOKUP(Table7[[#This Row],[Student_ID]],student_data[#All],5,0)&lt;6.5,"LOW","MEDIUM"))</f>
        <v>MEDIUM</v>
      </c>
    </row>
    <row r="430" spans="1:10" x14ac:dyDescent="0.2">
      <c r="A430" s="1" t="s">
        <v>439</v>
      </c>
      <c r="B430" s="1" t="str">
        <f>VLOOKUP(Table7[[#This Row],[Student_ID]],student_data[#All],2,0)</f>
        <v>Computer Science</v>
      </c>
      <c r="C430" s="1">
        <f>(VLOOKUP(Table7[[#This Row],[Student_ID]],student_data[],5,0)*5)+(VLOOKUP(Table7[[#This Row],[Student_ID]],student_data[],6,0)*3)+(VLOOKUP(Table7[[#This Row],[Student_ID]],student_skills[],6,0)*2)+(VLOOKUP(Table7[[#This Row],[Student_ID]],student_internships[],2,0)*5)</f>
        <v>47.099999999999994</v>
      </c>
      <c r="D430" s="1">
        <f>AVERAGE(VLOOKUP(Table7[[#This Row],[Student_ID]],student_skills[],3,0),VLOOKUP(Table7[[#This Row],[Student_ID]],student_skills[],4,0),VLOOKUP(Table7[[#This Row],[Student_ID]],student_skills[],5,0),VLOOKUP(Table7[[#This Row],[Student_ID]],student_skills[],6,0))</f>
        <v>5</v>
      </c>
      <c r="E430" s="1" t="str">
        <f>IF(VLOOKUP(Table7[[#This Row],[Student_ID]],student_internships[#All],2,0)&gt;1,"EXPERIENCED",IF(VLOOKUP(Table7[[#This Row],[Student_ID]],student_internships[#All],2,0)=1,"BEGINNER","NOT EXPERIENCED"))</f>
        <v>BEGINNER</v>
      </c>
      <c r="F430" s="1">
        <f>VLOOKUP(Table7[[#This Row],[Student_ID]],student_data[],5,0)</f>
        <v>6.02</v>
      </c>
      <c r="G430" s="1">
        <f>VLOOKUP(Table7[[#This Row],[Student_ID]],student_data[#All],6,0)</f>
        <v>0</v>
      </c>
      <c r="H430" s="1">
        <f>VLOOKUP(Table7[[#This Row],[Student_ID]],student_internships[],2,0)</f>
        <v>1</v>
      </c>
      <c r="I430" s="1">
        <f>VLOOKUP(Table7[[#This Row],[Student_ID]],Placements!A430:E1429,5,0)</f>
        <v>5.68</v>
      </c>
      <c r="J430" s="1" t="str">
        <f>IF(VLOOKUP(Table7[[#This Row],[Student_ID]],student_data[#All],5,0)&gt;8,"HIGH",IF(VLOOKUP(Table7[[#This Row],[Student_ID]],student_data[#All],5,0)&lt;6.5,"LOW","MEDIUM"))</f>
        <v>LOW</v>
      </c>
    </row>
    <row r="431" spans="1:10" x14ac:dyDescent="0.2">
      <c r="A431" s="1" t="s">
        <v>440</v>
      </c>
      <c r="B431" s="1" t="str">
        <f>VLOOKUP(Table7[[#This Row],[Student_ID]],student_data[#All],2,0)</f>
        <v>Information Technology</v>
      </c>
      <c r="C431" s="1">
        <f>(VLOOKUP(Table7[[#This Row],[Student_ID]],student_data[],5,0)*5)+(VLOOKUP(Table7[[#This Row],[Student_ID]],student_data[],6,0)*3)+(VLOOKUP(Table7[[#This Row],[Student_ID]],student_skills[],6,0)*2)+(VLOOKUP(Table7[[#This Row],[Student_ID]],student_internships[],2,0)*5)</f>
        <v>64.400000000000006</v>
      </c>
      <c r="D431" s="1">
        <f>AVERAGE(VLOOKUP(Table7[[#This Row],[Student_ID]],student_skills[],3,0),VLOOKUP(Table7[[#This Row],[Student_ID]],student_skills[],4,0),VLOOKUP(Table7[[#This Row],[Student_ID]],student_skills[],5,0),VLOOKUP(Table7[[#This Row],[Student_ID]],student_skills[],6,0))</f>
        <v>6.5</v>
      </c>
      <c r="E431" s="1" t="str">
        <f>IF(VLOOKUP(Table7[[#This Row],[Student_ID]],student_internships[#All],2,0)&gt;1,"EXPERIENCED",IF(VLOOKUP(Table7[[#This Row],[Student_ID]],student_internships[#All],2,0)=1,"BEGINNER","NOT EXPERIENCED"))</f>
        <v>EXPERIENCED</v>
      </c>
      <c r="F431" s="1">
        <f>VLOOKUP(Table7[[#This Row],[Student_ID]],student_data[],5,0)</f>
        <v>6.28</v>
      </c>
      <c r="G431" s="1">
        <f>VLOOKUP(Table7[[#This Row],[Student_ID]],student_data[#All],6,0)</f>
        <v>3</v>
      </c>
      <c r="H431" s="1">
        <f>VLOOKUP(Table7[[#This Row],[Student_ID]],student_internships[],2,0)</f>
        <v>2</v>
      </c>
      <c r="I431" s="1">
        <f>VLOOKUP(Table7[[#This Row],[Student_ID]],Placements!A431:E1430,5,0)</f>
        <v>4.1900000000000004</v>
      </c>
      <c r="J431" s="1" t="str">
        <f>IF(VLOOKUP(Table7[[#This Row],[Student_ID]],student_data[#All],5,0)&gt;8,"HIGH",IF(VLOOKUP(Table7[[#This Row],[Student_ID]],student_data[#All],5,0)&lt;6.5,"LOW","MEDIUM"))</f>
        <v>LOW</v>
      </c>
    </row>
    <row r="432" spans="1:10" x14ac:dyDescent="0.2">
      <c r="A432" s="1" t="s">
        <v>441</v>
      </c>
      <c r="B432" s="1" t="str">
        <f>VLOOKUP(Table7[[#This Row],[Student_ID]],student_data[#All],2,0)</f>
        <v>Information Technology</v>
      </c>
      <c r="C432" s="1">
        <f>(VLOOKUP(Table7[[#This Row],[Student_ID]],student_data[],5,0)*5)+(VLOOKUP(Table7[[#This Row],[Student_ID]],student_data[],6,0)*3)+(VLOOKUP(Table7[[#This Row],[Student_ID]],student_skills[],6,0)*2)+(VLOOKUP(Table7[[#This Row],[Student_ID]],student_internships[],2,0)*5)</f>
        <v>47.400000000000006</v>
      </c>
      <c r="D432" s="1">
        <f>AVERAGE(VLOOKUP(Table7[[#This Row],[Student_ID]],student_skills[],3,0),VLOOKUP(Table7[[#This Row],[Student_ID]],student_skills[],4,0),VLOOKUP(Table7[[#This Row],[Student_ID]],student_skills[],5,0),VLOOKUP(Table7[[#This Row],[Student_ID]],student_skills[],6,0))</f>
        <v>5.75</v>
      </c>
      <c r="E432" s="1" t="str">
        <f>IF(VLOOKUP(Table7[[#This Row],[Student_ID]],student_internships[#All],2,0)&gt;1,"EXPERIENCED",IF(VLOOKUP(Table7[[#This Row],[Student_ID]],student_internships[#All],2,0)=1,"BEGINNER","NOT EXPERIENCED"))</f>
        <v>BEGINNER</v>
      </c>
      <c r="F432" s="1">
        <f>VLOOKUP(Table7[[#This Row],[Student_ID]],student_data[],5,0)</f>
        <v>6.48</v>
      </c>
      <c r="G432" s="1">
        <f>VLOOKUP(Table7[[#This Row],[Student_ID]],student_data[#All],6,0)</f>
        <v>0</v>
      </c>
      <c r="H432" s="1">
        <f>VLOOKUP(Table7[[#This Row],[Student_ID]],student_internships[],2,0)</f>
        <v>1</v>
      </c>
      <c r="I432" s="1">
        <f>VLOOKUP(Table7[[#This Row],[Student_ID]],Placements!A432:E1431,5,0)</f>
        <v>0</v>
      </c>
      <c r="J432" s="1" t="str">
        <f>IF(VLOOKUP(Table7[[#This Row],[Student_ID]],student_data[#All],5,0)&gt;8,"HIGH",IF(VLOOKUP(Table7[[#This Row],[Student_ID]],student_data[#All],5,0)&lt;6.5,"LOW","MEDIUM"))</f>
        <v>LOW</v>
      </c>
    </row>
    <row r="433" spans="1:10" x14ac:dyDescent="0.2">
      <c r="A433" s="1" t="s">
        <v>442</v>
      </c>
      <c r="B433" s="1" t="str">
        <f>VLOOKUP(Table7[[#This Row],[Student_ID]],student_data[#All],2,0)</f>
        <v>Civil</v>
      </c>
      <c r="C433" s="1">
        <f>(VLOOKUP(Table7[[#This Row],[Student_ID]],student_data[],5,0)*5)+(VLOOKUP(Table7[[#This Row],[Student_ID]],student_data[],6,0)*3)+(VLOOKUP(Table7[[#This Row],[Student_ID]],student_skills[],6,0)*2)+(VLOOKUP(Table7[[#This Row],[Student_ID]],student_internships[],2,0)*5)</f>
        <v>66.849999999999994</v>
      </c>
      <c r="D433" s="1">
        <f>AVERAGE(VLOOKUP(Table7[[#This Row],[Student_ID]],student_skills[],3,0),VLOOKUP(Table7[[#This Row],[Student_ID]],student_skills[],4,0),VLOOKUP(Table7[[#This Row],[Student_ID]],student_skills[],5,0),VLOOKUP(Table7[[#This Row],[Student_ID]],student_skills[],6,0))</f>
        <v>5.5</v>
      </c>
      <c r="E433" s="1" t="str">
        <f>IF(VLOOKUP(Table7[[#This Row],[Student_ID]],student_internships[#All],2,0)&gt;1,"EXPERIENCED",IF(VLOOKUP(Table7[[#This Row],[Student_ID]],student_internships[#All],2,0)=1,"BEGINNER","NOT EXPERIENCED"))</f>
        <v>NOT EXPERIENCED</v>
      </c>
      <c r="F433" s="1">
        <f>VLOOKUP(Table7[[#This Row],[Student_ID]],student_data[],5,0)</f>
        <v>7.97</v>
      </c>
      <c r="G433" s="1">
        <f>VLOOKUP(Table7[[#This Row],[Student_ID]],student_data[#All],6,0)</f>
        <v>3</v>
      </c>
      <c r="H433" s="1">
        <f>VLOOKUP(Table7[[#This Row],[Student_ID]],student_internships[],2,0)</f>
        <v>0</v>
      </c>
      <c r="I433" s="1">
        <f>VLOOKUP(Table7[[#This Row],[Student_ID]],Placements!A433:E1432,5,0)</f>
        <v>4.5</v>
      </c>
      <c r="J433" s="1" t="str">
        <f>IF(VLOOKUP(Table7[[#This Row],[Student_ID]],student_data[#All],5,0)&gt;8,"HIGH",IF(VLOOKUP(Table7[[#This Row],[Student_ID]],student_data[#All],5,0)&lt;6.5,"LOW","MEDIUM"))</f>
        <v>MEDIUM</v>
      </c>
    </row>
    <row r="434" spans="1:10" x14ac:dyDescent="0.2">
      <c r="A434" s="1" t="s">
        <v>443</v>
      </c>
      <c r="B434" s="1" t="str">
        <f>VLOOKUP(Table7[[#This Row],[Student_ID]],student_data[#All],2,0)</f>
        <v>Electronics</v>
      </c>
      <c r="C434" s="1">
        <f>(VLOOKUP(Table7[[#This Row],[Student_ID]],student_data[],5,0)*5)+(VLOOKUP(Table7[[#This Row],[Student_ID]],student_data[],6,0)*3)+(VLOOKUP(Table7[[#This Row],[Student_ID]],student_skills[],6,0)*2)+(VLOOKUP(Table7[[#This Row],[Student_ID]],student_internships[],2,0)*5)</f>
        <v>42.8</v>
      </c>
      <c r="D434" s="1">
        <f>AVERAGE(VLOOKUP(Table7[[#This Row],[Student_ID]],student_skills[],3,0),VLOOKUP(Table7[[#This Row],[Student_ID]],student_skills[],4,0),VLOOKUP(Table7[[#This Row],[Student_ID]],student_skills[],5,0),VLOOKUP(Table7[[#This Row],[Student_ID]],student_skills[],6,0))</f>
        <v>5.25</v>
      </c>
      <c r="E434" s="1" t="str">
        <f>IF(VLOOKUP(Table7[[#This Row],[Student_ID]],student_internships[#All],2,0)&gt;1,"EXPERIENCED",IF(VLOOKUP(Table7[[#This Row],[Student_ID]],student_internships[#All],2,0)=1,"BEGINNER","NOT EXPERIENCED"))</f>
        <v>NOT EXPERIENCED</v>
      </c>
      <c r="F434" s="1">
        <f>VLOOKUP(Table7[[#This Row],[Student_ID]],student_data[],5,0)</f>
        <v>5.16</v>
      </c>
      <c r="G434" s="1">
        <f>VLOOKUP(Table7[[#This Row],[Student_ID]],student_data[#All],6,0)</f>
        <v>5</v>
      </c>
      <c r="H434" s="1">
        <f>VLOOKUP(Table7[[#This Row],[Student_ID]],student_internships[],2,0)</f>
        <v>0</v>
      </c>
      <c r="I434" s="1">
        <f>VLOOKUP(Table7[[#This Row],[Student_ID]],Placements!A434:E1433,5,0)</f>
        <v>6.34</v>
      </c>
      <c r="J434" s="1" t="str">
        <f>IF(VLOOKUP(Table7[[#This Row],[Student_ID]],student_data[#All],5,0)&gt;8,"HIGH",IF(VLOOKUP(Table7[[#This Row],[Student_ID]],student_data[#All],5,0)&lt;6.5,"LOW","MEDIUM"))</f>
        <v>LOW</v>
      </c>
    </row>
    <row r="435" spans="1:10" x14ac:dyDescent="0.2">
      <c r="A435" s="1" t="s">
        <v>444</v>
      </c>
      <c r="B435" s="1" t="str">
        <f>VLOOKUP(Table7[[#This Row],[Student_ID]],student_data[#All],2,0)</f>
        <v>Computer Science</v>
      </c>
      <c r="C435" s="1">
        <f>(VLOOKUP(Table7[[#This Row],[Student_ID]],student_data[],5,0)*5)+(VLOOKUP(Table7[[#This Row],[Student_ID]],student_data[],6,0)*3)+(VLOOKUP(Table7[[#This Row],[Student_ID]],student_skills[],6,0)*2)+(VLOOKUP(Table7[[#This Row],[Student_ID]],student_internships[],2,0)*5)</f>
        <v>76.900000000000006</v>
      </c>
      <c r="D435" s="1">
        <f>AVERAGE(VLOOKUP(Table7[[#This Row],[Student_ID]],student_skills[],3,0),VLOOKUP(Table7[[#This Row],[Student_ID]],student_skills[],4,0),VLOOKUP(Table7[[#This Row],[Student_ID]],student_skills[],5,0),VLOOKUP(Table7[[#This Row],[Student_ID]],student_skills[],6,0))</f>
        <v>6.25</v>
      </c>
      <c r="E435" s="1" t="str">
        <f>IF(VLOOKUP(Table7[[#This Row],[Student_ID]],student_internships[#All],2,0)&gt;1,"EXPERIENCED",IF(VLOOKUP(Table7[[#This Row],[Student_ID]],student_internships[#All],2,0)=1,"BEGINNER","NOT EXPERIENCED"))</f>
        <v>EXPERIENCED</v>
      </c>
      <c r="F435" s="1">
        <f>VLOOKUP(Table7[[#This Row],[Student_ID]],student_data[],5,0)</f>
        <v>8.18</v>
      </c>
      <c r="G435" s="1">
        <f>VLOOKUP(Table7[[#This Row],[Student_ID]],student_data[#All],6,0)</f>
        <v>4</v>
      </c>
      <c r="H435" s="1">
        <f>VLOOKUP(Table7[[#This Row],[Student_ID]],student_internships[],2,0)</f>
        <v>2</v>
      </c>
      <c r="I435" s="1">
        <f>VLOOKUP(Table7[[#This Row],[Student_ID]],Placements!A435:E1434,5,0)</f>
        <v>3.85</v>
      </c>
      <c r="J435" s="1" t="str">
        <f>IF(VLOOKUP(Table7[[#This Row],[Student_ID]],student_data[#All],5,0)&gt;8,"HIGH",IF(VLOOKUP(Table7[[#This Row],[Student_ID]],student_data[#All],5,0)&lt;6.5,"LOW","MEDIUM"))</f>
        <v>HIGH</v>
      </c>
    </row>
    <row r="436" spans="1:10" x14ac:dyDescent="0.2">
      <c r="A436" s="1" t="s">
        <v>445</v>
      </c>
      <c r="B436" s="1" t="str">
        <f>VLOOKUP(Table7[[#This Row],[Student_ID]],student_data[#All],2,0)</f>
        <v>Civil</v>
      </c>
      <c r="C436" s="1">
        <f>(VLOOKUP(Table7[[#This Row],[Student_ID]],student_data[],5,0)*5)+(VLOOKUP(Table7[[#This Row],[Student_ID]],student_data[],6,0)*3)+(VLOOKUP(Table7[[#This Row],[Student_ID]],student_skills[],6,0)*2)+(VLOOKUP(Table7[[#This Row],[Student_ID]],student_internships[],2,0)*5)</f>
        <v>74.099999999999994</v>
      </c>
      <c r="D436" s="1">
        <f>AVERAGE(VLOOKUP(Table7[[#This Row],[Student_ID]],student_skills[],3,0),VLOOKUP(Table7[[#This Row],[Student_ID]],student_skills[],4,0),VLOOKUP(Table7[[#This Row],[Student_ID]],student_skills[],5,0),VLOOKUP(Table7[[#This Row],[Student_ID]],student_skills[],6,0))</f>
        <v>9.75</v>
      </c>
      <c r="E436" s="1" t="str">
        <f>IF(VLOOKUP(Table7[[#This Row],[Student_ID]],student_internships[#All],2,0)&gt;1,"EXPERIENCED",IF(VLOOKUP(Table7[[#This Row],[Student_ID]],student_internships[#All],2,0)=1,"BEGINNER","NOT EXPERIENCED"))</f>
        <v>BEGINNER</v>
      </c>
      <c r="F436" s="1">
        <f>VLOOKUP(Table7[[#This Row],[Student_ID]],student_data[],5,0)</f>
        <v>6.82</v>
      </c>
      <c r="G436" s="1">
        <f>VLOOKUP(Table7[[#This Row],[Student_ID]],student_data[#All],6,0)</f>
        <v>5</v>
      </c>
      <c r="H436" s="1">
        <f>VLOOKUP(Table7[[#This Row],[Student_ID]],student_internships[],2,0)</f>
        <v>1</v>
      </c>
      <c r="I436" s="1">
        <f>VLOOKUP(Table7[[#This Row],[Student_ID]],Placements!A436:E1435,5,0)</f>
        <v>12.56</v>
      </c>
      <c r="J436" s="1" t="str">
        <f>IF(VLOOKUP(Table7[[#This Row],[Student_ID]],student_data[#All],5,0)&gt;8,"HIGH",IF(VLOOKUP(Table7[[#This Row],[Student_ID]],student_data[#All],5,0)&lt;6.5,"LOW","MEDIUM"))</f>
        <v>MEDIUM</v>
      </c>
    </row>
    <row r="437" spans="1:10" x14ac:dyDescent="0.2">
      <c r="A437" s="1" t="s">
        <v>446</v>
      </c>
      <c r="B437" s="1" t="str">
        <f>VLOOKUP(Table7[[#This Row],[Student_ID]],student_data[#All],2,0)</f>
        <v>Mechanical</v>
      </c>
      <c r="C437" s="1">
        <f>(VLOOKUP(Table7[[#This Row],[Student_ID]],student_data[],5,0)*5)+(VLOOKUP(Table7[[#This Row],[Student_ID]],student_data[],6,0)*3)+(VLOOKUP(Table7[[#This Row],[Student_ID]],student_skills[],6,0)*2)+(VLOOKUP(Table7[[#This Row],[Student_ID]],student_internships[],2,0)*5)</f>
        <v>58.400000000000006</v>
      </c>
      <c r="D437" s="1">
        <f>AVERAGE(VLOOKUP(Table7[[#This Row],[Student_ID]],student_skills[],3,0),VLOOKUP(Table7[[#This Row],[Student_ID]],student_skills[],4,0),VLOOKUP(Table7[[#This Row],[Student_ID]],student_skills[],5,0),VLOOKUP(Table7[[#This Row],[Student_ID]],student_skills[],6,0))</f>
        <v>4.5</v>
      </c>
      <c r="E437" s="1" t="str">
        <f>IF(VLOOKUP(Table7[[#This Row],[Student_ID]],student_internships[#All],2,0)&gt;1,"EXPERIENCED",IF(VLOOKUP(Table7[[#This Row],[Student_ID]],student_internships[#All],2,0)=1,"BEGINNER","NOT EXPERIENCED"))</f>
        <v>NOT EXPERIENCED</v>
      </c>
      <c r="F437" s="1">
        <f>VLOOKUP(Table7[[#This Row],[Student_ID]],student_data[],5,0)</f>
        <v>6.48</v>
      </c>
      <c r="G437" s="1">
        <f>VLOOKUP(Table7[[#This Row],[Student_ID]],student_data[#All],6,0)</f>
        <v>4</v>
      </c>
      <c r="H437" s="1">
        <f>VLOOKUP(Table7[[#This Row],[Student_ID]],student_internships[],2,0)</f>
        <v>0</v>
      </c>
      <c r="I437" s="1">
        <f>VLOOKUP(Table7[[#This Row],[Student_ID]],Placements!A437:E1436,5,0)</f>
        <v>5.65</v>
      </c>
      <c r="J437" s="1" t="str">
        <f>IF(VLOOKUP(Table7[[#This Row],[Student_ID]],student_data[#All],5,0)&gt;8,"HIGH",IF(VLOOKUP(Table7[[#This Row],[Student_ID]],student_data[#All],5,0)&lt;6.5,"LOW","MEDIUM"))</f>
        <v>LOW</v>
      </c>
    </row>
    <row r="438" spans="1:10" x14ac:dyDescent="0.2">
      <c r="A438" s="1" t="s">
        <v>447</v>
      </c>
      <c r="B438" s="1" t="str">
        <f>VLOOKUP(Table7[[#This Row],[Student_ID]],student_data[#All],2,0)</f>
        <v>Civil</v>
      </c>
      <c r="C438" s="1">
        <f>(VLOOKUP(Table7[[#This Row],[Student_ID]],student_data[],5,0)*5)+(VLOOKUP(Table7[[#This Row],[Student_ID]],student_data[],6,0)*3)+(VLOOKUP(Table7[[#This Row],[Student_ID]],student_skills[],6,0)*2)+(VLOOKUP(Table7[[#This Row],[Student_ID]],student_internships[],2,0)*5)</f>
        <v>55</v>
      </c>
      <c r="D438" s="1">
        <f>AVERAGE(VLOOKUP(Table7[[#This Row],[Student_ID]],student_skills[],3,0),VLOOKUP(Table7[[#This Row],[Student_ID]],student_skills[],4,0),VLOOKUP(Table7[[#This Row],[Student_ID]],student_skills[],5,0),VLOOKUP(Table7[[#This Row],[Student_ID]],student_skills[],6,0))</f>
        <v>7</v>
      </c>
      <c r="E438" s="1" t="str">
        <f>IF(VLOOKUP(Table7[[#This Row],[Student_ID]],student_internships[#All],2,0)&gt;1,"EXPERIENCED",IF(VLOOKUP(Table7[[#This Row],[Student_ID]],student_internships[#All],2,0)=1,"BEGINNER","NOT EXPERIENCED"))</f>
        <v>NOT EXPERIENCED</v>
      </c>
      <c r="F438" s="1">
        <f>VLOOKUP(Table7[[#This Row],[Student_ID]],student_data[],5,0)</f>
        <v>9.4</v>
      </c>
      <c r="G438" s="1">
        <f>VLOOKUP(Table7[[#This Row],[Student_ID]],student_data[#All],6,0)</f>
        <v>0</v>
      </c>
      <c r="H438" s="1">
        <f>VLOOKUP(Table7[[#This Row],[Student_ID]],student_internships[],2,0)</f>
        <v>0</v>
      </c>
      <c r="I438" s="1">
        <f>VLOOKUP(Table7[[#This Row],[Student_ID]],Placements!A438:E1437,5,0)</f>
        <v>4.1900000000000004</v>
      </c>
      <c r="J438" s="1" t="str">
        <f>IF(VLOOKUP(Table7[[#This Row],[Student_ID]],student_data[#All],5,0)&gt;8,"HIGH",IF(VLOOKUP(Table7[[#This Row],[Student_ID]],student_data[#All],5,0)&lt;6.5,"LOW","MEDIUM"))</f>
        <v>HIGH</v>
      </c>
    </row>
    <row r="439" spans="1:10" x14ac:dyDescent="0.2">
      <c r="A439" s="1" t="s">
        <v>448</v>
      </c>
      <c r="B439" s="1" t="str">
        <f>VLOOKUP(Table7[[#This Row],[Student_ID]],student_data[#All],2,0)</f>
        <v>Civil</v>
      </c>
      <c r="C439" s="1">
        <f>(VLOOKUP(Table7[[#This Row],[Student_ID]],student_data[],5,0)*5)+(VLOOKUP(Table7[[#This Row],[Student_ID]],student_data[],6,0)*3)+(VLOOKUP(Table7[[#This Row],[Student_ID]],student_skills[],6,0)*2)+(VLOOKUP(Table7[[#This Row],[Student_ID]],student_internships[],2,0)*5)</f>
        <v>73.5</v>
      </c>
      <c r="D439" s="1">
        <f>AVERAGE(VLOOKUP(Table7[[#This Row],[Student_ID]],student_skills[],3,0),VLOOKUP(Table7[[#This Row],[Student_ID]],student_skills[],4,0),VLOOKUP(Table7[[#This Row],[Student_ID]],student_skills[],5,0),VLOOKUP(Table7[[#This Row],[Student_ID]],student_skills[],6,0))</f>
        <v>7</v>
      </c>
      <c r="E439" s="1" t="str">
        <f>IF(VLOOKUP(Table7[[#This Row],[Student_ID]],student_internships[#All],2,0)&gt;1,"EXPERIENCED",IF(VLOOKUP(Table7[[#This Row],[Student_ID]],student_internships[#All],2,0)=1,"BEGINNER","NOT EXPERIENCED"))</f>
        <v>EXPERIENCED</v>
      </c>
      <c r="F439" s="1">
        <f>VLOOKUP(Table7[[#This Row],[Student_ID]],student_data[],5,0)</f>
        <v>7.3</v>
      </c>
      <c r="G439" s="1">
        <f>VLOOKUP(Table7[[#This Row],[Student_ID]],student_data[#All],6,0)</f>
        <v>3</v>
      </c>
      <c r="H439" s="1">
        <f>VLOOKUP(Table7[[#This Row],[Student_ID]],student_internships[],2,0)</f>
        <v>2</v>
      </c>
      <c r="I439" s="1">
        <f>VLOOKUP(Table7[[#This Row],[Student_ID]],Placements!A439:E1438,5,0)</f>
        <v>11.75</v>
      </c>
      <c r="J439" s="1" t="str">
        <f>IF(VLOOKUP(Table7[[#This Row],[Student_ID]],student_data[#All],5,0)&gt;8,"HIGH",IF(VLOOKUP(Table7[[#This Row],[Student_ID]],student_data[#All],5,0)&lt;6.5,"LOW","MEDIUM"))</f>
        <v>MEDIUM</v>
      </c>
    </row>
    <row r="440" spans="1:10" x14ac:dyDescent="0.2">
      <c r="A440" s="1" t="s">
        <v>449</v>
      </c>
      <c r="B440" s="1" t="str">
        <f>VLOOKUP(Table7[[#This Row],[Student_ID]],student_data[#All],2,0)</f>
        <v>Electronics</v>
      </c>
      <c r="C440" s="1">
        <f>(VLOOKUP(Table7[[#This Row],[Student_ID]],student_data[],5,0)*5)+(VLOOKUP(Table7[[#This Row],[Student_ID]],student_data[],6,0)*3)+(VLOOKUP(Table7[[#This Row],[Student_ID]],student_skills[],6,0)*2)+(VLOOKUP(Table7[[#This Row],[Student_ID]],student_internships[],2,0)*5)</f>
        <v>52.400000000000006</v>
      </c>
      <c r="D440" s="1">
        <f>AVERAGE(VLOOKUP(Table7[[#This Row],[Student_ID]],student_skills[],3,0),VLOOKUP(Table7[[#This Row],[Student_ID]],student_skills[],4,0),VLOOKUP(Table7[[#This Row],[Student_ID]],student_skills[],5,0),VLOOKUP(Table7[[#This Row],[Student_ID]],student_skills[],6,0))</f>
        <v>6.25</v>
      </c>
      <c r="E440" s="1" t="str">
        <f>IF(VLOOKUP(Table7[[#This Row],[Student_ID]],student_internships[#All],2,0)&gt;1,"EXPERIENCED",IF(VLOOKUP(Table7[[#This Row],[Student_ID]],student_internships[#All],2,0)=1,"BEGINNER","NOT EXPERIENCED"))</f>
        <v>NOT EXPERIENCED</v>
      </c>
      <c r="F440" s="1">
        <f>VLOOKUP(Table7[[#This Row],[Student_ID]],student_data[],5,0)</f>
        <v>5.48</v>
      </c>
      <c r="G440" s="1">
        <f>VLOOKUP(Table7[[#This Row],[Student_ID]],student_data[#All],6,0)</f>
        <v>5</v>
      </c>
      <c r="H440" s="1">
        <f>VLOOKUP(Table7[[#This Row],[Student_ID]],student_internships[],2,0)</f>
        <v>0</v>
      </c>
      <c r="I440" s="1">
        <f>VLOOKUP(Table7[[#This Row],[Student_ID]],Placements!A440:E1439,5,0)</f>
        <v>14.5</v>
      </c>
      <c r="J440" s="1" t="str">
        <f>IF(VLOOKUP(Table7[[#This Row],[Student_ID]],student_data[#All],5,0)&gt;8,"HIGH",IF(VLOOKUP(Table7[[#This Row],[Student_ID]],student_data[#All],5,0)&lt;6.5,"LOW","MEDIUM"))</f>
        <v>LOW</v>
      </c>
    </row>
    <row r="441" spans="1:10" x14ac:dyDescent="0.2">
      <c r="A441" s="1" t="s">
        <v>450</v>
      </c>
      <c r="B441" s="1" t="str">
        <f>VLOOKUP(Table7[[#This Row],[Student_ID]],student_data[#All],2,0)</f>
        <v>Mechanical</v>
      </c>
      <c r="C441" s="1">
        <f>(VLOOKUP(Table7[[#This Row],[Student_ID]],student_data[],5,0)*5)+(VLOOKUP(Table7[[#This Row],[Student_ID]],student_data[],6,0)*3)+(VLOOKUP(Table7[[#This Row],[Student_ID]],student_skills[],6,0)*2)+(VLOOKUP(Table7[[#This Row],[Student_ID]],student_internships[],2,0)*5)</f>
        <v>75.650000000000006</v>
      </c>
      <c r="D441" s="1">
        <f>AVERAGE(VLOOKUP(Table7[[#This Row],[Student_ID]],student_skills[],3,0),VLOOKUP(Table7[[#This Row],[Student_ID]],student_skills[],4,0),VLOOKUP(Table7[[#This Row],[Student_ID]],student_skills[],5,0),VLOOKUP(Table7[[#This Row],[Student_ID]],student_skills[],6,0))</f>
        <v>4.75</v>
      </c>
      <c r="E441" s="1" t="str">
        <f>IF(VLOOKUP(Table7[[#This Row],[Student_ID]],student_internships[#All],2,0)&gt;1,"EXPERIENCED",IF(VLOOKUP(Table7[[#This Row],[Student_ID]],student_internships[#All],2,0)=1,"BEGINNER","NOT EXPERIENCED"))</f>
        <v>EXPERIENCED</v>
      </c>
      <c r="F441" s="1">
        <f>VLOOKUP(Table7[[#This Row],[Student_ID]],student_data[],5,0)</f>
        <v>9.1300000000000008</v>
      </c>
      <c r="G441" s="1">
        <f>VLOOKUP(Table7[[#This Row],[Student_ID]],student_data[#All],6,0)</f>
        <v>4</v>
      </c>
      <c r="H441" s="1">
        <f>VLOOKUP(Table7[[#This Row],[Student_ID]],student_internships[],2,0)</f>
        <v>2</v>
      </c>
      <c r="I441" s="1">
        <f>VLOOKUP(Table7[[#This Row],[Student_ID]],Placements!A441:E1440,5,0)</f>
        <v>9.33</v>
      </c>
      <c r="J441" s="1" t="str">
        <f>IF(VLOOKUP(Table7[[#This Row],[Student_ID]],student_data[#All],5,0)&gt;8,"HIGH",IF(VLOOKUP(Table7[[#This Row],[Student_ID]],student_data[#All],5,0)&lt;6.5,"LOW","MEDIUM"))</f>
        <v>HIGH</v>
      </c>
    </row>
    <row r="442" spans="1:10" x14ac:dyDescent="0.2">
      <c r="A442" s="1" t="s">
        <v>451</v>
      </c>
      <c r="B442" s="1" t="str">
        <f>VLOOKUP(Table7[[#This Row],[Student_ID]],student_data[#All],2,0)</f>
        <v>Civil</v>
      </c>
      <c r="C442" s="1">
        <f>(VLOOKUP(Table7[[#This Row],[Student_ID]],student_data[],5,0)*5)+(VLOOKUP(Table7[[#This Row],[Student_ID]],student_data[],6,0)*3)+(VLOOKUP(Table7[[#This Row],[Student_ID]],student_skills[],6,0)*2)+(VLOOKUP(Table7[[#This Row],[Student_ID]],student_internships[],2,0)*5)</f>
        <v>53.2</v>
      </c>
      <c r="D442" s="1">
        <f>AVERAGE(VLOOKUP(Table7[[#This Row],[Student_ID]],student_skills[],3,0),VLOOKUP(Table7[[#This Row],[Student_ID]],student_skills[],4,0),VLOOKUP(Table7[[#This Row],[Student_ID]],student_skills[],5,0),VLOOKUP(Table7[[#This Row],[Student_ID]],student_skills[],6,0))</f>
        <v>5.75</v>
      </c>
      <c r="E442" s="1" t="str">
        <f>IF(VLOOKUP(Table7[[#This Row],[Student_ID]],student_internships[#All],2,0)&gt;1,"EXPERIENCED",IF(VLOOKUP(Table7[[#This Row],[Student_ID]],student_internships[#All],2,0)=1,"BEGINNER","NOT EXPERIENCED"))</f>
        <v>EXPERIENCED</v>
      </c>
      <c r="F442" s="1">
        <f>VLOOKUP(Table7[[#This Row],[Student_ID]],student_data[],5,0)</f>
        <v>5.24</v>
      </c>
      <c r="G442" s="1">
        <f>VLOOKUP(Table7[[#This Row],[Student_ID]],student_data[#All],6,0)</f>
        <v>1</v>
      </c>
      <c r="H442" s="1">
        <f>VLOOKUP(Table7[[#This Row],[Student_ID]],student_internships[],2,0)</f>
        <v>2</v>
      </c>
      <c r="I442" s="1">
        <f>VLOOKUP(Table7[[#This Row],[Student_ID]],Placements!A442:E1441,5,0)</f>
        <v>4.41</v>
      </c>
      <c r="J442" s="1" t="str">
        <f>IF(VLOOKUP(Table7[[#This Row],[Student_ID]],student_data[#All],5,0)&gt;8,"HIGH",IF(VLOOKUP(Table7[[#This Row],[Student_ID]],student_data[#All],5,0)&lt;6.5,"LOW","MEDIUM"))</f>
        <v>LOW</v>
      </c>
    </row>
    <row r="443" spans="1:10" x14ac:dyDescent="0.2">
      <c r="A443" s="1" t="s">
        <v>452</v>
      </c>
      <c r="B443" s="1" t="str">
        <f>VLOOKUP(Table7[[#This Row],[Student_ID]],student_data[#All],2,0)</f>
        <v>Computer Science</v>
      </c>
      <c r="C443" s="1">
        <f>(VLOOKUP(Table7[[#This Row],[Student_ID]],student_data[],5,0)*5)+(VLOOKUP(Table7[[#This Row],[Student_ID]],student_data[],6,0)*3)+(VLOOKUP(Table7[[#This Row],[Student_ID]],student_skills[],6,0)*2)+(VLOOKUP(Table7[[#This Row],[Student_ID]],student_internships[],2,0)*5)</f>
        <v>54.150000000000006</v>
      </c>
      <c r="D443" s="1">
        <f>AVERAGE(VLOOKUP(Table7[[#This Row],[Student_ID]],student_skills[],3,0),VLOOKUP(Table7[[#This Row],[Student_ID]],student_skills[],4,0),VLOOKUP(Table7[[#This Row],[Student_ID]],student_skills[],5,0),VLOOKUP(Table7[[#This Row],[Student_ID]],student_skills[],6,0))</f>
        <v>5.25</v>
      </c>
      <c r="E443" s="1" t="str">
        <f>IF(VLOOKUP(Table7[[#This Row],[Student_ID]],student_internships[#All],2,0)&gt;1,"EXPERIENCED",IF(VLOOKUP(Table7[[#This Row],[Student_ID]],student_internships[#All],2,0)=1,"BEGINNER","NOT EXPERIENCED"))</f>
        <v>NOT EXPERIENCED</v>
      </c>
      <c r="F443" s="1">
        <f>VLOOKUP(Table7[[#This Row],[Student_ID]],student_data[],5,0)</f>
        <v>8.6300000000000008</v>
      </c>
      <c r="G443" s="1">
        <f>VLOOKUP(Table7[[#This Row],[Student_ID]],student_data[#All],6,0)</f>
        <v>1</v>
      </c>
      <c r="H443" s="1">
        <f>VLOOKUP(Table7[[#This Row],[Student_ID]],student_internships[],2,0)</f>
        <v>0</v>
      </c>
      <c r="I443" s="1">
        <f>VLOOKUP(Table7[[#This Row],[Student_ID]],Placements!A443:E1442,5,0)</f>
        <v>4.3499999999999996</v>
      </c>
      <c r="J443" s="1" t="str">
        <f>IF(VLOOKUP(Table7[[#This Row],[Student_ID]],student_data[#All],5,0)&gt;8,"HIGH",IF(VLOOKUP(Table7[[#This Row],[Student_ID]],student_data[#All],5,0)&lt;6.5,"LOW","MEDIUM"))</f>
        <v>HIGH</v>
      </c>
    </row>
    <row r="444" spans="1:10" x14ac:dyDescent="0.2">
      <c r="A444" s="1" t="s">
        <v>453</v>
      </c>
      <c r="B444" s="1" t="str">
        <f>VLOOKUP(Table7[[#This Row],[Student_ID]],student_data[#All],2,0)</f>
        <v>Computer Science</v>
      </c>
      <c r="C444" s="1">
        <f>(VLOOKUP(Table7[[#This Row],[Student_ID]],student_data[],5,0)*5)+(VLOOKUP(Table7[[#This Row],[Student_ID]],student_data[],6,0)*3)+(VLOOKUP(Table7[[#This Row],[Student_ID]],student_skills[],6,0)*2)+(VLOOKUP(Table7[[#This Row],[Student_ID]],student_internships[],2,0)*5)</f>
        <v>65.349999999999994</v>
      </c>
      <c r="D444" s="1">
        <f>AVERAGE(VLOOKUP(Table7[[#This Row],[Student_ID]],student_skills[],3,0),VLOOKUP(Table7[[#This Row],[Student_ID]],student_skills[],4,0),VLOOKUP(Table7[[#This Row],[Student_ID]],student_skills[],5,0),VLOOKUP(Table7[[#This Row],[Student_ID]],student_skills[],6,0))</f>
        <v>5.5</v>
      </c>
      <c r="E444" s="1" t="str">
        <f>IF(VLOOKUP(Table7[[#This Row],[Student_ID]],student_internships[#All],2,0)&gt;1,"EXPERIENCED",IF(VLOOKUP(Table7[[#This Row],[Student_ID]],student_internships[#All],2,0)=1,"BEGINNER","NOT EXPERIENCED"))</f>
        <v>NOT EXPERIENCED</v>
      </c>
      <c r="F444" s="1">
        <f>VLOOKUP(Table7[[#This Row],[Student_ID]],student_data[],5,0)</f>
        <v>8.8699999999999992</v>
      </c>
      <c r="G444" s="1">
        <f>VLOOKUP(Table7[[#This Row],[Student_ID]],student_data[#All],6,0)</f>
        <v>5</v>
      </c>
      <c r="H444" s="1">
        <f>VLOOKUP(Table7[[#This Row],[Student_ID]],student_internships[],2,0)</f>
        <v>0</v>
      </c>
      <c r="I444" s="1">
        <f>VLOOKUP(Table7[[#This Row],[Student_ID]],Placements!A444:E1443,5,0)</f>
        <v>4.8600000000000003</v>
      </c>
      <c r="J444" s="1" t="str">
        <f>IF(VLOOKUP(Table7[[#This Row],[Student_ID]],student_data[#All],5,0)&gt;8,"HIGH",IF(VLOOKUP(Table7[[#This Row],[Student_ID]],student_data[#All],5,0)&lt;6.5,"LOW","MEDIUM"))</f>
        <v>HIGH</v>
      </c>
    </row>
    <row r="445" spans="1:10" x14ac:dyDescent="0.2">
      <c r="A445" s="1" t="s">
        <v>454</v>
      </c>
      <c r="B445" s="1" t="str">
        <f>VLOOKUP(Table7[[#This Row],[Student_ID]],student_data[#All],2,0)</f>
        <v>Information Technology</v>
      </c>
      <c r="C445" s="1">
        <f>(VLOOKUP(Table7[[#This Row],[Student_ID]],student_data[],5,0)*5)+(VLOOKUP(Table7[[#This Row],[Student_ID]],student_data[],6,0)*3)+(VLOOKUP(Table7[[#This Row],[Student_ID]],student_skills[],6,0)*2)+(VLOOKUP(Table7[[#This Row],[Student_ID]],student_internships[],2,0)*5)</f>
        <v>75.8</v>
      </c>
      <c r="D445" s="1">
        <f>AVERAGE(VLOOKUP(Table7[[#This Row],[Student_ID]],student_skills[],3,0),VLOOKUP(Table7[[#This Row],[Student_ID]],student_skills[],4,0),VLOOKUP(Table7[[#This Row],[Student_ID]],student_skills[],5,0),VLOOKUP(Table7[[#This Row],[Student_ID]],student_skills[],6,0))</f>
        <v>5</v>
      </c>
      <c r="E445" s="1" t="str">
        <f>IF(VLOOKUP(Table7[[#This Row],[Student_ID]],student_internships[#All],2,0)&gt;1,"EXPERIENCED",IF(VLOOKUP(Table7[[#This Row],[Student_ID]],student_internships[#All],2,0)=1,"BEGINNER","NOT EXPERIENCED"))</f>
        <v>EXPERIENCED</v>
      </c>
      <c r="F445" s="1">
        <f>VLOOKUP(Table7[[#This Row],[Student_ID]],student_data[],5,0)</f>
        <v>6.76</v>
      </c>
      <c r="G445" s="1">
        <f>VLOOKUP(Table7[[#This Row],[Student_ID]],student_data[#All],6,0)</f>
        <v>3</v>
      </c>
      <c r="H445" s="1">
        <f>VLOOKUP(Table7[[#This Row],[Student_ID]],student_internships[],2,0)</f>
        <v>3</v>
      </c>
      <c r="I445" s="1">
        <f>VLOOKUP(Table7[[#This Row],[Student_ID]],Placements!A445:E1444,5,0)</f>
        <v>0</v>
      </c>
      <c r="J445" s="1" t="str">
        <f>IF(VLOOKUP(Table7[[#This Row],[Student_ID]],student_data[#All],5,0)&gt;8,"HIGH",IF(VLOOKUP(Table7[[#This Row],[Student_ID]],student_data[#All],5,0)&lt;6.5,"LOW","MEDIUM"))</f>
        <v>MEDIUM</v>
      </c>
    </row>
    <row r="446" spans="1:10" x14ac:dyDescent="0.2">
      <c r="A446" s="1" t="s">
        <v>455</v>
      </c>
      <c r="B446" s="1" t="str">
        <f>VLOOKUP(Table7[[#This Row],[Student_ID]],student_data[#All],2,0)</f>
        <v>Mechanical</v>
      </c>
      <c r="C446" s="1">
        <f>(VLOOKUP(Table7[[#This Row],[Student_ID]],student_data[],5,0)*5)+(VLOOKUP(Table7[[#This Row],[Student_ID]],student_data[],6,0)*3)+(VLOOKUP(Table7[[#This Row],[Student_ID]],student_skills[],6,0)*2)+(VLOOKUP(Table7[[#This Row],[Student_ID]],student_internships[],2,0)*5)</f>
        <v>81.599999999999994</v>
      </c>
      <c r="D446" s="1">
        <f>AVERAGE(VLOOKUP(Table7[[#This Row],[Student_ID]],student_skills[],3,0),VLOOKUP(Table7[[#This Row],[Student_ID]],student_skills[],4,0),VLOOKUP(Table7[[#This Row],[Student_ID]],student_skills[],5,0),VLOOKUP(Table7[[#This Row],[Student_ID]],student_skills[],6,0))</f>
        <v>6.25</v>
      </c>
      <c r="E446" s="1" t="str">
        <f>IF(VLOOKUP(Table7[[#This Row],[Student_ID]],student_internships[#All],2,0)&gt;1,"EXPERIENCED",IF(VLOOKUP(Table7[[#This Row],[Student_ID]],student_internships[#All],2,0)=1,"BEGINNER","NOT EXPERIENCED"))</f>
        <v>BEGINNER</v>
      </c>
      <c r="F446" s="1">
        <f>VLOOKUP(Table7[[#This Row],[Student_ID]],student_data[],5,0)</f>
        <v>9.1199999999999992</v>
      </c>
      <c r="G446" s="1">
        <f>VLOOKUP(Table7[[#This Row],[Student_ID]],student_data[#All],6,0)</f>
        <v>5</v>
      </c>
      <c r="H446" s="1">
        <f>VLOOKUP(Table7[[#This Row],[Student_ID]],student_internships[],2,0)</f>
        <v>1</v>
      </c>
      <c r="I446" s="1">
        <f>VLOOKUP(Table7[[#This Row],[Student_ID]],Placements!A446:E1445,5,0)</f>
        <v>4.2</v>
      </c>
      <c r="J446" s="1" t="str">
        <f>IF(VLOOKUP(Table7[[#This Row],[Student_ID]],student_data[#All],5,0)&gt;8,"HIGH",IF(VLOOKUP(Table7[[#This Row],[Student_ID]],student_data[#All],5,0)&lt;6.5,"LOW","MEDIUM"))</f>
        <v>HIGH</v>
      </c>
    </row>
    <row r="447" spans="1:10" x14ac:dyDescent="0.2">
      <c r="A447" s="1" t="s">
        <v>456</v>
      </c>
      <c r="B447" s="1" t="str">
        <f>VLOOKUP(Table7[[#This Row],[Student_ID]],student_data[#All],2,0)</f>
        <v>Mechanical</v>
      </c>
      <c r="C447" s="1">
        <f>(VLOOKUP(Table7[[#This Row],[Student_ID]],student_data[],5,0)*5)+(VLOOKUP(Table7[[#This Row],[Student_ID]],student_data[],6,0)*3)+(VLOOKUP(Table7[[#This Row],[Student_ID]],student_skills[],6,0)*2)+(VLOOKUP(Table7[[#This Row],[Student_ID]],student_internships[],2,0)*5)</f>
        <v>44.9</v>
      </c>
      <c r="D447" s="1">
        <f>AVERAGE(VLOOKUP(Table7[[#This Row],[Student_ID]],student_skills[],3,0),VLOOKUP(Table7[[#This Row],[Student_ID]],student_skills[],4,0),VLOOKUP(Table7[[#This Row],[Student_ID]],student_skills[],5,0),VLOOKUP(Table7[[#This Row],[Student_ID]],student_skills[],6,0))</f>
        <v>3.75</v>
      </c>
      <c r="E447" s="1" t="str">
        <f>IF(VLOOKUP(Table7[[#This Row],[Student_ID]],student_internships[#All],2,0)&gt;1,"EXPERIENCED",IF(VLOOKUP(Table7[[#This Row],[Student_ID]],student_internships[#All],2,0)=1,"BEGINNER","NOT EXPERIENCED"))</f>
        <v>BEGINNER</v>
      </c>
      <c r="F447" s="1">
        <f>VLOOKUP(Table7[[#This Row],[Student_ID]],student_data[],5,0)</f>
        <v>7.58</v>
      </c>
      <c r="G447" s="1">
        <f>VLOOKUP(Table7[[#This Row],[Student_ID]],student_data[#All],6,0)</f>
        <v>0</v>
      </c>
      <c r="H447" s="1">
        <f>VLOOKUP(Table7[[#This Row],[Student_ID]],student_internships[],2,0)</f>
        <v>1</v>
      </c>
      <c r="I447" s="1">
        <f>VLOOKUP(Table7[[#This Row],[Student_ID]],Placements!A447:E1446,5,0)</f>
        <v>4.32</v>
      </c>
      <c r="J447" s="1" t="str">
        <f>IF(VLOOKUP(Table7[[#This Row],[Student_ID]],student_data[#All],5,0)&gt;8,"HIGH",IF(VLOOKUP(Table7[[#This Row],[Student_ID]],student_data[#All],5,0)&lt;6.5,"LOW","MEDIUM"))</f>
        <v>MEDIUM</v>
      </c>
    </row>
    <row r="448" spans="1:10" x14ac:dyDescent="0.2">
      <c r="A448" s="1" t="s">
        <v>457</v>
      </c>
      <c r="B448" s="1" t="str">
        <f>VLOOKUP(Table7[[#This Row],[Student_ID]],student_data[#All],2,0)</f>
        <v>Information Technology</v>
      </c>
      <c r="C448" s="1">
        <f>(VLOOKUP(Table7[[#This Row],[Student_ID]],student_data[],5,0)*5)+(VLOOKUP(Table7[[#This Row],[Student_ID]],student_data[],6,0)*3)+(VLOOKUP(Table7[[#This Row],[Student_ID]],student_skills[],6,0)*2)+(VLOOKUP(Table7[[#This Row],[Student_ID]],student_internships[],2,0)*5)</f>
        <v>72.599999999999994</v>
      </c>
      <c r="D448" s="1">
        <f>AVERAGE(VLOOKUP(Table7[[#This Row],[Student_ID]],student_skills[],3,0),VLOOKUP(Table7[[#This Row],[Student_ID]],student_skills[],4,0),VLOOKUP(Table7[[#This Row],[Student_ID]],student_skills[],5,0),VLOOKUP(Table7[[#This Row],[Student_ID]],student_skills[],6,0))</f>
        <v>8.75</v>
      </c>
      <c r="E448" s="1" t="str">
        <f>IF(VLOOKUP(Table7[[#This Row],[Student_ID]],student_internships[#All],2,0)&gt;1,"EXPERIENCED",IF(VLOOKUP(Table7[[#This Row],[Student_ID]],student_internships[#All],2,0)=1,"BEGINNER","NOT EXPERIENCED"))</f>
        <v>EXPERIENCED</v>
      </c>
      <c r="F448" s="1">
        <f>VLOOKUP(Table7[[#This Row],[Student_ID]],student_data[],5,0)</f>
        <v>7.32</v>
      </c>
      <c r="G448" s="1">
        <f>VLOOKUP(Table7[[#This Row],[Student_ID]],student_data[#All],6,0)</f>
        <v>4</v>
      </c>
      <c r="H448" s="1">
        <f>VLOOKUP(Table7[[#This Row],[Student_ID]],student_internships[],2,0)</f>
        <v>2</v>
      </c>
      <c r="I448" s="1">
        <f>VLOOKUP(Table7[[#This Row],[Student_ID]],Placements!A448:E1447,5,0)</f>
        <v>5.43</v>
      </c>
      <c r="J448" s="1" t="str">
        <f>IF(VLOOKUP(Table7[[#This Row],[Student_ID]],student_data[#All],5,0)&gt;8,"HIGH",IF(VLOOKUP(Table7[[#This Row],[Student_ID]],student_data[#All],5,0)&lt;6.5,"LOW","MEDIUM"))</f>
        <v>MEDIUM</v>
      </c>
    </row>
    <row r="449" spans="1:10" x14ac:dyDescent="0.2">
      <c r="A449" s="1" t="s">
        <v>458</v>
      </c>
      <c r="B449" s="1" t="str">
        <f>VLOOKUP(Table7[[#This Row],[Student_ID]],student_data[#All],2,0)</f>
        <v>Civil</v>
      </c>
      <c r="C449" s="1">
        <f>(VLOOKUP(Table7[[#This Row],[Student_ID]],student_data[],5,0)*5)+(VLOOKUP(Table7[[#This Row],[Student_ID]],student_data[],6,0)*3)+(VLOOKUP(Table7[[#This Row],[Student_ID]],student_skills[],6,0)*2)+(VLOOKUP(Table7[[#This Row],[Student_ID]],student_internships[],2,0)*5)</f>
        <v>59.150000000000006</v>
      </c>
      <c r="D449" s="1">
        <f>AVERAGE(VLOOKUP(Table7[[#This Row],[Student_ID]],student_skills[],3,0),VLOOKUP(Table7[[#This Row],[Student_ID]],student_skills[],4,0),VLOOKUP(Table7[[#This Row],[Student_ID]],student_skills[],5,0),VLOOKUP(Table7[[#This Row],[Student_ID]],student_skills[],6,0))</f>
        <v>5</v>
      </c>
      <c r="E449" s="1" t="str">
        <f>IF(VLOOKUP(Table7[[#This Row],[Student_ID]],student_internships[#All],2,0)&gt;1,"EXPERIENCED",IF(VLOOKUP(Table7[[#This Row],[Student_ID]],student_internships[#All],2,0)=1,"BEGINNER","NOT EXPERIENCED"))</f>
        <v>EXPERIENCED</v>
      </c>
      <c r="F449" s="1">
        <f>VLOOKUP(Table7[[#This Row],[Student_ID]],student_data[],5,0)</f>
        <v>5.23</v>
      </c>
      <c r="G449" s="1">
        <f>VLOOKUP(Table7[[#This Row],[Student_ID]],student_data[#All],6,0)</f>
        <v>0</v>
      </c>
      <c r="H449" s="1">
        <f>VLOOKUP(Table7[[#This Row],[Student_ID]],student_internships[],2,0)</f>
        <v>3</v>
      </c>
      <c r="I449" s="1">
        <f>VLOOKUP(Table7[[#This Row],[Student_ID]],Placements!A449:E1448,5,0)</f>
        <v>6.92</v>
      </c>
      <c r="J449" s="1" t="str">
        <f>IF(VLOOKUP(Table7[[#This Row],[Student_ID]],student_data[#All],5,0)&gt;8,"HIGH",IF(VLOOKUP(Table7[[#This Row],[Student_ID]],student_data[#All],5,0)&lt;6.5,"LOW","MEDIUM"))</f>
        <v>LOW</v>
      </c>
    </row>
    <row r="450" spans="1:10" x14ac:dyDescent="0.2">
      <c r="A450" s="1" t="s">
        <v>459</v>
      </c>
      <c r="B450" s="1" t="str">
        <f>VLOOKUP(Table7[[#This Row],[Student_ID]],student_data[#All],2,0)</f>
        <v>Mechanical</v>
      </c>
      <c r="C450" s="1">
        <f>(VLOOKUP(Table7[[#This Row],[Student_ID]],student_data[],5,0)*5)+(VLOOKUP(Table7[[#This Row],[Student_ID]],student_data[],6,0)*3)+(VLOOKUP(Table7[[#This Row],[Student_ID]],student_skills[],6,0)*2)+(VLOOKUP(Table7[[#This Row],[Student_ID]],student_internships[],2,0)*5)</f>
        <v>66.25</v>
      </c>
      <c r="D450" s="1">
        <f>AVERAGE(VLOOKUP(Table7[[#This Row],[Student_ID]],student_skills[],3,0),VLOOKUP(Table7[[#This Row],[Student_ID]],student_skills[],4,0),VLOOKUP(Table7[[#This Row],[Student_ID]],student_skills[],5,0),VLOOKUP(Table7[[#This Row],[Student_ID]],student_skills[],6,0))</f>
        <v>5.25</v>
      </c>
      <c r="E450" s="1" t="str">
        <f>IF(VLOOKUP(Table7[[#This Row],[Student_ID]],student_internships[#All],2,0)&gt;1,"EXPERIENCED",IF(VLOOKUP(Table7[[#This Row],[Student_ID]],student_internships[#All],2,0)=1,"BEGINNER","NOT EXPERIENCED"))</f>
        <v>EXPERIENCED</v>
      </c>
      <c r="F450" s="1">
        <f>VLOOKUP(Table7[[#This Row],[Student_ID]],student_data[],5,0)</f>
        <v>6.45</v>
      </c>
      <c r="G450" s="1">
        <f>VLOOKUP(Table7[[#This Row],[Student_ID]],student_data[#All],6,0)</f>
        <v>1</v>
      </c>
      <c r="H450" s="1">
        <f>VLOOKUP(Table7[[#This Row],[Student_ID]],student_internships[],2,0)</f>
        <v>3</v>
      </c>
      <c r="I450" s="1">
        <f>VLOOKUP(Table7[[#This Row],[Student_ID]],Placements!A450:E1449,5,0)</f>
        <v>4.8600000000000003</v>
      </c>
      <c r="J450" s="1" t="str">
        <f>IF(VLOOKUP(Table7[[#This Row],[Student_ID]],student_data[#All],5,0)&gt;8,"HIGH",IF(VLOOKUP(Table7[[#This Row],[Student_ID]],student_data[#All],5,0)&lt;6.5,"LOW","MEDIUM"))</f>
        <v>LOW</v>
      </c>
    </row>
    <row r="451" spans="1:10" x14ac:dyDescent="0.2">
      <c r="A451" s="1" t="s">
        <v>460</v>
      </c>
      <c r="B451" s="1" t="str">
        <f>VLOOKUP(Table7[[#This Row],[Student_ID]],student_data[#All],2,0)</f>
        <v>Computer Science</v>
      </c>
      <c r="C451" s="1">
        <f>(VLOOKUP(Table7[[#This Row],[Student_ID]],student_data[],5,0)*5)+(VLOOKUP(Table7[[#This Row],[Student_ID]],student_data[],6,0)*3)+(VLOOKUP(Table7[[#This Row],[Student_ID]],student_skills[],6,0)*2)+(VLOOKUP(Table7[[#This Row],[Student_ID]],student_internships[],2,0)*5)</f>
        <v>86.3</v>
      </c>
      <c r="D451" s="1">
        <f>AVERAGE(VLOOKUP(Table7[[#This Row],[Student_ID]],student_skills[],3,0),VLOOKUP(Table7[[#This Row],[Student_ID]],student_skills[],4,0),VLOOKUP(Table7[[#This Row],[Student_ID]],student_skills[],5,0),VLOOKUP(Table7[[#This Row],[Student_ID]],student_skills[],6,0))</f>
        <v>4.5</v>
      </c>
      <c r="E451" s="1" t="str">
        <f>IF(VLOOKUP(Table7[[#This Row],[Student_ID]],student_internships[#All],2,0)&gt;1,"EXPERIENCED",IF(VLOOKUP(Table7[[#This Row],[Student_ID]],student_internships[#All],2,0)=1,"BEGINNER","NOT EXPERIENCED"))</f>
        <v>EXPERIENCED</v>
      </c>
      <c r="F451" s="1">
        <f>VLOOKUP(Table7[[#This Row],[Student_ID]],student_data[],5,0)</f>
        <v>9.66</v>
      </c>
      <c r="G451" s="1">
        <f>VLOOKUP(Table7[[#This Row],[Student_ID]],student_data[#All],6,0)</f>
        <v>4</v>
      </c>
      <c r="H451" s="1">
        <f>VLOOKUP(Table7[[#This Row],[Student_ID]],student_internships[],2,0)</f>
        <v>2</v>
      </c>
      <c r="I451" s="1">
        <f>VLOOKUP(Table7[[#This Row],[Student_ID]],Placements!A451:E1450,5,0)</f>
        <v>0</v>
      </c>
      <c r="J451" s="1" t="str">
        <f>IF(VLOOKUP(Table7[[#This Row],[Student_ID]],student_data[#All],5,0)&gt;8,"HIGH",IF(VLOOKUP(Table7[[#This Row],[Student_ID]],student_data[#All],5,0)&lt;6.5,"LOW","MEDIUM"))</f>
        <v>HIGH</v>
      </c>
    </row>
    <row r="452" spans="1:10" x14ac:dyDescent="0.2">
      <c r="A452" s="1" t="s">
        <v>461</v>
      </c>
      <c r="B452" s="1" t="str">
        <f>VLOOKUP(Table7[[#This Row],[Student_ID]],student_data[#All],2,0)</f>
        <v>Computer Science</v>
      </c>
      <c r="C452" s="1">
        <f>(VLOOKUP(Table7[[#This Row],[Student_ID]],student_data[],5,0)*5)+(VLOOKUP(Table7[[#This Row],[Student_ID]],student_data[],6,0)*3)+(VLOOKUP(Table7[[#This Row],[Student_ID]],student_skills[],6,0)*2)+(VLOOKUP(Table7[[#This Row],[Student_ID]],student_internships[],2,0)*5)</f>
        <v>66.8</v>
      </c>
      <c r="D452" s="1">
        <f>AVERAGE(VLOOKUP(Table7[[#This Row],[Student_ID]],student_skills[],3,0),VLOOKUP(Table7[[#This Row],[Student_ID]],student_skills[],4,0),VLOOKUP(Table7[[#This Row],[Student_ID]],student_skills[],5,0),VLOOKUP(Table7[[#This Row],[Student_ID]],student_skills[],6,0))</f>
        <v>5</v>
      </c>
      <c r="E452" s="1" t="str">
        <f>IF(VLOOKUP(Table7[[#This Row],[Student_ID]],student_internships[#All],2,0)&gt;1,"EXPERIENCED",IF(VLOOKUP(Table7[[#This Row],[Student_ID]],student_internships[#All],2,0)=1,"BEGINNER","NOT EXPERIENCED"))</f>
        <v>BEGINNER</v>
      </c>
      <c r="F452" s="1">
        <f>VLOOKUP(Table7[[#This Row],[Student_ID]],student_data[],5,0)</f>
        <v>6.96</v>
      </c>
      <c r="G452" s="1">
        <f>VLOOKUP(Table7[[#This Row],[Student_ID]],student_data[#All],6,0)</f>
        <v>5</v>
      </c>
      <c r="H452" s="1">
        <f>VLOOKUP(Table7[[#This Row],[Student_ID]],student_internships[],2,0)</f>
        <v>1</v>
      </c>
      <c r="I452" s="1">
        <f>VLOOKUP(Table7[[#This Row],[Student_ID]],Placements!A452:E1451,5,0)</f>
        <v>0</v>
      </c>
      <c r="J452" s="1" t="str">
        <f>IF(VLOOKUP(Table7[[#This Row],[Student_ID]],student_data[#All],5,0)&gt;8,"HIGH",IF(VLOOKUP(Table7[[#This Row],[Student_ID]],student_data[#All],5,0)&lt;6.5,"LOW","MEDIUM"))</f>
        <v>MEDIUM</v>
      </c>
    </row>
    <row r="453" spans="1:10" x14ac:dyDescent="0.2">
      <c r="A453" s="1" t="s">
        <v>462</v>
      </c>
      <c r="B453" s="1" t="str">
        <f>VLOOKUP(Table7[[#This Row],[Student_ID]],student_data[#All],2,0)</f>
        <v>Electronics</v>
      </c>
      <c r="C453" s="1">
        <f>(VLOOKUP(Table7[[#This Row],[Student_ID]],student_data[],5,0)*5)+(VLOOKUP(Table7[[#This Row],[Student_ID]],student_data[],6,0)*3)+(VLOOKUP(Table7[[#This Row],[Student_ID]],student_skills[],6,0)*2)+(VLOOKUP(Table7[[#This Row],[Student_ID]],student_internships[],2,0)*5)</f>
        <v>46.650000000000006</v>
      </c>
      <c r="D453" s="1">
        <f>AVERAGE(VLOOKUP(Table7[[#This Row],[Student_ID]],student_skills[],3,0),VLOOKUP(Table7[[#This Row],[Student_ID]],student_skills[],4,0),VLOOKUP(Table7[[#This Row],[Student_ID]],student_skills[],5,0),VLOOKUP(Table7[[#This Row],[Student_ID]],student_skills[],6,0))</f>
        <v>4</v>
      </c>
      <c r="E453" s="1" t="str">
        <f>IF(VLOOKUP(Table7[[#This Row],[Student_ID]],student_internships[#All],2,0)&gt;1,"EXPERIENCED",IF(VLOOKUP(Table7[[#This Row],[Student_ID]],student_internships[#All],2,0)=1,"BEGINNER","NOT EXPERIENCED"))</f>
        <v>NOT EXPERIENCED</v>
      </c>
      <c r="F453" s="1">
        <f>VLOOKUP(Table7[[#This Row],[Student_ID]],student_data[],5,0)</f>
        <v>7.73</v>
      </c>
      <c r="G453" s="1">
        <f>VLOOKUP(Table7[[#This Row],[Student_ID]],student_data[#All],6,0)</f>
        <v>0</v>
      </c>
      <c r="H453" s="1">
        <f>VLOOKUP(Table7[[#This Row],[Student_ID]],student_internships[],2,0)</f>
        <v>0</v>
      </c>
      <c r="I453" s="1">
        <f>VLOOKUP(Table7[[#This Row],[Student_ID]],Placements!A453:E1452,5,0)</f>
        <v>6.83</v>
      </c>
      <c r="J453" s="1" t="str">
        <f>IF(VLOOKUP(Table7[[#This Row],[Student_ID]],student_data[#All],5,0)&gt;8,"HIGH",IF(VLOOKUP(Table7[[#This Row],[Student_ID]],student_data[#All],5,0)&lt;6.5,"LOW","MEDIUM"))</f>
        <v>MEDIUM</v>
      </c>
    </row>
    <row r="454" spans="1:10" x14ac:dyDescent="0.2">
      <c r="A454" s="1" t="s">
        <v>463</v>
      </c>
      <c r="B454" s="1" t="str">
        <f>VLOOKUP(Table7[[#This Row],[Student_ID]],student_data[#All],2,0)</f>
        <v>Mechanical</v>
      </c>
      <c r="C454" s="1">
        <f>(VLOOKUP(Table7[[#This Row],[Student_ID]],student_data[],5,0)*5)+(VLOOKUP(Table7[[#This Row],[Student_ID]],student_data[],6,0)*3)+(VLOOKUP(Table7[[#This Row],[Student_ID]],student_skills[],6,0)*2)+(VLOOKUP(Table7[[#This Row],[Student_ID]],student_internships[],2,0)*5)</f>
        <v>70.3</v>
      </c>
      <c r="D454" s="1">
        <f>AVERAGE(VLOOKUP(Table7[[#This Row],[Student_ID]],student_skills[],3,0),VLOOKUP(Table7[[#This Row],[Student_ID]],student_skills[],4,0),VLOOKUP(Table7[[#This Row],[Student_ID]],student_skills[],5,0),VLOOKUP(Table7[[#This Row],[Student_ID]],student_skills[],6,0))</f>
        <v>4.25</v>
      </c>
      <c r="E454" s="1" t="str">
        <f>IF(VLOOKUP(Table7[[#This Row],[Student_ID]],student_internships[#All],2,0)&gt;1,"EXPERIENCED",IF(VLOOKUP(Table7[[#This Row],[Student_ID]],student_internships[#All],2,0)=1,"BEGINNER","NOT EXPERIENCED"))</f>
        <v>EXPERIENCED</v>
      </c>
      <c r="F454" s="1">
        <f>VLOOKUP(Table7[[#This Row],[Student_ID]],student_data[],5,0)</f>
        <v>7.66</v>
      </c>
      <c r="G454" s="1">
        <f>VLOOKUP(Table7[[#This Row],[Student_ID]],student_data[#All],6,0)</f>
        <v>2</v>
      </c>
      <c r="H454" s="1">
        <f>VLOOKUP(Table7[[#This Row],[Student_ID]],student_internships[],2,0)</f>
        <v>2</v>
      </c>
      <c r="I454" s="1">
        <f>VLOOKUP(Table7[[#This Row],[Student_ID]],Placements!A454:E1453,5,0)</f>
        <v>4.22</v>
      </c>
      <c r="J454" s="1" t="str">
        <f>IF(VLOOKUP(Table7[[#This Row],[Student_ID]],student_data[#All],5,0)&gt;8,"HIGH",IF(VLOOKUP(Table7[[#This Row],[Student_ID]],student_data[#All],5,0)&lt;6.5,"LOW","MEDIUM"))</f>
        <v>MEDIUM</v>
      </c>
    </row>
    <row r="455" spans="1:10" x14ac:dyDescent="0.2">
      <c r="A455" s="1" t="s">
        <v>464</v>
      </c>
      <c r="B455" s="1" t="str">
        <f>VLOOKUP(Table7[[#This Row],[Student_ID]],student_data[#All],2,0)</f>
        <v>Civil</v>
      </c>
      <c r="C455" s="1">
        <f>(VLOOKUP(Table7[[#This Row],[Student_ID]],student_data[],5,0)*5)+(VLOOKUP(Table7[[#This Row],[Student_ID]],student_data[],6,0)*3)+(VLOOKUP(Table7[[#This Row],[Student_ID]],student_skills[],6,0)*2)+(VLOOKUP(Table7[[#This Row],[Student_ID]],student_internships[],2,0)*5)</f>
        <v>59.75</v>
      </c>
      <c r="D455" s="1">
        <f>AVERAGE(VLOOKUP(Table7[[#This Row],[Student_ID]],student_skills[],3,0),VLOOKUP(Table7[[#This Row],[Student_ID]],student_skills[],4,0),VLOOKUP(Table7[[#This Row],[Student_ID]],student_skills[],5,0),VLOOKUP(Table7[[#This Row],[Student_ID]],student_skills[],6,0))</f>
        <v>4</v>
      </c>
      <c r="E455" s="1" t="str">
        <f>IF(VLOOKUP(Table7[[#This Row],[Student_ID]],student_internships[#All],2,0)&gt;1,"EXPERIENCED",IF(VLOOKUP(Table7[[#This Row],[Student_ID]],student_internships[#All],2,0)=1,"BEGINNER","NOT EXPERIENCED"))</f>
        <v>BEGINNER</v>
      </c>
      <c r="F455" s="1">
        <f>VLOOKUP(Table7[[#This Row],[Student_ID]],student_data[],5,0)</f>
        <v>7.95</v>
      </c>
      <c r="G455" s="1">
        <f>VLOOKUP(Table7[[#This Row],[Student_ID]],student_data[#All],6,0)</f>
        <v>3</v>
      </c>
      <c r="H455" s="1">
        <f>VLOOKUP(Table7[[#This Row],[Student_ID]],student_internships[],2,0)</f>
        <v>1</v>
      </c>
      <c r="I455" s="1">
        <f>VLOOKUP(Table7[[#This Row],[Student_ID]],Placements!A455:E1454,5,0)</f>
        <v>4.3499999999999996</v>
      </c>
      <c r="J455" s="1" t="str">
        <f>IF(VLOOKUP(Table7[[#This Row],[Student_ID]],student_data[#All],5,0)&gt;8,"HIGH",IF(VLOOKUP(Table7[[#This Row],[Student_ID]],student_data[#All],5,0)&lt;6.5,"LOW","MEDIUM"))</f>
        <v>MEDIUM</v>
      </c>
    </row>
    <row r="456" spans="1:10" x14ac:dyDescent="0.2">
      <c r="A456" s="1" t="s">
        <v>465</v>
      </c>
      <c r="B456" s="1" t="str">
        <f>VLOOKUP(Table7[[#This Row],[Student_ID]],student_data[#All],2,0)</f>
        <v>Information Technology</v>
      </c>
      <c r="C456" s="1">
        <f>(VLOOKUP(Table7[[#This Row],[Student_ID]],student_data[],5,0)*5)+(VLOOKUP(Table7[[#This Row],[Student_ID]],student_data[],6,0)*3)+(VLOOKUP(Table7[[#This Row],[Student_ID]],student_skills[],6,0)*2)+(VLOOKUP(Table7[[#This Row],[Student_ID]],student_internships[],2,0)*5)</f>
        <v>58.55</v>
      </c>
      <c r="D456" s="1">
        <f>AVERAGE(VLOOKUP(Table7[[#This Row],[Student_ID]],student_skills[],3,0),VLOOKUP(Table7[[#This Row],[Student_ID]],student_skills[],4,0),VLOOKUP(Table7[[#This Row],[Student_ID]],student_skills[],5,0),VLOOKUP(Table7[[#This Row],[Student_ID]],student_skills[],6,0))</f>
        <v>4</v>
      </c>
      <c r="E456" s="1" t="str">
        <f>IF(VLOOKUP(Table7[[#This Row],[Student_ID]],student_internships[#All],2,0)&gt;1,"EXPERIENCED",IF(VLOOKUP(Table7[[#This Row],[Student_ID]],student_internships[#All],2,0)=1,"BEGINNER","NOT EXPERIENCED"))</f>
        <v>BEGINNER</v>
      </c>
      <c r="F456" s="1">
        <f>VLOOKUP(Table7[[#This Row],[Student_ID]],student_data[],5,0)</f>
        <v>5.31</v>
      </c>
      <c r="G456" s="1">
        <f>VLOOKUP(Table7[[#This Row],[Student_ID]],student_data[#All],6,0)</f>
        <v>3</v>
      </c>
      <c r="H456" s="1">
        <f>VLOOKUP(Table7[[#This Row],[Student_ID]],student_internships[],2,0)</f>
        <v>1</v>
      </c>
      <c r="I456" s="1">
        <f>VLOOKUP(Table7[[#This Row],[Student_ID]],Placements!A456:E1455,5,0)</f>
        <v>5.15</v>
      </c>
      <c r="J456" s="1" t="str">
        <f>IF(VLOOKUP(Table7[[#This Row],[Student_ID]],student_data[#All],5,0)&gt;8,"HIGH",IF(VLOOKUP(Table7[[#This Row],[Student_ID]],student_data[#All],5,0)&lt;6.5,"LOW","MEDIUM"))</f>
        <v>LOW</v>
      </c>
    </row>
    <row r="457" spans="1:10" x14ac:dyDescent="0.2">
      <c r="A457" s="1" t="s">
        <v>466</v>
      </c>
      <c r="B457" s="1" t="str">
        <f>VLOOKUP(Table7[[#This Row],[Student_ID]],student_data[#All],2,0)</f>
        <v>Information Technology</v>
      </c>
      <c r="C457" s="1">
        <f>(VLOOKUP(Table7[[#This Row],[Student_ID]],student_data[],5,0)*5)+(VLOOKUP(Table7[[#This Row],[Student_ID]],student_data[],6,0)*3)+(VLOOKUP(Table7[[#This Row],[Student_ID]],student_skills[],6,0)*2)+(VLOOKUP(Table7[[#This Row],[Student_ID]],student_internships[],2,0)*5)</f>
        <v>59.05</v>
      </c>
      <c r="D457" s="1">
        <f>AVERAGE(VLOOKUP(Table7[[#This Row],[Student_ID]],student_skills[],3,0),VLOOKUP(Table7[[#This Row],[Student_ID]],student_skills[],4,0),VLOOKUP(Table7[[#This Row],[Student_ID]],student_skills[],5,0),VLOOKUP(Table7[[#This Row],[Student_ID]],student_skills[],6,0))</f>
        <v>4</v>
      </c>
      <c r="E457" s="1" t="str">
        <f>IF(VLOOKUP(Table7[[#This Row],[Student_ID]],student_internships[#All],2,0)&gt;1,"EXPERIENCED",IF(VLOOKUP(Table7[[#This Row],[Student_ID]],student_internships[#All],2,0)=1,"BEGINNER","NOT EXPERIENCED"))</f>
        <v>EXPERIENCED</v>
      </c>
      <c r="F457" s="1">
        <f>VLOOKUP(Table7[[#This Row],[Student_ID]],student_data[],5,0)</f>
        <v>6.81</v>
      </c>
      <c r="G457" s="1">
        <f>VLOOKUP(Table7[[#This Row],[Student_ID]],student_data[#All],6,0)</f>
        <v>2</v>
      </c>
      <c r="H457" s="1">
        <f>VLOOKUP(Table7[[#This Row],[Student_ID]],student_internships[],2,0)</f>
        <v>3</v>
      </c>
      <c r="I457" s="1">
        <f>VLOOKUP(Table7[[#This Row],[Student_ID]],Placements!A457:E1456,5,0)</f>
        <v>3.66</v>
      </c>
      <c r="J457" s="1" t="str">
        <f>IF(VLOOKUP(Table7[[#This Row],[Student_ID]],student_data[#All],5,0)&gt;8,"HIGH",IF(VLOOKUP(Table7[[#This Row],[Student_ID]],student_data[#All],5,0)&lt;6.5,"LOW","MEDIUM"))</f>
        <v>MEDIUM</v>
      </c>
    </row>
    <row r="458" spans="1:10" x14ac:dyDescent="0.2">
      <c r="A458" s="1" t="s">
        <v>467</v>
      </c>
      <c r="B458" s="1" t="str">
        <f>VLOOKUP(Table7[[#This Row],[Student_ID]],student_data[#All],2,0)</f>
        <v>Civil</v>
      </c>
      <c r="C458" s="1">
        <f>(VLOOKUP(Table7[[#This Row],[Student_ID]],student_data[],5,0)*5)+(VLOOKUP(Table7[[#This Row],[Student_ID]],student_data[],6,0)*3)+(VLOOKUP(Table7[[#This Row],[Student_ID]],student_skills[],6,0)*2)+(VLOOKUP(Table7[[#This Row],[Student_ID]],student_internships[],2,0)*5)</f>
        <v>50.099999999999994</v>
      </c>
      <c r="D458" s="1">
        <f>AVERAGE(VLOOKUP(Table7[[#This Row],[Student_ID]],student_skills[],3,0),VLOOKUP(Table7[[#This Row],[Student_ID]],student_skills[],4,0),VLOOKUP(Table7[[#This Row],[Student_ID]],student_skills[],5,0),VLOOKUP(Table7[[#This Row],[Student_ID]],student_skills[],6,0))</f>
        <v>3.5</v>
      </c>
      <c r="E458" s="1" t="str">
        <f>IF(VLOOKUP(Table7[[#This Row],[Student_ID]],student_internships[#All],2,0)&gt;1,"EXPERIENCED",IF(VLOOKUP(Table7[[#This Row],[Student_ID]],student_internships[#All],2,0)=1,"BEGINNER","NOT EXPERIENCED"))</f>
        <v>NOT EXPERIENCED</v>
      </c>
      <c r="F458" s="1">
        <f>VLOOKUP(Table7[[#This Row],[Student_ID]],student_data[],5,0)</f>
        <v>8.6199999999999992</v>
      </c>
      <c r="G458" s="1">
        <f>VLOOKUP(Table7[[#This Row],[Student_ID]],student_data[#All],6,0)</f>
        <v>1</v>
      </c>
      <c r="H458" s="1">
        <f>VLOOKUP(Table7[[#This Row],[Student_ID]],student_internships[],2,0)</f>
        <v>0</v>
      </c>
      <c r="I458" s="1">
        <f>VLOOKUP(Table7[[#This Row],[Student_ID]],Placements!A458:E1457,5,0)</f>
        <v>4.5</v>
      </c>
      <c r="J458" s="1" t="str">
        <f>IF(VLOOKUP(Table7[[#This Row],[Student_ID]],student_data[#All],5,0)&gt;8,"HIGH",IF(VLOOKUP(Table7[[#This Row],[Student_ID]],student_data[#All],5,0)&lt;6.5,"LOW","MEDIUM"))</f>
        <v>HIGH</v>
      </c>
    </row>
    <row r="459" spans="1:10" x14ac:dyDescent="0.2">
      <c r="A459" s="1" t="s">
        <v>468</v>
      </c>
      <c r="B459" s="1" t="str">
        <f>VLOOKUP(Table7[[#This Row],[Student_ID]],student_data[#All],2,0)</f>
        <v>Electronics</v>
      </c>
      <c r="C459" s="1">
        <f>(VLOOKUP(Table7[[#This Row],[Student_ID]],student_data[],5,0)*5)+(VLOOKUP(Table7[[#This Row],[Student_ID]],student_data[],6,0)*3)+(VLOOKUP(Table7[[#This Row],[Student_ID]],student_skills[],6,0)*2)+(VLOOKUP(Table7[[#This Row],[Student_ID]],student_internships[],2,0)*5)</f>
        <v>61</v>
      </c>
      <c r="D459" s="1">
        <f>AVERAGE(VLOOKUP(Table7[[#This Row],[Student_ID]],student_skills[],3,0),VLOOKUP(Table7[[#This Row],[Student_ID]],student_skills[],4,0),VLOOKUP(Table7[[#This Row],[Student_ID]],student_skills[],5,0),VLOOKUP(Table7[[#This Row],[Student_ID]],student_skills[],6,0))</f>
        <v>7</v>
      </c>
      <c r="E459" s="1" t="str">
        <f>IF(VLOOKUP(Table7[[#This Row],[Student_ID]],student_internships[#All],2,0)&gt;1,"EXPERIENCED",IF(VLOOKUP(Table7[[#This Row],[Student_ID]],student_internships[#All],2,0)=1,"BEGINNER","NOT EXPERIENCED"))</f>
        <v>BEGINNER</v>
      </c>
      <c r="F459" s="1">
        <f>VLOOKUP(Table7[[#This Row],[Student_ID]],student_data[],5,0)</f>
        <v>6</v>
      </c>
      <c r="G459" s="1">
        <f>VLOOKUP(Table7[[#This Row],[Student_ID]],student_data[#All],6,0)</f>
        <v>4</v>
      </c>
      <c r="H459" s="1">
        <f>VLOOKUP(Table7[[#This Row],[Student_ID]],student_internships[],2,0)</f>
        <v>1</v>
      </c>
      <c r="I459" s="1">
        <f>VLOOKUP(Table7[[#This Row],[Student_ID]],Placements!A459:E1458,5,0)</f>
        <v>5.65</v>
      </c>
      <c r="J459" s="1" t="str">
        <f>IF(VLOOKUP(Table7[[#This Row],[Student_ID]],student_data[#All],5,0)&gt;8,"HIGH",IF(VLOOKUP(Table7[[#This Row],[Student_ID]],student_data[#All],5,0)&lt;6.5,"LOW","MEDIUM"))</f>
        <v>LOW</v>
      </c>
    </row>
    <row r="460" spans="1:10" x14ac:dyDescent="0.2">
      <c r="A460" s="1" t="s">
        <v>469</v>
      </c>
      <c r="B460" s="1" t="str">
        <f>VLOOKUP(Table7[[#This Row],[Student_ID]],student_data[#All],2,0)</f>
        <v>Information Technology</v>
      </c>
      <c r="C460" s="1">
        <f>(VLOOKUP(Table7[[#This Row],[Student_ID]],student_data[],5,0)*5)+(VLOOKUP(Table7[[#This Row],[Student_ID]],student_data[],6,0)*3)+(VLOOKUP(Table7[[#This Row],[Student_ID]],student_skills[],6,0)*2)+(VLOOKUP(Table7[[#This Row],[Student_ID]],student_internships[],2,0)*5)</f>
        <v>59.099999999999994</v>
      </c>
      <c r="D460" s="1">
        <f>AVERAGE(VLOOKUP(Table7[[#This Row],[Student_ID]],student_skills[],3,0),VLOOKUP(Table7[[#This Row],[Student_ID]],student_skills[],4,0),VLOOKUP(Table7[[#This Row],[Student_ID]],student_skills[],5,0),VLOOKUP(Table7[[#This Row],[Student_ID]],student_skills[],6,0))</f>
        <v>6.5</v>
      </c>
      <c r="E460" s="1" t="str">
        <f>IF(VLOOKUP(Table7[[#This Row],[Student_ID]],student_internships[#All],2,0)&gt;1,"EXPERIENCED",IF(VLOOKUP(Table7[[#This Row],[Student_ID]],student_internships[#All],2,0)=1,"BEGINNER","NOT EXPERIENCED"))</f>
        <v>NOT EXPERIENCED</v>
      </c>
      <c r="F460" s="1">
        <f>VLOOKUP(Table7[[#This Row],[Student_ID]],student_data[],5,0)</f>
        <v>6.02</v>
      </c>
      <c r="G460" s="1">
        <f>VLOOKUP(Table7[[#This Row],[Student_ID]],student_data[#All],6,0)</f>
        <v>3</v>
      </c>
      <c r="H460" s="1">
        <f>VLOOKUP(Table7[[#This Row],[Student_ID]],student_internships[],2,0)</f>
        <v>0</v>
      </c>
      <c r="I460" s="1">
        <f>VLOOKUP(Table7[[#This Row],[Student_ID]],Placements!A460:E1459,5,0)</f>
        <v>0</v>
      </c>
      <c r="J460" s="1" t="str">
        <f>IF(VLOOKUP(Table7[[#This Row],[Student_ID]],student_data[#All],5,0)&gt;8,"HIGH",IF(VLOOKUP(Table7[[#This Row],[Student_ID]],student_data[#All],5,0)&lt;6.5,"LOW","MEDIUM"))</f>
        <v>LOW</v>
      </c>
    </row>
    <row r="461" spans="1:10" x14ac:dyDescent="0.2">
      <c r="A461" s="1" t="s">
        <v>470</v>
      </c>
      <c r="B461" s="1" t="str">
        <f>VLOOKUP(Table7[[#This Row],[Student_ID]],student_data[#All],2,0)</f>
        <v>Mechanical</v>
      </c>
      <c r="C461" s="1">
        <f>(VLOOKUP(Table7[[#This Row],[Student_ID]],student_data[],5,0)*5)+(VLOOKUP(Table7[[#This Row],[Student_ID]],student_data[],6,0)*3)+(VLOOKUP(Table7[[#This Row],[Student_ID]],student_skills[],6,0)*2)+(VLOOKUP(Table7[[#This Row],[Student_ID]],student_internships[],2,0)*5)</f>
        <v>44.25</v>
      </c>
      <c r="D461" s="1">
        <f>AVERAGE(VLOOKUP(Table7[[#This Row],[Student_ID]],student_skills[],3,0),VLOOKUP(Table7[[#This Row],[Student_ID]],student_skills[],4,0),VLOOKUP(Table7[[#This Row],[Student_ID]],student_skills[],5,0),VLOOKUP(Table7[[#This Row],[Student_ID]],student_skills[],6,0))</f>
        <v>4.25</v>
      </c>
      <c r="E461" s="1" t="str">
        <f>IF(VLOOKUP(Table7[[#This Row],[Student_ID]],student_internships[#All],2,0)&gt;1,"EXPERIENCED",IF(VLOOKUP(Table7[[#This Row],[Student_ID]],student_internships[#All],2,0)=1,"BEGINNER","NOT EXPERIENCED"))</f>
        <v>BEGINNER</v>
      </c>
      <c r="F461" s="1">
        <f>VLOOKUP(Table7[[#This Row],[Student_ID]],student_data[],5,0)</f>
        <v>5.05</v>
      </c>
      <c r="G461" s="1">
        <f>VLOOKUP(Table7[[#This Row],[Student_ID]],student_data[#All],6,0)</f>
        <v>2</v>
      </c>
      <c r="H461" s="1">
        <f>VLOOKUP(Table7[[#This Row],[Student_ID]],student_internships[],2,0)</f>
        <v>1</v>
      </c>
      <c r="I461" s="1">
        <f>VLOOKUP(Table7[[#This Row],[Student_ID]],Placements!A461:E1460,5,0)</f>
        <v>5.19</v>
      </c>
      <c r="J461" s="1" t="str">
        <f>IF(VLOOKUP(Table7[[#This Row],[Student_ID]],student_data[#All],5,0)&gt;8,"HIGH",IF(VLOOKUP(Table7[[#This Row],[Student_ID]],student_data[#All],5,0)&lt;6.5,"LOW","MEDIUM"))</f>
        <v>LOW</v>
      </c>
    </row>
    <row r="462" spans="1:10" x14ac:dyDescent="0.2">
      <c r="A462" s="1" t="s">
        <v>471</v>
      </c>
      <c r="B462" s="1" t="str">
        <f>VLOOKUP(Table7[[#This Row],[Student_ID]],student_data[#All],2,0)</f>
        <v>Electronics</v>
      </c>
      <c r="C462" s="1">
        <f>(VLOOKUP(Table7[[#This Row],[Student_ID]],student_data[],5,0)*5)+(VLOOKUP(Table7[[#This Row],[Student_ID]],student_data[],6,0)*3)+(VLOOKUP(Table7[[#This Row],[Student_ID]],student_skills[],6,0)*2)+(VLOOKUP(Table7[[#This Row],[Student_ID]],student_internships[],2,0)*5)</f>
        <v>70.95</v>
      </c>
      <c r="D462" s="1">
        <f>AVERAGE(VLOOKUP(Table7[[#This Row],[Student_ID]],student_skills[],3,0),VLOOKUP(Table7[[#This Row],[Student_ID]],student_skills[],4,0),VLOOKUP(Table7[[#This Row],[Student_ID]],student_skills[],5,0),VLOOKUP(Table7[[#This Row],[Student_ID]],student_skills[],6,0))</f>
        <v>7.5</v>
      </c>
      <c r="E462" s="1" t="str">
        <f>IF(VLOOKUP(Table7[[#This Row],[Student_ID]],student_internships[#All],2,0)&gt;1,"EXPERIENCED",IF(VLOOKUP(Table7[[#This Row],[Student_ID]],student_internships[#All],2,0)=1,"BEGINNER","NOT EXPERIENCED"))</f>
        <v>NOT EXPERIENCED</v>
      </c>
      <c r="F462" s="1">
        <f>VLOOKUP(Table7[[#This Row],[Student_ID]],student_data[],5,0)</f>
        <v>7.19</v>
      </c>
      <c r="G462" s="1">
        <f>VLOOKUP(Table7[[#This Row],[Student_ID]],student_data[#All],6,0)</f>
        <v>5</v>
      </c>
      <c r="H462" s="1">
        <f>VLOOKUP(Table7[[#This Row],[Student_ID]],student_internships[],2,0)</f>
        <v>0</v>
      </c>
      <c r="I462" s="1">
        <f>VLOOKUP(Table7[[#This Row],[Student_ID]],Placements!A462:E1461,5,0)</f>
        <v>9.39</v>
      </c>
      <c r="J462" s="1" t="str">
        <f>IF(VLOOKUP(Table7[[#This Row],[Student_ID]],student_data[#All],5,0)&gt;8,"HIGH",IF(VLOOKUP(Table7[[#This Row],[Student_ID]],student_data[#All],5,0)&lt;6.5,"LOW","MEDIUM"))</f>
        <v>MEDIUM</v>
      </c>
    </row>
    <row r="463" spans="1:10" x14ac:dyDescent="0.2">
      <c r="A463" s="1" t="s">
        <v>472</v>
      </c>
      <c r="B463" s="1" t="str">
        <f>VLOOKUP(Table7[[#This Row],[Student_ID]],student_data[#All],2,0)</f>
        <v>Mechanical</v>
      </c>
      <c r="C463" s="1">
        <f>(VLOOKUP(Table7[[#This Row],[Student_ID]],student_data[],5,0)*5)+(VLOOKUP(Table7[[#This Row],[Student_ID]],student_data[],6,0)*3)+(VLOOKUP(Table7[[#This Row],[Student_ID]],student_skills[],6,0)*2)+(VLOOKUP(Table7[[#This Row],[Student_ID]],student_internships[],2,0)*5)</f>
        <v>69.05</v>
      </c>
      <c r="D463" s="1">
        <f>AVERAGE(VLOOKUP(Table7[[#This Row],[Student_ID]],student_skills[],3,0),VLOOKUP(Table7[[#This Row],[Student_ID]],student_skills[],4,0),VLOOKUP(Table7[[#This Row],[Student_ID]],student_skills[],5,0),VLOOKUP(Table7[[#This Row],[Student_ID]],student_skills[],6,0))</f>
        <v>4.5</v>
      </c>
      <c r="E463" s="1" t="str">
        <f>IF(VLOOKUP(Table7[[#This Row],[Student_ID]],student_internships[#All],2,0)&gt;1,"EXPERIENCED",IF(VLOOKUP(Table7[[#This Row],[Student_ID]],student_internships[#All],2,0)=1,"BEGINNER","NOT EXPERIENCED"))</f>
        <v>NOT EXPERIENCED</v>
      </c>
      <c r="F463" s="1">
        <f>VLOOKUP(Table7[[#This Row],[Student_ID]],student_data[],5,0)</f>
        <v>9.41</v>
      </c>
      <c r="G463" s="1">
        <f>VLOOKUP(Table7[[#This Row],[Student_ID]],student_data[#All],6,0)</f>
        <v>2</v>
      </c>
      <c r="H463" s="1">
        <f>VLOOKUP(Table7[[#This Row],[Student_ID]],student_internships[],2,0)</f>
        <v>0</v>
      </c>
      <c r="I463" s="1">
        <f>VLOOKUP(Table7[[#This Row],[Student_ID]],Placements!A463:E1462,5,0)</f>
        <v>5.33</v>
      </c>
      <c r="J463" s="1" t="str">
        <f>IF(VLOOKUP(Table7[[#This Row],[Student_ID]],student_data[#All],5,0)&gt;8,"HIGH",IF(VLOOKUP(Table7[[#This Row],[Student_ID]],student_data[#All],5,0)&lt;6.5,"LOW","MEDIUM"))</f>
        <v>HIGH</v>
      </c>
    </row>
    <row r="464" spans="1:10" x14ac:dyDescent="0.2">
      <c r="A464" s="1" t="s">
        <v>473</v>
      </c>
      <c r="B464" s="1" t="str">
        <f>VLOOKUP(Table7[[#This Row],[Student_ID]],student_data[#All],2,0)</f>
        <v>Computer Science</v>
      </c>
      <c r="C464" s="1">
        <f>(VLOOKUP(Table7[[#This Row],[Student_ID]],student_data[],5,0)*5)+(VLOOKUP(Table7[[#This Row],[Student_ID]],student_data[],6,0)*3)+(VLOOKUP(Table7[[#This Row],[Student_ID]],student_skills[],6,0)*2)+(VLOOKUP(Table7[[#This Row],[Student_ID]],student_internships[],2,0)*5)</f>
        <v>47.3</v>
      </c>
      <c r="D464" s="1">
        <f>AVERAGE(VLOOKUP(Table7[[#This Row],[Student_ID]],student_skills[],3,0),VLOOKUP(Table7[[#This Row],[Student_ID]],student_skills[],4,0),VLOOKUP(Table7[[#This Row],[Student_ID]],student_skills[],5,0),VLOOKUP(Table7[[#This Row],[Student_ID]],student_skills[],6,0))</f>
        <v>6.75</v>
      </c>
      <c r="E464" s="1" t="str">
        <f>IF(VLOOKUP(Table7[[#This Row],[Student_ID]],student_internships[#All],2,0)&gt;1,"EXPERIENCED",IF(VLOOKUP(Table7[[#This Row],[Student_ID]],student_internships[#All],2,0)=1,"BEGINNER","NOT EXPERIENCED"))</f>
        <v>NOT EXPERIENCED</v>
      </c>
      <c r="F464" s="1">
        <f>VLOOKUP(Table7[[#This Row],[Student_ID]],student_data[],5,0)</f>
        <v>5.26</v>
      </c>
      <c r="G464" s="1">
        <f>VLOOKUP(Table7[[#This Row],[Student_ID]],student_data[#All],6,0)</f>
        <v>1</v>
      </c>
      <c r="H464" s="1">
        <f>VLOOKUP(Table7[[#This Row],[Student_ID]],student_internships[],2,0)</f>
        <v>0</v>
      </c>
      <c r="I464" s="1">
        <f>VLOOKUP(Table7[[#This Row],[Student_ID]],Placements!A464:E1463,5,0)</f>
        <v>5.6</v>
      </c>
      <c r="J464" s="1" t="str">
        <f>IF(VLOOKUP(Table7[[#This Row],[Student_ID]],student_data[#All],5,0)&gt;8,"HIGH",IF(VLOOKUP(Table7[[#This Row],[Student_ID]],student_data[#All],5,0)&lt;6.5,"LOW","MEDIUM"))</f>
        <v>LOW</v>
      </c>
    </row>
    <row r="465" spans="1:10" x14ac:dyDescent="0.2">
      <c r="A465" s="1" t="s">
        <v>474</v>
      </c>
      <c r="B465" s="1" t="str">
        <f>VLOOKUP(Table7[[#This Row],[Student_ID]],student_data[#All],2,0)</f>
        <v>Electronics</v>
      </c>
      <c r="C465" s="1">
        <f>(VLOOKUP(Table7[[#This Row],[Student_ID]],student_data[],5,0)*5)+(VLOOKUP(Table7[[#This Row],[Student_ID]],student_data[],6,0)*3)+(VLOOKUP(Table7[[#This Row],[Student_ID]],student_skills[],6,0)*2)+(VLOOKUP(Table7[[#This Row],[Student_ID]],student_internships[],2,0)*5)</f>
        <v>51.8</v>
      </c>
      <c r="D465" s="1">
        <f>AVERAGE(VLOOKUP(Table7[[#This Row],[Student_ID]],student_skills[],3,0),VLOOKUP(Table7[[#This Row],[Student_ID]],student_skills[],4,0),VLOOKUP(Table7[[#This Row],[Student_ID]],student_skills[],5,0),VLOOKUP(Table7[[#This Row],[Student_ID]],student_skills[],6,0))</f>
        <v>5</v>
      </c>
      <c r="E465" s="1" t="str">
        <f>IF(VLOOKUP(Table7[[#This Row],[Student_ID]],student_internships[#All],2,0)&gt;1,"EXPERIENCED",IF(VLOOKUP(Table7[[#This Row],[Student_ID]],student_internships[#All],2,0)=1,"BEGINNER","NOT EXPERIENCED"))</f>
        <v>BEGINNER</v>
      </c>
      <c r="F465" s="1">
        <f>VLOOKUP(Table7[[#This Row],[Student_ID]],student_data[],5,0)</f>
        <v>5.96</v>
      </c>
      <c r="G465" s="1">
        <f>VLOOKUP(Table7[[#This Row],[Student_ID]],student_data[#All],6,0)</f>
        <v>1</v>
      </c>
      <c r="H465" s="1">
        <f>VLOOKUP(Table7[[#This Row],[Student_ID]],student_internships[],2,0)</f>
        <v>1</v>
      </c>
      <c r="I465" s="1">
        <f>VLOOKUP(Table7[[#This Row],[Student_ID]],Placements!A465:E1464,5,0)</f>
        <v>5.77</v>
      </c>
      <c r="J465" s="1" t="str">
        <f>IF(VLOOKUP(Table7[[#This Row],[Student_ID]],student_data[#All],5,0)&gt;8,"HIGH",IF(VLOOKUP(Table7[[#This Row],[Student_ID]],student_data[#All],5,0)&lt;6.5,"LOW","MEDIUM"))</f>
        <v>LOW</v>
      </c>
    </row>
    <row r="466" spans="1:10" x14ac:dyDescent="0.2">
      <c r="A466" s="1" t="s">
        <v>475</v>
      </c>
      <c r="B466" s="1" t="str">
        <f>VLOOKUP(Table7[[#This Row],[Student_ID]],student_data[#All],2,0)</f>
        <v>Information Technology</v>
      </c>
      <c r="C466" s="1">
        <f>(VLOOKUP(Table7[[#This Row],[Student_ID]],student_data[],5,0)*5)+(VLOOKUP(Table7[[#This Row],[Student_ID]],student_data[],6,0)*3)+(VLOOKUP(Table7[[#This Row],[Student_ID]],student_skills[],6,0)*2)+(VLOOKUP(Table7[[#This Row],[Student_ID]],student_internships[],2,0)*5)</f>
        <v>52.75</v>
      </c>
      <c r="D466" s="1">
        <f>AVERAGE(VLOOKUP(Table7[[#This Row],[Student_ID]],student_skills[],3,0),VLOOKUP(Table7[[#This Row],[Student_ID]],student_skills[],4,0),VLOOKUP(Table7[[#This Row],[Student_ID]],student_skills[],5,0),VLOOKUP(Table7[[#This Row],[Student_ID]],student_skills[],6,0))</f>
        <v>5.25</v>
      </c>
      <c r="E466" s="1" t="str">
        <f>IF(VLOOKUP(Table7[[#This Row],[Student_ID]],student_internships[#All],2,0)&gt;1,"EXPERIENCED",IF(VLOOKUP(Table7[[#This Row],[Student_ID]],student_internships[#All],2,0)=1,"BEGINNER","NOT EXPERIENCED"))</f>
        <v>EXPERIENCED</v>
      </c>
      <c r="F466" s="1">
        <f>VLOOKUP(Table7[[#This Row],[Student_ID]],student_data[],5,0)</f>
        <v>6.55</v>
      </c>
      <c r="G466" s="1">
        <f>VLOOKUP(Table7[[#This Row],[Student_ID]],student_data[#All],6,0)</f>
        <v>0</v>
      </c>
      <c r="H466" s="1">
        <f>VLOOKUP(Table7[[#This Row],[Student_ID]],student_internships[],2,0)</f>
        <v>2</v>
      </c>
      <c r="I466" s="1">
        <f>VLOOKUP(Table7[[#This Row],[Student_ID]],Placements!A466:E1465,5,0)</f>
        <v>4.5</v>
      </c>
      <c r="J466" s="1" t="str">
        <f>IF(VLOOKUP(Table7[[#This Row],[Student_ID]],student_data[#All],5,0)&gt;8,"HIGH",IF(VLOOKUP(Table7[[#This Row],[Student_ID]],student_data[#All],5,0)&lt;6.5,"LOW","MEDIUM"))</f>
        <v>MEDIUM</v>
      </c>
    </row>
    <row r="467" spans="1:10" x14ac:dyDescent="0.2">
      <c r="A467" s="1" t="s">
        <v>476</v>
      </c>
      <c r="B467" s="1" t="str">
        <f>VLOOKUP(Table7[[#This Row],[Student_ID]],student_data[#All],2,0)</f>
        <v>Electronics</v>
      </c>
      <c r="C467" s="1">
        <f>(VLOOKUP(Table7[[#This Row],[Student_ID]],student_data[],5,0)*5)+(VLOOKUP(Table7[[#This Row],[Student_ID]],student_data[],6,0)*3)+(VLOOKUP(Table7[[#This Row],[Student_ID]],student_skills[],6,0)*2)+(VLOOKUP(Table7[[#This Row],[Student_ID]],student_internships[],2,0)*5)</f>
        <v>73.3</v>
      </c>
      <c r="D467" s="1">
        <f>AVERAGE(VLOOKUP(Table7[[#This Row],[Student_ID]],student_skills[],3,0),VLOOKUP(Table7[[#This Row],[Student_ID]],student_skills[],4,0),VLOOKUP(Table7[[#This Row],[Student_ID]],student_skills[],5,0),VLOOKUP(Table7[[#This Row],[Student_ID]],student_skills[],6,0))</f>
        <v>7</v>
      </c>
      <c r="E467" s="1" t="str">
        <f>IF(VLOOKUP(Table7[[#This Row],[Student_ID]],student_internships[#All],2,0)&gt;1,"EXPERIENCED",IF(VLOOKUP(Table7[[#This Row],[Student_ID]],student_internships[#All],2,0)=1,"BEGINNER","NOT EXPERIENCED"))</f>
        <v>BEGINNER</v>
      </c>
      <c r="F467" s="1">
        <f>VLOOKUP(Table7[[#This Row],[Student_ID]],student_data[],5,0)</f>
        <v>8.66</v>
      </c>
      <c r="G467" s="1">
        <f>VLOOKUP(Table7[[#This Row],[Student_ID]],student_data[#All],6,0)</f>
        <v>3</v>
      </c>
      <c r="H467" s="1">
        <f>VLOOKUP(Table7[[#This Row],[Student_ID]],student_internships[],2,0)</f>
        <v>1</v>
      </c>
      <c r="I467" s="1">
        <f>VLOOKUP(Table7[[#This Row],[Student_ID]],Placements!A467:E1466,5,0)</f>
        <v>4.8899999999999997</v>
      </c>
      <c r="J467" s="1" t="str">
        <f>IF(VLOOKUP(Table7[[#This Row],[Student_ID]],student_data[#All],5,0)&gt;8,"HIGH",IF(VLOOKUP(Table7[[#This Row],[Student_ID]],student_data[#All],5,0)&lt;6.5,"LOW","MEDIUM"))</f>
        <v>HIGH</v>
      </c>
    </row>
    <row r="468" spans="1:10" x14ac:dyDescent="0.2">
      <c r="A468" s="1" t="s">
        <v>477</v>
      </c>
      <c r="B468" s="1" t="str">
        <f>VLOOKUP(Table7[[#This Row],[Student_ID]],student_data[#All],2,0)</f>
        <v>Electronics</v>
      </c>
      <c r="C468" s="1">
        <f>(VLOOKUP(Table7[[#This Row],[Student_ID]],student_data[],5,0)*5)+(VLOOKUP(Table7[[#This Row],[Student_ID]],student_data[],6,0)*3)+(VLOOKUP(Table7[[#This Row],[Student_ID]],student_skills[],6,0)*2)+(VLOOKUP(Table7[[#This Row],[Student_ID]],student_internships[],2,0)*5)</f>
        <v>64</v>
      </c>
      <c r="D468" s="1">
        <f>AVERAGE(VLOOKUP(Table7[[#This Row],[Student_ID]],student_skills[],3,0),VLOOKUP(Table7[[#This Row],[Student_ID]],student_skills[],4,0),VLOOKUP(Table7[[#This Row],[Student_ID]],student_skills[],5,0),VLOOKUP(Table7[[#This Row],[Student_ID]],student_skills[],6,0))</f>
        <v>5.5</v>
      </c>
      <c r="E468" s="1" t="str">
        <f>IF(VLOOKUP(Table7[[#This Row],[Student_ID]],student_internships[#All],2,0)&gt;1,"EXPERIENCED",IF(VLOOKUP(Table7[[#This Row],[Student_ID]],student_internships[#All],2,0)=1,"BEGINNER","NOT EXPERIENCED"))</f>
        <v>EXPERIENCED</v>
      </c>
      <c r="F468" s="1">
        <f>VLOOKUP(Table7[[#This Row],[Student_ID]],student_data[],5,0)</f>
        <v>8.1999999999999993</v>
      </c>
      <c r="G468" s="1">
        <f>VLOOKUP(Table7[[#This Row],[Student_ID]],student_data[#All],6,0)</f>
        <v>0</v>
      </c>
      <c r="H468" s="1">
        <f>VLOOKUP(Table7[[#This Row],[Student_ID]],student_internships[],2,0)</f>
        <v>3</v>
      </c>
      <c r="I468" s="1">
        <f>VLOOKUP(Table7[[#This Row],[Student_ID]],Placements!A468:E1467,5,0)</f>
        <v>6.33</v>
      </c>
      <c r="J468" s="1" t="str">
        <f>IF(VLOOKUP(Table7[[#This Row],[Student_ID]],student_data[#All],5,0)&gt;8,"HIGH",IF(VLOOKUP(Table7[[#This Row],[Student_ID]],student_data[#All],5,0)&lt;6.5,"LOW","MEDIUM"))</f>
        <v>HIGH</v>
      </c>
    </row>
    <row r="469" spans="1:10" x14ac:dyDescent="0.2">
      <c r="A469" s="1" t="s">
        <v>478</v>
      </c>
      <c r="B469" s="1" t="str">
        <f>VLOOKUP(Table7[[#This Row],[Student_ID]],student_data[#All],2,0)</f>
        <v>Electronics</v>
      </c>
      <c r="C469" s="1">
        <f>(VLOOKUP(Table7[[#This Row],[Student_ID]],student_data[],5,0)*5)+(VLOOKUP(Table7[[#This Row],[Student_ID]],student_data[],6,0)*3)+(VLOOKUP(Table7[[#This Row],[Student_ID]],student_skills[],6,0)*2)+(VLOOKUP(Table7[[#This Row],[Student_ID]],student_internships[],2,0)*5)</f>
        <v>50.4</v>
      </c>
      <c r="D469" s="1">
        <f>AVERAGE(VLOOKUP(Table7[[#This Row],[Student_ID]],student_skills[],3,0),VLOOKUP(Table7[[#This Row],[Student_ID]],student_skills[],4,0),VLOOKUP(Table7[[#This Row],[Student_ID]],student_skills[],5,0),VLOOKUP(Table7[[#This Row],[Student_ID]],student_skills[],6,0))</f>
        <v>5.5</v>
      </c>
      <c r="E469" s="1" t="str">
        <f>IF(VLOOKUP(Table7[[#This Row],[Student_ID]],student_internships[#All],2,0)&gt;1,"EXPERIENCED",IF(VLOOKUP(Table7[[#This Row],[Student_ID]],student_internships[#All],2,0)=1,"BEGINNER","NOT EXPERIENCED"))</f>
        <v>BEGINNER</v>
      </c>
      <c r="F469" s="1">
        <f>VLOOKUP(Table7[[#This Row],[Student_ID]],student_data[],5,0)</f>
        <v>7.08</v>
      </c>
      <c r="G469" s="1">
        <f>VLOOKUP(Table7[[#This Row],[Student_ID]],student_data[#All],6,0)</f>
        <v>2</v>
      </c>
      <c r="H469" s="1">
        <f>VLOOKUP(Table7[[#This Row],[Student_ID]],student_internships[],2,0)</f>
        <v>1</v>
      </c>
      <c r="I469" s="1">
        <f>VLOOKUP(Table7[[#This Row],[Student_ID]],Placements!A469:E1468,5,0)</f>
        <v>0</v>
      </c>
      <c r="J469" s="1" t="str">
        <f>IF(VLOOKUP(Table7[[#This Row],[Student_ID]],student_data[#All],5,0)&gt;8,"HIGH",IF(VLOOKUP(Table7[[#This Row],[Student_ID]],student_data[#All],5,0)&lt;6.5,"LOW","MEDIUM"))</f>
        <v>MEDIUM</v>
      </c>
    </row>
    <row r="470" spans="1:10" x14ac:dyDescent="0.2">
      <c r="A470" s="1" t="s">
        <v>479</v>
      </c>
      <c r="B470" s="1" t="str">
        <f>VLOOKUP(Table7[[#This Row],[Student_ID]],student_data[#All],2,0)</f>
        <v>Electronics</v>
      </c>
      <c r="C470" s="1">
        <f>(VLOOKUP(Table7[[#This Row],[Student_ID]],student_data[],5,0)*5)+(VLOOKUP(Table7[[#This Row],[Student_ID]],student_data[],6,0)*3)+(VLOOKUP(Table7[[#This Row],[Student_ID]],student_skills[],6,0)*2)+(VLOOKUP(Table7[[#This Row],[Student_ID]],student_internships[],2,0)*5)</f>
        <v>68</v>
      </c>
      <c r="D470" s="1">
        <f>AVERAGE(VLOOKUP(Table7[[#This Row],[Student_ID]],student_skills[],3,0),VLOOKUP(Table7[[#This Row],[Student_ID]],student_skills[],4,0),VLOOKUP(Table7[[#This Row],[Student_ID]],student_skills[],5,0),VLOOKUP(Table7[[#This Row],[Student_ID]],student_skills[],6,0))</f>
        <v>8</v>
      </c>
      <c r="E470" s="1" t="str">
        <f>IF(VLOOKUP(Table7[[#This Row],[Student_ID]],student_internships[#All],2,0)&gt;1,"EXPERIENCED",IF(VLOOKUP(Table7[[#This Row],[Student_ID]],student_internships[#All],2,0)=1,"BEGINNER","NOT EXPERIENCED"))</f>
        <v>NOT EXPERIENCED</v>
      </c>
      <c r="F470" s="1">
        <f>VLOOKUP(Table7[[#This Row],[Student_ID]],student_data[],5,0)</f>
        <v>8.8000000000000007</v>
      </c>
      <c r="G470" s="1">
        <f>VLOOKUP(Table7[[#This Row],[Student_ID]],student_data[#All],6,0)</f>
        <v>4</v>
      </c>
      <c r="H470" s="1">
        <f>VLOOKUP(Table7[[#This Row],[Student_ID]],student_internships[],2,0)</f>
        <v>0</v>
      </c>
      <c r="I470" s="1">
        <f>VLOOKUP(Table7[[#This Row],[Student_ID]],Placements!A470:E1469,5,0)</f>
        <v>5.2</v>
      </c>
      <c r="J470" s="1" t="str">
        <f>IF(VLOOKUP(Table7[[#This Row],[Student_ID]],student_data[#All],5,0)&gt;8,"HIGH",IF(VLOOKUP(Table7[[#This Row],[Student_ID]],student_data[#All],5,0)&lt;6.5,"LOW","MEDIUM"))</f>
        <v>HIGH</v>
      </c>
    </row>
    <row r="471" spans="1:10" x14ac:dyDescent="0.2">
      <c r="A471" s="1" t="s">
        <v>480</v>
      </c>
      <c r="B471" s="1" t="str">
        <f>VLOOKUP(Table7[[#This Row],[Student_ID]],student_data[#All],2,0)</f>
        <v>Mechanical</v>
      </c>
      <c r="C471" s="1">
        <f>(VLOOKUP(Table7[[#This Row],[Student_ID]],student_data[],5,0)*5)+(VLOOKUP(Table7[[#This Row],[Student_ID]],student_data[],6,0)*3)+(VLOOKUP(Table7[[#This Row],[Student_ID]],student_skills[],6,0)*2)+(VLOOKUP(Table7[[#This Row],[Student_ID]],student_internships[],2,0)*5)</f>
        <v>80.25</v>
      </c>
      <c r="D471" s="1">
        <f>AVERAGE(VLOOKUP(Table7[[#This Row],[Student_ID]],student_skills[],3,0),VLOOKUP(Table7[[#This Row],[Student_ID]],student_skills[],4,0),VLOOKUP(Table7[[#This Row],[Student_ID]],student_skills[],5,0),VLOOKUP(Table7[[#This Row],[Student_ID]],student_skills[],6,0))</f>
        <v>4.25</v>
      </c>
      <c r="E471" s="1" t="str">
        <f>IF(VLOOKUP(Table7[[#This Row],[Student_ID]],student_internships[#All],2,0)&gt;1,"EXPERIENCED",IF(VLOOKUP(Table7[[#This Row],[Student_ID]],student_internships[#All],2,0)=1,"BEGINNER","NOT EXPERIENCED"))</f>
        <v>EXPERIENCED</v>
      </c>
      <c r="F471" s="1">
        <f>VLOOKUP(Table7[[#This Row],[Student_ID]],student_data[],5,0)</f>
        <v>8.0500000000000007</v>
      </c>
      <c r="G471" s="1">
        <f>VLOOKUP(Table7[[#This Row],[Student_ID]],student_data[#All],6,0)</f>
        <v>4</v>
      </c>
      <c r="H471" s="1">
        <f>VLOOKUP(Table7[[#This Row],[Student_ID]],student_internships[],2,0)</f>
        <v>2</v>
      </c>
      <c r="I471" s="1">
        <f>VLOOKUP(Table7[[#This Row],[Student_ID]],Placements!A471:E1470,5,0)</f>
        <v>3.61</v>
      </c>
      <c r="J471" s="1" t="str">
        <f>IF(VLOOKUP(Table7[[#This Row],[Student_ID]],student_data[#All],5,0)&gt;8,"HIGH",IF(VLOOKUP(Table7[[#This Row],[Student_ID]],student_data[#All],5,0)&lt;6.5,"LOW","MEDIUM"))</f>
        <v>HIGH</v>
      </c>
    </row>
    <row r="472" spans="1:10" x14ac:dyDescent="0.2">
      <c r="A472" s="1" t="s">
        <v>481</v>
      </c>
      <c r="B472" s="1" t="str">
        <f>VLOOKUP(Table7[[#This Row],[Student_ID]],student_data[#All],2,0)</f>
        <v>Computer Science</v>
      </c>
      <c r="C472" s="1">
        <f>(VLOOKUP(Table7[[#This Row],[Student_ID]],student_data[],5,0)*5)+(VLOOKUP(Table7[[#This Row],[Student_ID]],student_data[],6,0)*3)+(VLOOKUP(Table7[[#This Row],[Student_ID]],student_skills[],6,0)*2)+(VLOOKUP(Table7[[#This Row],[Student_ID]],student_internships[],2,0)*5)</f>
        <v>52.400000000000006</v>
      </c>
      <c r="D472" s="1">
        <f>AVERAGE(VLOOKUP(Table7[[#This Row],[Student_ID]],student_skills[],3,0),VLOOKUP(Table7[[#This Row],[Student_ID]],student_skills[],4,0),VLOOKUP(Table7[[#This Row],[Student_ID]],student_skills[],5,0),VLOOKUP(Table7[[#This Row],[Student_ID]],student_skills[],6,0))</f>
        <v>4</v>
      </c>
      <c r="E472" s="1" t="str">
        <f>IF(VLOOKUP(Table7[[#This Row],[Student_ID]],student_internships[#All],2,0)&gt;1,"EXPERIENCED",IF(VLOOKUP(Table7[[#This Row],[Student_ID]],student_internships[#All],2,0)=1,"BEGINNER","NOT EXPERIENCED"))</f>
        <v>NOT EXPERIENCED</v>
      </c>
      <c r="F472" s="1">
        <f>VLOOKUP(Table7[[#This Row],[Student_ID]],student_data[],5,0)</f>
        <v>9.48</v>
      </c>
      <c r="G472" s="1">
        <f>VLOOKUP(Table7[[#This Row],[Student_ID]],student_data[#All],6,0)</f>
        <v>1</v>
      </c>
      <c r="H472" s="1">
        <f>VLOOKUP(Table7[[#This Row],[Student_ID]],student_internships[],2,0)</f>
        <v>0</v>
      </c>
      <c r="I472" s="1">
        <f>VLOOKUP(Table7[[#This Row],[Student_ID]],Placements!A472:E1471,5,0)</f>
        <v>6.96</v>
      </c>
      <c r="J472" s="1" t="str">
        <f>IF(VLOOKUP(Table7[[#This Row],[Student_ID]],student_data[#All],5,0)&gt;8,"HIGH",IF(VLOOKUP(Table7[[#This Row],[Student_ID]],student_data[#All],5,0)&lt;6.5,"LOW","MEDIUM"))</f>
        <v>HIGH</v>
      </c>
    </row>
    <row r="473" spans="1:10" x14ac:dyDescent="0.2">
      <c r="A473" s="1" t="s">
        <v>482</v>
      </c>
      <c r="B473" s="1" t="str">
        <f>VLOOKUP(Table7[[#This Row],[Student_ID]],student_data[#All],2,0)</f>
        <v>Civil</v>
      </c>
      <c r="C473" s="1">
        <f>(VLOOKUP(Table7[[#This Row],[Student_ID]],student_data[],5,0)*5)+(VLOOKUP(Table7[[#This Row],[Student_ID]],student_data[],6,0)*3)+(VLOOKUP(Table7[[#This Row],[Student_ID]],student_skills[],6,0)*2)+(VLOOKUP(Table7[[#This Row],[Student_ID]],student_internships[],2,0)*5)</f>
        <v>92.45</v>
      </c>
      <c r="D473" s="1">
        <f>AVERAGE(VLOOKUP(Table7[[#This Row],[Student_ID]],student_skills[],3,0),VLOOKUP(Table7[[#This Row],[Student_ID]],student_skills[],4,0),VLOOKUP(Table7[[#This Row],[Student_ID]],student_skills[],5,0),VLOOKUP(Table7[[#This Row],[Student_ID]],student_skills[],6,0))</f>
        <v>6.75</v>
      </c>
      <c r="E473" s="1" t="str">
        <f>IF(VLOOKUP(Table7[[#This Row],[Student_ID]],student_internships[#All],2,0)&gt;1,"EXPERIENCED",IF(VLOOKUP(Table7[[#This Row],[Student_ID]],student_internships[#All],2,0)=1,"BEGINNER","NOT EXPERIENCED"))</f>
        <v>EXPERIENCED</v>
      </c>
      <c r="F473" s="1">
        <f>VLOOKUP(Table7[[#This Row],[Student_ID]],student_data[],5,0)</f>
        <v>9.09</v>
      </c>
      <c r="G473" s="1">
        <f>VLOOKUP(Table7[[#This Row],[Student_ID]],student_data[#All],6,0)</f>
        <v>4</v>
      </c>
      <c r="H473" s="1">
        <f>VLOOKUP(Table7[[#This Row],[Student_ID]],student_internships[],2,0)</f>
        <v>3</v>
      </c>
      <c r="I473" s="1">
        <f>VLOOKUP(Table7[[#This Row],[Student_ID]],Placements!A473:E1472,5,0)</f>
        <v>5.43</v>
      </c>
      <c r="J473" s="1" t="str">
        <f>IF(VLOOKUP(Table7[[#This Row],[Student_ID]],student_data[#All],5,0)&gt;8,"HIGH",IF(VLOOKUP(Table7[[#This Row],[Student_ID]],student_data[#All],5,0)&lt;6.5,"LOW","MEDIUM"))</f>
        <v>HIGH</v>
      </c>
    </row>
    <row r="474" spans="1:10" x14ac:dyDescent="0.2">
      <c r="A474" s="1" t="s">
        <v>483</v>
      </c>
      <c r="B474" s="1" t="str">
        <f>VLOOKUP(Table7[[#This Row],[Student_ID]],student_data[#All],2,0)</f>
        <v>Electronics</v>
      </c>
      <c r="C474" s="1">
        <f>(VLOOKUP(Table7[[#This Row],[Student_ID]],student_data[],5,0)*5)+(VLOOKUP(Table7[[#This Row],[Student_ID]],student_data[],6,0)*3)+(VLOOKUP(Table7[[#This Row],[Student_ID]],student_skills[],6,0)*2)+(VLOOKUP(Table7[[#This Row],[Student_ID]],student_internships[],2,0)*5)</f>
        <v>57.3</v>
      </c>
      <c r="D474" s="1">
        <f>AVERAGE(VLOOKUP(Table7[[#This Row],[Student_ID]],student_skills[],3,0),VLOOKUP(Table7[[#This Row],[Student_ID]],student_skills[],4,0),VLOOKUP(Table7[[#This Row],[Student_ID]],student_skills[],5,0),VLOOKUP(Table7[[#This Row],[Student_ID]],student_skills[],6,0))</f>
        <v>5.25</v>
      </c>
      <c r="E474" s="1" t="str">
        <f>IF(VLOOKUP(Table7[[#This Row],[Student_ID]],student_internships[#All],2,0)&gt;1,"EXPERIENCED",IF(VLOOKUP(Table7[[#This Row],[Student_ID]],student_internships[#All],2,0)=1,"BEGINNER","NOT EXPERIENCED"))</f>
        <v>NOT EXPERIENCED</v>
      </c>
      <c r="F474" s="1">
        <f>VLOOKUP(Table7[[#This Row],[Student_ID]],student_data[],5,0)</f>
        <v>6.26</v>
      </c>
      <c r="G474" s="1">
        <f>VLOOKUP(Table7[[#This Row],[Student_ID]],student_data[#All],6,0)</f>
        <v>4</v>
      </c>
      <c r="H474" s="1">
        <f>VLOOKUP(Table7[[#This Row],[Student_ID]],student_internships[],2,0)</f>
        <v>0</v>
      </c>
      <c r="I474" s="1">
        <f>VLOOKUP(Table7[[#This Row],[Student_ID]],Placements!A474:E1473,5,0)</f>
        <v>0</v>
      </c>
      <c r="J474" s="1" t="str">
        <f>IF(VLOOKUP(Table7[[#This Row],[Student_ID]],student_data[#All],5,0)&gt;8,"HIGH",IF(VLOOKUP(Table7[[#This Row],[Student_ID]],student_data[#All],5,0)&lt;6.5,"LOW","MEDIUM"))</f>
        <v>LOW</v>
      </c>
    </row>
    <row r="475" spans="1:10" x14ac:dyDescent="0.2">
      <c r="A475" s="1" t="s">
        <v>484</v>
      </c>
      <c r="B475" s="1" t="str">
        <f>VLOOKUP(Table7[[#This Row],[Student_ID]],student_data[#All],2,0)</f>
        <v>Information Technology</v>
      </c>
      <c r="C475" s="1">
        <f>(VLOOKUP(Table7[[#This Row],[Student_ID]],student_data[],5,0)*5)+(VLOOKUP(Table7[[#This Row],[Student_ID]],student_data[],6,0)*3)+(VLOOKUP(Table7[[#This Row],[Student_ID]],student_skills[],6,0)*2)+(VLOOKUP(Table7[[#This Row],[Student_ID]],student_internships[],2,0)*5)</f>
        <v>78.8</v>
      </c>
      <c r="D475" s="1">
        <f>AVERAGE(VLOOKUP(Table7[[#This Row],[Student_ID]],student_skills[],3,0),VLOOKUP(Table7[[#This Row],[Student_ID]],student_skills[],4,0),VLOOKUP(Table7[[#This Row],[Student_ID]],student_skills[],5,0),VLOOKUP(Table7[[#This Row],[Student_ID]],student_skills[],6,0))</f>
        <v>7.5</v>
      </c>
      <c r="E475" s="1" t="str">
        <f>IF(VLOOKUP(Table7[[#This Row],[Student_ID]],student_internships[#All],2,0)&gt;1,"EXPERIENCED",IF(VLOOKUP(Table7[[#This Row],[Student_ID]],student_internships[#All],2,0)=1,"BEGINNER","NOT EXPERIENCED"))</f>
        <v>EXPERIENCED</v>
      </c>
      <c r="F475" s="1">
        <f>VLOOKUP(Table7[[#This Row],[Student_ID]],student_data[],5,0)</f>
        <v>6.36</v>
      </c>
      <c r="G475" s="1">
        <f>VLOOKUP(Table7[[#This Row],[Student_ID]],student_data[#All],6,0)</f>
        <v>4</v>
      </c>
      <c r="H475" s="1">
        <f>VLOOKUP(Table7[[#This Row],[Student_ID]],student_internships[],2,0)</f>
        <v>3</v>
      </c>
      <c r="I475" s="1">
        <f>VLOOKUP(Table7[[#This Row],[Student_ID]],Placements!A475:E1474,5,0)</f>
        <v>4.1100000000000003</v>
      </c>
      <c r="J475" s="1" t="str">
        <f>IF(VLOOKUP(Table7[[#This Row],[Student_ID]],student_data[#All],5,0)&gt;8,"HIGH",IF(VLOOKUP(Table7[[#This Row],[Student_ID]],student_data[#All],5,0)&lt;6.5,"LOW","MEDIUM"))</f>
        <v>LOW</v>
      </c>
    </row>
    <row r="476" spans="1:10" x14ac:dyDescent="0.2">
      <c r="A476" s="1" t="s">
        <v>485</v>
      </c>
      <c r="B476" s="1" t="str">
        <f>VLOOKUP(Table7[[#This Row],[Student_ID]],student_data[#All],2,0)</f>
        <v>Electronics</v>
      </c>
      <c r="C476" s="1">
        <f>(VLOOKUP(Table7[[#This Row],[Student_ID]],student_data[],5,0)*5)+(VLOOKUP(Table7[[#This Row],[Student_ID]],student_data[],6,0)*3)+(VLOOKUP(Table7[[#This Row],[Student_ID]],student_skills[],6,0)*2)+(VLOOKUP(Table7[[#This Row],[Student_ID]],student_internships[],2,0)*5)</f>
        <v>52.15</v>
      </c>
      <c r="D476" s="1">
        <f>AVERAGE(VLOOKUP(Table7[[#This Row],[Student_ID]],student_skills[],3,0),VLOOKUP(Table7[[#This Row],[Student_ID]],student_skills[],4,0),VLOOKUP(Table7[[#This Row],[Student_ID]],student_skills[],5,0),VLOOKUP(Table7[[#This Row],[Student_ID]],student_skills[],6,0))</f>
        <v>7.5</v>
      </c>
      <c r="E476" s="1" t="str">
        <f>IF(VLOOKUP(Table7[[#This Row],[Student_ID]],student_internships[#All],2,0)&gt;1,"EXPERIENCED",IF(VLOOKUP(Table7[[#This Row],[Student_ID]],student_internships[#All],2,0)=1,"BEGINNER","NOT EXPERIENCED"))</f>
        <v>NOT EXPERIENCED</v>
      </c>
      <c r="F476" s="1">
        <f>VLOOKUP(Table7[[#This Row],[Student_ID]],student_data[],5,0)</f>
        <v>5.63</v>
      </c>
      <c r="G476" s="1">
        <f>VLOOKUP(Table7[[#This Row],[Student_ID]],student_data[#All],6,0)</f>
        <v>2</v>
      </c>
      <c r="H476" s="1">
        <f>VLOOKUP(Table7[[#This Row],[Student_ID]],student_internships[],2,0)</f>
        <v>0</v>
      </c>
      <c r="I476" s="1">
        <f>VLOOKUP(Table7[[#This Row],[Student_ID]],Placements!A476:E1475,5,0)</f>
        <v>6.11</v>
      </c>
      <c r="J476" s="1" t="str">
        <f>IF(VLOOKUP(Table7[[#This Row],[Student_ID]],student_data[#All],5,0)&gt;8,"HIGH",IF(VLOOKUP(Table7[[#This Row],[Student_ID]],student_data[#All],5,0)&lt;6.5,"LOW","MEDIUM"))</f>
        <v>LOW</v>
      </c>
    </row>
    <row r="477" spans="1:10" x14ac:dyDescent="0.2">
      <c r="A477" s="1" t="s">
        <v>486</v>
      </c>
      <c r="B477" s="1" t="str">
        <f>VLOOKUP(Table7[[#This Row],[Student_ID]],student_data[#All],2,0)</f>
        <v>Information Technology</v>
      </c>
      <c r="C477" s="1">
        <f>(VLOOKUP(Table7[[#This Row],[Student_ID]],student_data[],5,0)*5)+(VLOOKUP(Table7[[#This Row],[Student_ID]],student_data[],6,0)*3)+(VLOOKUP(Table7[[#This Row],[Student_ID]],student_skills[],6,0)*2)+(VLOOKUP(Table7[[#This Row],[Student_ID]],student_internships[],2,0)*5)</f>
        <v>75.400000000000006</v>
      </c>
      <c r="D477" s="1">
        <f>AVERAGE(VLOOKUP(Table7[[#This Row],[Student_ID]],student_skills[],3,0),VLOOKUP(Table7[[#This Row],[Student_ID]],student_skills[],4,0),VLOOKUP(Table7[[#This Row],[Student_ID]],student_skills[],5,0),VLOOKUP(Table7[[#This Row],[Student_ID]],student_skills[],6,0))</f>
        <v>6.5</v>
      </c>
      <c r="E477" s="1" t="str">
        <f>IF(VLOOKUP(Table7[[#This Row],[Student_ID]],student_internships[#All],2,0)&gt;1,"EXPERIENCED",IF(VLOOKUP(Table7[[#This Row],[Student_ID]],student_internships[#All],2,0)=1,"BEGINNER","NOT EXPERIENCED"))</f>
        <v>EXPERIENCED</v>
      </c>
      <c r="F477" s="1">
        <f>VLOOKUP(Table7[[#This Row],[Student_ID]],student_data[],5,0)</f>
        <v>6.68</v>
      </c>
      <c r="G477" s="1">
        <f>VLOOKUP(Table7[[#This Row],[Student_ID]],student_data[#All],6,0)</f>
        <v>4</v>
      </c>
      <c r="H477" s="1">
        <f>VLOOKUP(Table7[[#This Row],[Student_ID]],student_internships[],2,0)</f>
        <v>2</v>
      </c>
      <c r="I477" s="1">
        <f>VLOOKUP(Table7[[#This Row],[Student_ID]],Placements!A477:E1476,5,0)</f>
        <v>5.33</v>
      </c>
      <c r="J477" s="1" t="str">
        <f>IF(VLOOKUP(Table7[[#This Row],[Student_ID]],student_data[#All],5,0)&gt;8,"HIGH",IF(VLOOKUP(Table7[[#This Row],[Student_ID]],student_data[#All],5,0)&lt;6.5,"LOW","MEDIUM"))</f>
        <v>MEDIUM</v>
      </c>
    </row>
    <row r="478" spans="1:10" x14ac:dyDescent="0.2">
      <c r="A478" s="1" t="s">
        <v>487</v>
      </c>
      <c r="B478" s="1" t="str">
        <f>VLOOKUP(Table7[[#This Row],[Student_ID]],student_data[#All],2,0)</f>
        <v>Mechanical</v>
      </c>
      <c r="C478" s="1">
        <f>(VLOOKUP(Table7[[#This Row],[Student_ID]],student_data[],5,0)*5)+(VLOOKUP(Table7[[#This Row],[Student_ID]],student_data[],6,0)*3)+(VLOOKUP(Table7[[#This Row],[Student_ID]],student_skills[],6,0)*2)+(VLOOKUP(Table7[[#This Row],[Student_ID]],student_internships[],2,0)*5)</f>
        <v>88</v>
      </c>
      <c r="D478" s="1">
        <f>AVERAGE(VLOOKUP(Table7[[#This Row],[Student_ID]],student_skills[],3,0),VLOOKUP(Table7[[#This Row],[Student_ID]],student_skills[],4,0),VLOOKUP(Table7[[#This Row],[Student_ID]],student_skills[],5,0),VLOOKUP(Table7[[#This Row],[Student_ID]],student_skills[],6,0))</f>
        <v>5.25</v>
      </c>
      <c r="E478" s="1" t="str">
        <f>IF(VLOOKUP(Table7[[#This Row],[Student_ID]],student_internships[#All],2,0)&gt;1,"EXPERIENCED",IF(VLOOKUP(Table7[[#This Row],[Student_ID]],student_internships[#All],2,0)=1,"BEGINNER","NOT EXPERIENCED"))</f>
        <v>BEGINNER</v>
      </c>
      <c r="F478" s="1">
        <f>VLOOKUP(Table7[[#This Row],[Student_ID]],student_data[],5,0)</f>
        <v>10</v>
      </c>
      <c r="G478" s="1">
        <f>VLOOKUP(Table7[[#This Row],[Student_ID]],student_data[#All],6,0)</f>
        <v>5</v>
      </c>
      <c r="H478" s="1">
        <f>VLOOKUP(Table7[[#This Row],[Student_ID]],student_internships[],2,0)</f>
        <v>1</v>
      </c>
      <c r="I478" s="1">
        <f>VLOOKUP(Table7[[#This Row],[Student_ID]],Placements!A478:E1477,5,0)</f>
        <v>4.34</v>
      </c>
      <c r="J478" s="1" t="str">
        <f>IF(VLOOKUP(Table7[[#This Row],[Student_ID]],student_data[#All],5,0)&gt;8,"HIGH",IF(VLOOKUP(Table7[[#This Row],[Student_ID]],student_data[#All],5,0)&lt;6.5,"LOW","MEDIUM"))</f>
        <v>HIGH</v>
      </c>
    </row>
    <row r="479" spans="1:10" x14ac:dyDescent="0.2">
      <c r="A479" s="1" t="s">
        <v>488</v>
      </c>
      <c r="B479" s="1" t="str">
        <f>VLOOKUP(Table7[[#This Row],[Student_ID]],student_data[#All],2,0)</f>
        <v>Information Technology</v>
      </c>
      <c r="C479" s="1">
        <f>(VLOOKUP(Table7[[#This Row],[Student_ID]],student_data[],5,0)*5)+(VLOOKUP(Table7[[#This Row],[Student_ID]],student_data[],6,0)*3)+(VLOOKUP(Table7[[#This Row],[Student_ID]],student_skills[],6,0)*2)+(VLOOKUP(Table7[[#This Row],[Student_ID]],student_internships[],2,0)*5)</f>
        <v>82.15</v>
      </c>
      <c r="D479" s="1">
        <f>AVERAGE(VLOOKUP(Table7[[#This Row],[Student_ID]],student_skills[],3,0),VLOOKUP(Table7[[#This Row],[Student_ID]],student_skills[],4,0),VLOOKUP(Table7[[#This Row],[Student_ID]],student_skills[],5,0),VLOOKUP(Table7[[#This Row],[Student_ID]],student_skills[],6,0))</f>
        <v>6.75</v>
      </c>
      <c r="E479" s="1" t="str">
        <f>IF(VLOOKUP(Table7[[#This Row],[Student_ID]],student_internships[#All],2,0)&gt;1,"EXPERIENCED",IF(VLOOKUP(Table7[[#This Row],[Student_ID]],student_internships[#All],2,0)=1,"BEGINNER","NOT EXPERIENCED"))</f>
        <v>EXPERIENCED</v>
      </c>
      <c r="F479" s="1">
        <f>VLOOKUP(Table7[[#This Row],[Student_ID]],student_data[],5,0)</f>
        <v>7.03</v>
      </c>
      <c r="G479" s="1">
        <f>VLOOKUP(Table7[[#This Row],[Student_ID]],student_data[#All],6,0)</f>
        <v>4</v>
      </c>
      <c r="H479" s="1">
        <f>VLOOKUP(Table7[[#This Row],[Student_ID]],student_internships[],2,0)</f>
        <v>3</v>
      </c>
      <c r="I479" s="1">
        <f>VLOOKUP(Table7[[#This Row],[Student_ID]],Placements!A479:E1478,5,0)</f>
        <v>4.3499999999999996</v>
      </c>
      <c r="J479" s="1" t="str">
        <f>IF(VLOOKUP(Table7[[#This Row],[Student_ID]],student_data[#All],5,0)&gt;8,"HIGH",IF(VLOOKUP(Table7[[#This Row],[Student_ID]],student_data[#All],5,0)&lt;6.5,"LOW","MEDIUM"))</f>
        <v>MEDIUM</v>
      </c>
    </row>
    <row r="480" spans="1:10" x14ac:dyDescent="0.2">
      <c r="A480" s="1" t="s">
        <v>489</v>
      </c>
      <c r="B480" s="1" t="str">
        <f>VLOOKUP(Table7[[#This Row],[Student_ID]],student_data[#All],2,0)</f>
        <v>Civil</v>
      </c>
      <c r="C480" s="1">
        <f>(VLOOKUP(Table7[[#This Row],[Student_ID]],student_data[],5,0)*5)+(VLOOKUP(Table7[[#This Row],[Student_ID]],student_data[],6,0)*3)+(VLOOKUP(Table7[[#This Row],[Student_ID]],student_skills[],6,0)*2)+(VLOOKUP(Table7[[#This Row],[Student_ID]],student_internships[],2,0)*5)</f>
        <v>48.5</v>
      </c>
      <c r="D480" s="1">
        <f>AVERAGE(VLOOKUP(Table7[[#This Row],[Student_ID]],student_skills[],3,0),VLOOKUP(Table7[[#This Row],[Student_ID]],student_skills[],4,0),VLOOKUP(Table7[[#This Row],[Student_ID]],student_skills[],5,0),VLOOKUP(Table7[[#This Row],[Student_ID]],student_skills[],6,0))</f>
        <v>4.5</v>
      </c>
      <c r="E480" s="1" t="str">
        <f>IF(VLOOKUP(Table7[[#This Row],[Student_ID]],student_internships[#All],2,0)&gt;1,"EXPERIENCED",IF(VLOOKUP(Table7[[#This Row],[Student_ID]],student_internships[#All],2,0)=1,"BEGINNER","NOT EXPERIENCED"))</f>
        <v>NOT EXPERIENCED</v>
      </c>
      <c r="F480" s="1">
        <f>VLOOKUP(Table7[[#This Row],[Student_ID]],student_data[],5,0)</f>
        <v>6.1</v>
      </c>
      <c r="G480" s="1">
        <f>VLOOKUP(Table7[[#This Row],[Student_ID]],student_data[#All],6,0)</f>
        <v>4</v>
      </c>
      <c r="H480" s="1">
        <f>VLOOKUP(Table7[[#This Row],[Student_ID]],student_internships[],2,0)</f>
        <v>0</v>
      </c>
      <c r="I480" s="1">
        <f>VLOOKUP(Table7[[#This Row],[Student_ID]],Placements!A480:E1479,5,0)</f>
        <v>11.75</v>
      </c>
      <c r="J480" s="1" t="str">
        <f>IF(VLOOKUP(Table7[[#This Row],[Student_ID]],student_data[#All],5,0)&gt;8,"HIGH",IF(VLOOKUP(Table7[[#This Row],[Student_ID]],student_data[#All],5,0)&lt;6.5,"LOW","MEDIUM"))</f>
        <v>LOW</v>
      </c>
    </row>
    <row r="481" spans="1:10" x14ac:dyDescent="0.2">
      <c r="A481" s="1" t="s">
        <v>490</v>
      </c>
      <c r="B481" s="1" t="str">
        <f>VLOOKUP(Table7[[#This Row],[Student_ID]],student_data[#All],2,0)</f>
        <v>Computer Science</v>
      </c>
      <c r="C481" s="1">
        <f>(VLOOKUP(Table7[[#This Row],[Student_ID]],student_data[],5,0)*5)+(VLOOKUP(Table7[[#This Row],[Student_ID]],student_data[],6,0)*3)+(VLOOKUP(Table7[[#This Row],[Student_ID]],student_skills[],6,0)*2)+(VLOOKUP(Table7[[#This Row],[Student_ID]],student_internships[],2,0)*5)</f>
        <v>59.050000000000004</v>
      </c>
      <c r="D481" s="1">
        <f>AVERAGE(VLOOKUP(Table7[[#This Row],[Student_ID]],student_skills[],3,0),VLOOKUP(Table7[[#This Row],[Student_ID]],student_skills[],4,0),VLOOKUP(Table7[[#This Row],[Student_ID]],student_skills[],5,0),VLOOKUP(Table7[[#This Row],[Student_ID]],student_skills[],6,0))</f>
        <v>7</v>
      </c>
      <c r="E481" s="1" t="str">
        <f>IF(VLOOKUP(Table7[[#This Row],[Student_ID]],student_internships[#All],2,0)&gt;1,"EXPERIENCED",IF(VLOOKUP(Table7[[#This Row],[Student_ID]],student_internships[#All],2,0)=1,"BEGINNER","NOT EXPERIENCED"))</f>
        <v>BEGINNER</v>
      </c>
      <c r="F481" s="1">
        <f>VLOOKUP(Table7[[#This Row],[Student_ID]],student_data[],5,0)</f>
        <v>8.81</v>
      </c>
      <c r="G481" s="1">
        <f>VLOOKUP(Table7[[#This Row],[Student_ID]],student_data[#All],6,0)</f>
        <v>0</v>
      </c>
      <c r="H481" s="1">
        <f>VLOOKUP(Table7[[#This Row],[Student_ID]],student_internships[],2,0)</f>
        <v>1</v>
      </c>
      <c r="I481" s="1">
        <f>VLOOKUP(Table7[[#This Row],[Student_ID]],Placements!A481:E1480,5,0)</f>
        <v>6.85</v>
      </c>
      <c r="J481" s="1" t="str">
        <f>IF(VLOOKUP(Table7[[#This Row],[Student_ID]],student_data[#All],5,0)&gt;8,"HIGH",IF(VLOOKUP(Table7[[#This Row],[Student_ID]],student_data[#All],5,0)&lt;6.5,"LOW","MEDIUM"))</f>
        <v>HIGH</v>
      </c>
    </row>
    <row r="482" spans="1:10" x14ac:dyDescent="0.2">
      <c r="A482" s="1" t="s">
        <v>491</v>
      </c>
      <c r="B482" s="1" t="str">
        <f>VLOOKUP(Table7[[#This Row],[Student_ID]],student_data[#All],2,0)</f>
        <v>Information Technology</v>
      </c>
      <c r="C482" s="1">
        <f>(VLOOKUP(Table7[[#This Row],[Student_ID]],student_data[],5,0)*5)+(VLOOKUP(Table7[[#This Row],[Student_ID]],student_data[],6,0)*3)+(VLOOKUP(Table7[[#This Row],[Student_ID]],student_skills[],6,0)*2)+(VLOOKUP(Table7[[#This Row],[Student_ID]],student_internships[],2,0)*5)</f>
        <v>75.55</v>
      </c>
      <c r="D482" s="1">
        <f>AVERAGE(VLOOKUP(Table7[[#This Row],[Student_ID]],student_skills[],3,0),VLOOKUP(Table7[[#This Row],[Student_ID]],student_skills[],4,0),VLOOKUP(Table7[[#This Row],[Student_ID]],student_skills[],5,0),VLOOKUP(Table7[[#This Row],[Student_ID]],student_skills[],6,0))</f>
        <v>7.25</v>
      </c>
      <c r="E482" s="1" t="str">
        <f>IF(VLOOKUP(Table7[[#This Row],[Student_ID]],student_internships[#All],2,0)&gt;1,"EXPERIENCED",IF(VLOOKUP(Table7[[#This Row],[Student_ID]],student_internships[#All],2,0)=1,"BEGINNER","NOT EXPERIENCED"))</f>
        <v>EXPERIENCED</v>
      </c>
      <c r="F482" s="1">
        <f>VLOOKUP(Table7[[#This Row],[Student_ID]],student_data[],5,0)</f>
        <v>7.71</v>
      </c>
      <c r="G482" s="1">
        <f>VLOOKUP(Table7[[#This Row],[Student_ID]],student_data[#All],6,0)</f>
        <v>2</v>
      </c>
      <c r="H482" s="1">
        <f>VLOOKUP(Table7[[#This Row],[Student_ID]],student_internships[],2,0)</f>
        <v>3</v>
      </c>
      <c r="I482" s="1">
        <f>VLOOKUP(Table7[[#This Row],[Student_ID]],Placements!A482:E1481,5,0)</f>
        <v>13.6</v>
      </c>
      <c r="J482" s="1" t="str">
        <f>IF(VLOOKUP(Table7[[#This Row],[Student_ID]],student_data[#All],5,0)&gt;8,"HIGH",IF(VLOOKUP(Table7[[#This Row],[Student_ID]],student_data[#All],5,0)&lt;6.5,"LOW","MEDIUM"))</f>
        <v>MEDIUM</v>
      </c>
    </row>
    <row r="483" spans="1:10" x14ac:dyDescent="0.2">
      <c r="A483" s="1" t="s">
        <v>492</v>
      </c>
      <c r="B483" s="1" t="str">
        <f>VLOOKUP(Table7[[#This Row],[Student_ID]],student_data[#All],2,0)</f>
        <v>Information Technology</v>
      </c>
      <c r="C483" s="1">
        <f>(VLOOKUP(Table7[[#This Row],[Student_ID]],student_data[],5,0)*5)+(VLOOKUP(Table7[[#This Row],[Student_ID]],student_data[],6,0)*3)+(VLOOKUP(Table7[[#This Row],[Student_ID]],student_skills[],6,0)*2)+(VLOOKUP(Table7[[#This Row],[Student_ID]],student_internships[],2,0)*5)</f>
        <v>52.75</v>
      </c>
      <c r="D483" s="1">
        <f>AVERAGE(VLOOKUP(Table7[[#This Row],[Student_ID]],student_skills[],3,0),VLOOKUP(Table7[[#This Row],[Student_ID]],student_skills[],4,0),VLOOKUP(Table7[[#This Row],[Student_ID]],student_skills[],5,0),VLOOKUP(Table7[[#This Row],[Student_ID]],student_skills[],6,0))</f>
        <v>7.25</v>
      </c>
      <c r="E483" s="1" t="str">
        <f>IF(VLOOKUP(Table7[[#This Row],[Student_ID]],student_internships[#All],2,0)&gt;1,"EXPERIENCED",IF(VLOOKUP(Table7[[#This Row],[Student_ID]],student_internships[#All],2,0)=1,"BEGINNER","NOT EXPERIENCED"))</f>
        <v>BEGINNER</v>
      </c>
      <c r="F483" s="1">
        <f>VLOOKUP(Table7[[#This Row],[Student_ID]],student_data[],5,0)</f>
        <v>5.75</v>
      </c>
      <c r="G483" s="1">
        <f>VLOOKUP(Table7[[#This Row],[Student_ID]],student_data[#All],6,0)</f>
        <v>1</v>
      </c>
      <c r="H483" s="1">
        <f>VLOOKUP(Table7[[#This Row],[Student_ID]],student_internships[],2,0)</f>
        <v>1</v>
      </c>
      <c r="I483" s="1">
        <f>VLOOKUP(Table7[[#This Row],[Student_ID]],Placements!A483:E1482,5,0)</f>
        <v>4.1100000000000003</v>
      </c>
      <c r="J483" s="1" t="str">
        <f>IF(VLOOKUP(Table7[[#This Row],[Student_ID]],student_data[#All],5,0)&gt;8,"HIGH",IF(VLOOKUP(Table7[[#This Row],[Student_ID]],student_data[#All],5,0)&lt;6.5,"LOW","MEDIUM"))</f>
        <v>LOW</v>
      </c>
    </row>
    <row r="484" spans="1:10" x14ac:dyDescent="0.2">
      <c r="A484" s="1" t="s">
        <v>493</v>
      </c>
      <c r="B484" s="1" t="str">
        <f>VLOOKUP(Table7[[#This Row],[Student_ID]],student_data[#All],2,0)</f>
        <v>Computer Science</v>
      </c>
      <c r="C484" s="1">
        <f>(VLOOKUP(Table7[[#This Row],[Student_ID]],student_data[],5,0)*5)+(VLOOKUP(Table7[[#This Row],[Student_ID]],student_data[],6,0)*3)+(VLOOKUP(Table7[[#This Row],[Student_ID]],student_skills[],6,0)*2)+(VLOOKUP(Table7[[#This Row],[Student_ID]],student_internships[],2,0)*5)</f>
        <v>47.5</v>
      </c>
      <c r="D484" s="1">
        <f>AVERAGE(VLOOKUP(Table7[[#This Row],[Student_ID]],student_skills[],3,0),VLOOKUP(Table7[[#This Row],[Student_ID]],student_skills[],4,0),VLOOKUP(Table7[[#This Row],[Student_ID]],student_skills[],5,0),VLOOKUP(Table7[[#This Row],[Student_ID]],student_skills[],6,0))</f>
        <v>6</v>
      </c>
      <c r="E484" s="1" t="str">
        <f>IF(VLOOKUP(Table7[[#This Row],[Student_ID]],student_internships[#All],2,0)&gt;1,"EXPERIENCED",IF(VLOOKUP(Table7[[#This Row],[Student_ID]],student_internships[#All],2,0)=1,"BEGINNER","NOT EXPERIENCED"))</f>
        <v>BEGINNER</v>
      </c>
      <c r="F484" s="1">
        <f>VLOOKUP(Table7[[#This Row],[Student_ID]],student_data[],5,0)</f>
        <v>6.9</v>
      </c>
      <c r="G484" s="1">
        <f>VLOOKUP(Table7[[#This Row],[Student_ID]],student_data[#All],6,0)</f>
        <v>0</v>
      </c>
      <c r="H484" s="1">
        <f>VLOOKUP(Table7[[#This Row],[Student_ID]],student_internships[],2,0)</f>
        <v>1</v>
      </c>
      <c r="I484" s="1">
        <f>VLOOKUP(Table7[[#This Row],[Student_ID]],Placements!A484:E1483,5,0)</f>
        <v>0</v>
      </c>
      <c r="J484" s="1" t="str">
        <f>IF(VLOOKUP(Table7[[#This Row],[Student_ID]],student_data[#All],5,0)&gt;8,"HIGH",IF(VLOOKUP(Table7[[#This Row],[Student_ID]],student_data[#All],5,0)&lt;6.5,"LOW","MEDIUM"))</f>
        <v>MEDIUM</v>
      </c>
    </row>
    <row r="485" spans="1:10" x14ac:dyDescent="0.2">
      <c r="A485" s="1" t="s">
        <v>494</v>
      </c>
      <c r="B485" s="1" t="str">
        <f>VLOOKUP(Table7[[#This Row],[Student_ID]],student_data[#All],2,0)</f>
        <v>Civil</v>
      </c>
      <c r="C485" s="1">
        <f>(VLOOKUP(Table7[[#This Row],[Student_ID]],student_data[],5,0)*5)+(VLOOKUP(Table7[[#This Row],[Student_ID]],student_data[],6,0)*3)+(VLOOKUP(Table7[[#This Row],[Student_ID]],student_skills[],6,0)*2)+(VLOOKUP(Table7[[#This Row],[Student_ID]],student_internships[],2,0)*5)</f>
        <v>51.35</v>
      </c>
      <c r="D485" s="1">
        <f>AVERAGE(VLOOKUP(Table7[[#This Row],[Student_ID]],student_skills[],3,0),VLOOKUP(Table7[[#This Row],[Student_ID]],student_skills[],4,0),VLOOKUP(Table7[[#This Row],[Student_ID]],student_skills[],5,0),VLOOKUP(Table7[[#This Row],[Student_ID]],student_skills[],6,0))</f>
        <v>5.75</v>
      </c>
      <c r="E485" s="1" t="str">
        <f>IF(VLOOKUP(Table7[[#This Row],[Student_ID]],student_internships[#All],2,0)&gt;1,"EXPERIENCED",IF(VLOOKUP(Table7[[#This Row],[Student_ID]],student_internships[#All],2,0)=1,"BEGINNER","NOT EXPERIENCED"))</f>
        <v>BEGINNER</v>
      </c>
      <c r="F485" s="1">
        <f>VLOOKUP(Table7[[#This Row],[Student_ID]],student_data[],5,0)</f>
        <v>7.07</v>
      </c>
      <c r="G485" s="1">
        <f>VLOOKUP(Table7[[#This Row],[Student_ID]],student_data[#All],6,0)</f>
        <v>3</v>
      </c>
      <c r="H485" s="1">
        <f>VLOOKUP(Table7[[#This Row],[Student_ID]],student_internships[],2,0)</f>
        <v>1</v>
      </c>
      <c r="I485" s="1">
        <f>VLOOKUP(Table7[[#This Row],[Student_ID]],Placements!A485:E1484,5,0)</f>
        <v>4.37</v>
      </c>
      <c r="J485" s="1" t="str">
        <f>IF(VLOOKUP(Table7[[#This Row],[Student_ID]],student_data[#All],5,0)&gt;8,"HIGH",IF(VLOOKUP(Table7[[#This Row],[Student_ID]],student_data[#All],5,0)&lt;6.5,"LOW","MEDIUM"))</f>
        <v>MEDIUM</v>
      </c>
    </row>
    <row r="486" spans="1:10" x14ac:dyDescent="0.2">
      <c r="A486" s="1" t="s">
        <v>495</v>
      </c>
      <c r="B486" s="1" t="str">
        <f>VLOOKUP(Table7[[#This Row],[Student_ID]],student_data[#All],2,0)</f>
        <v>Electronics</v>
      </c>
      <c r="C486" s="1">
        <f>(VLOOKUP(Table7[[#This Row],[Student_ID]],student_data[],5,0)*5)+(VLOOKUP(Table7[[#This Row],[Student_ID]],student_data[],6,0)*3)+(VLOOKUP(Table7[[#This Row],[Student_ID]],student_skills[],6,0)*2)+(VLOOKUP(Table7[[#This Row],[Student_ID]],student_internships[],2,0)*5)</f>
        <v>56.849999999999994</v>
      </c>
      <c r="D486" s="1">
        <f>AVERAGE(VLOOKUP(Table7[[#This Row],[Student_ID]],student_skills[],3,0),VLOOKUP(Table7[[#This Row],[Student_ID]],student_skills[],4,0),VLOOKUP(Table7[[#This Row],[Student_ID]],student_skills[],5,0),VLOOKUP(Table7[[#This Row],[Student_ID]],student_skills[],6,0))</f>
        <v>3.75</v>
      </c>
      <c r="E486" s="1" t="str">
        <f>IF(VLOOKUP(Table7[[#This Row],[Student_ID]],student_internships[#All],2,0)&gt;1,"EXPERIENCED",IF(VLOOKUP(Table7[[#This Row],[Student_ID]],student_internships[#All],2,0)=1,"BEGINNER","NOT EXPERIENCED"))</f>
        <v>BEGINNER</v>
      </c>
      <c r="F486" s="1">
        <f>VLOOKUP(Table7[[#This Row],[Student_ID]],student_data[],5,0)</f>
        <v>8.77</v>
      </c>
      <c r="G486" s="1">
        <f>VLOOKUP(Table7[[#This Row],[Student_ID]],student_data[#All],6,0)</f>
        <v>2</v>
      </c>
      <c r="H486" s="1">
        <f>VLOOKUP(Table7[[#This Row],[Student_ID]],student_internships[],2,0)</f>
        <v>1</v>
      </c>
      <c r="I486" s="1">
        <f>VLOOKUP(Table7[[#This Row],[Student_ID]],Placements!A486:E1485,5,0)</f>
        <v>9.25</v>
      </c>
      <c r="J486" s="1" t="str">
        <f>IF(VLOOKUP(Table7[[#This Row],[Student_ID]],student_data[#All],5,0)&gt;8,"HIGH",IF(VLOOKUP(Table7[[#This Row],[Student_ID]],student_data[#All],5,0)&lt;6.5,"LOW","MEDIUM"))</f>
        <v>HIGH</v>
      </c>
    </row>
    <row r="487" spans="1:10" x14ac:dyDescent="0.2">
      <c r="A487" s="1" t="s">
        <v>496</v>
      </c>
      <c r="B487" s="1" t="str">
        <f>VLOOKUP(Table7[[#This Row],[Student_ID]],student_data[#All],2,0)</f>
        <v>Information Technology</v>
      </c>
      <c r="C487" s="1">
        <f>(VLOOKUP(Table7[[#This Row],[Student_ID]],student_data[],5,0)*5)+(VLOOKUP(Table7[[#This Row],[Student_ID]],student_data[],6,0)*3)+(VLOOKUP(Table7[[#This Row],[Student_ID]],student_skills[],6,0)*2)+(VLOOKUP(Table7[[#This Row],[Student_ID]],student_internships[],2,0)*5)</f>
        <v>53.5</v>
      </c>
      <c r="D487" s="1">
        <f>AVERAGE(VLOOKUP(Table7[[#This Row],[Student_ID]],student_skills[],3,0),VLOOKUP(Table7[[#This Row],[Student_ID]],student_skills[],4,0),VLOOKUP(Table7[[#This Row],[Student_ID]],student_skills[],5,0),VLOOKUP(Table7[[#This Row],[Student_ID]],student_skills[],6,0))</f>
        <v>6</v>
      </c>
      <c r="E487" s="1" t="str">
        <f>IF(VLOOKUP(Table7[[#This Row],[Student_ID]],student_internships[#All],2,0)&gt;1,"EXPERIENCED",IF(VLOOKUP(Table7[[#This Row],[Student_ID]],student_internships[#All],2,0)=1,"BEGINNER","NOT EXPERIENCED"))</f>
        <v>BEGINNER</v>
      </c>
      <c r="F487" s="1">
        <f>VLOOKUP(Table7[[#This Row],[Student_ID]],student_data[],5,0)</f>
        <v>5.0999999999999996</v>
      </c>
      <c r="G487" s="1">
        <f>VLOOKUP(Table7[[#This Row],[Student_ID]],student_data[#All],6,0)</f>
        <v>5</v>
      </c>
      <c r="H487" s="1">
        <f>VLOOKUP(Table7[[#This Row],[Student_ID]],student_internships[],2,0)</f>
        <v>1</v>
      </c>
      <c r="I487" s="1">
        <f>VLOOKUP(Table7[[#This Row],[Student_ID]],Placements!A487:E1486,5,0)</f>
        <v>3.56</v>
      </c>
      <c r="J487" s="1" t="str">
        <f>IF(VLOOKUP(Table7[[#This Row],[Student_ID]],student_data[#All],5,0)&gt;8,"HIGH",IF(VLOOKUP(Table7[[#This Row],[Student_ID]],student_data[#All],5,0)&lt;6.5,"LOW","MEDIUM"))</f>
        <v>LOW</v>
      </c>
    </row>
    <row r="488" spans="1:10" x14ac:dyDescent="0.2">
      <c r="A488" s="1" t="s">
        <v>497</v>
      </c>
      <c r="B488" s="1" t="str">
        <f>VLOOKUP(Table7[[#This Row],[Student_ID]],student_data[#All],2,0)</f>
        <v>Computer Science</v>
      </c>
      <c r="C488" s="1">
        <f>(VLOOKUP(Table7[[#This Row],[Student_ID]],student_data[],5,0)*5)+(VLOOKUP(Table7[[#This Row],[Student_ID]],student_data[],6,0)*3)+(VLOOKUP(Table7[[#This Row],[Student_ID]],student_skills[],6,0)*2)+(VLOOKUP(Table7[[#This Row],[Student_ID]],student_internships[],2,0)*5)</f>
        <v>54.75</v>
      </c>
      <c r="D488" s="1">
        <f>AVERAGE(VLOOKUP(Table7[[#This Row],[Student_ID]],student_skills[],3,0),VLOOKUP(Table7[[#This Row],[Student_ID]],student_skills[],4,0),VLOOKUP(Table7[[#This Row],[Student_ID]],student_skills[],5,0),VLOOKUP(Table7[[#This Row],[Student_ID]],student_skills[],6,0))</f>
        <v>6.25</v>
      </c>
      <c r="E488" s="1" t="str">
        <f>IF(VLOOKUP(Table7[[#This Row],[Student_ID]],student_internships[#All],2,0)&gt;1,"EXPERIENCED",IF(VLOOKUP(Table7[[#This Row],[Student_ID]],student_internships[#All],2,0)=1,"BEGINNER","NOT EXPERIENCED"))</f>
        <v>BEGINNER</v>
      </c>
      <c r="F488" s="1">
        <f>VLOOKUP(Table7[[#This Row],[Student_ID]],student_data[],5,0)</f>
        <v>6.35</v>
      </c>
      <c r="G488" s="1">
        <f>VLOOKUP(Table7[[#This Row],[Student_ID]],student_data[#All],6,0)</f>
        <v>2</v>
      </c>
      <c r="H488" s="1">
        <f>VLOOKUP(Table7[[#This Row],[Student_ID]],student_internships[],2,0)</f>
        <v>1</v>
      </c>
      <c r="I488" s="1">
        <f>VLOOKUP(Table7[[#This Row],[Student_ID]],Placements!A488:E1487,5,0)</f>
        <v>5.72</v>
      </c>
      <c r="J488" s="1" t="str">
        <f>IF(VLOOKUP(Table7[[#This Row],[Student_ID]],student_data[#All],5,0)&gt;8,"HIGH",IF(VLOOKUP(Table7[[#This Row],[Student_ID]],student_data[#All],5,0)&lt;6.5,"LOW","MEDIUM"))</f>
        <v>LOW</v>
      </c>
    </row>
    <row r="489" spans="1:10" x14ac:dyDescent="0.2">
      <c r="A489" s="1" t="s">
        <v>498</v>
      </c>
      <c r="B489" s="1" t="str">
        <f>VLOOKUP(Table7[[#This Row],[Student_ID]],student_data[#All],2,0)</f>
        <v>Mechanical</v>
      </c>
      <c r="C489" s="1">
        <f>(VLOOKUP(Table7[[#This Row],[Student_ID]],student_data[],5,0)*5)+(VLOOKUP(Table7[[#This Row],[Student_ID]],student_data[],6,0)*3)+(VLOOKUP(Table7[[#This Row],[Student_ID]],student_skills[],6,0)*2)+(VLOOKUP(Table7[[#This Row],[Student_ID]],student_internships[],2,0)*5)</f>
        <v>77.95</v>
      </c>
      <c r="D489" s="1">
        <f>AVERAGE(VLOOKUP(Table7[[#This Row],[Student_ID]],student_skills[],3,0),VLOOKUP(Table7[[#This Row],[Student_ID]],student_skills[],4,0),VLOOKUP(Table7[[#This Row],[Student_ID]],student_skills[],5,0),VLOOKUP(Table7[[#This Row],[Student_ID]],student_skills[],6,0))</f>
        <v>5.75</v>
      </c>
      <c r="E489" s="1" t="str">
        <f>IF(VLOOKUP(Table7[[#This Row],[Student_ID]],student_internships[#All],2,0)&gt;1,"EXPERIENCED",IF(VLOOKUP(Table7[[#This Row],[Student_ID]],student_internships[#All],2,0)=1,"BEGINNER","NOT EXPERIENCED"))</f>
        <v>EXPERIENCED</v>
      </c>
      <c r="F489" s="1">
        <f>VLOOKUP(Table7[[#This Row],[Student_ID]],student_data[],5,0)</f>
        <v>7.59</v>
      </c>
      <c r="G489" s="1">
        <f>VLOOKUP(Table7[[#This Row],[Student_ID]],student_data[#All],6,0)</f>
        <v>3</v>
      </c>
      <c r="H489" s="1">
        <f>VLOOKUP(Table7[[#This Row],[Student_ID]],student_internships[],2,0)</f>
        <v>3</v>
      </c>
      <c r="I489" s="1">
        <f>VLOOKUP(Table7[[#This Row],[Student_ID]],Placements!A489:E1488,5,0)</f>
        <v>3.87</v>
      </c>
      <c r="J489" s="1" t="str">
        <f>IF(VLOOKUP(Table7[[#This Row],[Student_ID]],student_data[#All],5,0)&gt;8,"HIGH",IF(VLOOKUP(Table7[[#This Row],[Student_ID]],student_data[#All],5,0)&lt;6.5,"LOW","MEDIUM"))</f>
        <v>MEDIUM</v>
      </c>
    </row>
    <row r="490" spans="1:10" x14ac:dyDescent="0.2">
      <c r="A490" s="1" t="s">
        <v>499</v>
      </c>
      <c r="B490" s="1" t="str">
        <f>VLOOKUP(Table7[[#This Row],[Student_ID]],student_data[#All],2,0)</f>
        <v>Computer Science</v>
      </c>
      <c r="C490" s="1">
        <f>(VLOOKUP(Table7[[#This Row],[Student_ID]],student_data[],5,0)*5)+(VLOOKUP(Table7[[#This Row],[Student_ID]],student_data[],6,0)*3)+(VLOOKUP(Table7[[#This Row],[Student_ID]],student_skills[],6,0)*2)+(VLOOKUP(Table7[[#This Row],[Student_ID]],student_internships[],2,0)*5)</f>
        <v>52.7</v>
      </c>
      <c r="D490" s="1">
        <f>AVERAGE(VLOOKUP(Table7[[#This Row],[Student_ID]],student_skills[],3,0),VLOOKUP(Table7[[#This Row],[Student_ID]],student_skills[],4,0),VLOOKUP(Table7[[#This Row],[Student_ID]],student_skills[],5,0),VLOOKUP(Table7[[#This Row],[Student_ID]],student_skills[],6,0))</f>
        <v>2.5</v>
      </c>
      <c r="E490" s="1" t="str">
        <f>IF(VLOOKUP(Table7[[#This Row],[Student_ID]],student_internships[#All],2,0)&gt;1,"EXPERIENCED",IF(VLOOKUP(Table7[[#This Row],[Student_ID]],student_internships[#All],2,0)=1,"BEGINNER","NOT EXPERIENCED"))</f>
        <v>NOT EXPERIENCED</v>
      </c>
      <c r="F490" s="1">
        <f>VLOOKUP(Table7[[#This Row],[Student_ID]],student_data[],5,0)</f>
        <v>6.34</v>
      </c>
      <c r="G490" s="1">
        <f>VLOOKUP(Table7[[#This Row],[Student_ID]],student_data[#All],6,0)</f>
        <v>3</v>
      </c>
      <c r="H490" s="1">
        <f>VLOOKUP(Table7[[#This Row],[Student_ID]],student_internships[],2,0)</f>
        <v>0</v>
      </c>
      <c r="I490" s="1">
        <f>VLOOKUP(Table7[[#This Row],[Student_ID]],Placements!A490:E1489,5,0)</f>
        <v>6.86</v>
      </c>
      <c r="J490" s="1" t="str">
        <f>IF(VLOOKUP(Table7[[#This Row],[Student_ID]],student_data[#All],5,0)&gt;8,"HIGH",IF(VLOOKUP(Table7[[#This Row],[Student_ID]],student_data[#All],5,0)&lt;6.5,"LOW","MEDIUM"))</f>
        <v>LOW</v>
      </c>
    </row>
    <row r="491" spans="1:10" x14ac:dyDescent="0.2">
      <c r="A491" s="1" t="s">
        <v>500</v>
      </c>
      <c r="B491" s="1" t="str">
        <f>VLOOKUP(Table7[[#This Row],[Student_ID]],student_data[#All],2,0)</f>
        <v>Mechanical</v>
      </c>
      <c r="C491" s="1">
        <f>(VLOOKUP(Table7[[#This Row],[Student_ID]],student_data[],5,0)*5)+(VLOOKUP(Table7[[#This Row],[Student_ID]],student_data[],6,0)*3)+(VLOOKUP(Table7[[#This Row],[Student_ID]],student_skills[],6,0)*2)+(VLOOKUP(Table7[[#This Row],[Student_ID]],student_internships[],2,0)*5)</f>
        <v>67.7</v>
      </c>
      <c r="D491" s="1">
        <f>AVERAGE(VLOOKUP(Table7[[#This Row],[Student_ID]],student_skills[],3,0),VLOOKUP(Table7[[#This Row],[Student_ID]],student_skills[],4,0),VLOOKUP(Table7[[#This Row],[Student_ID]],student_skills[],5,0),VLOOKUP(Table7[[#This Row],[Student_ID]],student_skills[],6,0))</f>
        <v>6</v>
      </c>
      <c r="E491" s="1" t="str">
        <f>IF(VLOOKUP(Table7[[#This Row],[Student_ID]],student_internships[#All],2,0)&gt;1,"EXPERIENCED",IF(VLOOKUP(Table7[[#This Row],[Student_ID]],student_internships[#All],2,0)=1,"BEGINNER","NOT EXPERIENCED"))</f>
        <v>NOT EXPERIENCED</v>
      </c>
      <c r="F491" s="1">
        <f>VLOOKUP(Table7[[#This Row],[Student_ID]],student_data[],5,0)</f>
        <v>8.14</v>
      </c>
      <c r="G491" s="1">
        <f>VLOOKUP(Table7[[#This Row],[Student_ID]],student_data[#All],6,0)</f>
        <v>3</v>
      </c>
      <c r="H491" s="1">
        <f>VLOOKUP(Table7[[#This Row],[Student_ID]],student_internships[],2,0)</f>
        <v>0</v>
      </c>
      <c r="I491" s="1">
        <f>VLOOKUP(Table7[[#This Row],[Student_ID]],Placements!A491:E1490,5,0)</f>
        <v>4.1900000000000004</v>
      </c>
      <c r="J491" s="1" t="str">
        <f>IF(VLOOKUP(Table7[[#This Row],[Student_ID]],student_data[#All],5,0)&gt;8,"HIGH",IF(VLOOKUP(Table7[[#This Row],[Student_ID]],student_data[#All],5,0)&lt;6.5,"LOW","MEDIUM"))</f>
        <v>HIGH</v>
      </c>
    </row>
    <row r="492" spans="1:10" x14ac:dyDescent="0.2">
      <c r="A492" s="1" t="s">
        <v>501</v>
      </c>
      <c r="B492" s="1" t="str">
        <f>VLOOKUP(Table7[[#This Row],[Student_ID]],student_data[#All],2,0)</f>
        <v>Civil</v>
      </c>
      <c r="C492" s="1">
        <f>(VLOOKUP(Table7[[#This Row],[Student_ID]],student_data[],5,0)*5)+(VLOOKUP(Table7[[#This Row],[Student_ID]],student_data[],6,0)*3)+(VLOOKUP(Table7[[#This Row],[Student_ID]],student_skills[],6,0)*2)+(VLOOKUP(Table7[[#This Row],[Student_ID]],student_internships[],2,0)*5)</f>
        <v>73.05</v>
      </c>
      <c r="D492" s="1">
        <f>AVERAGE(VLOOKUP(Table7[[#This Row],[Student_ID]],student_skills[],3,0),VLOOKUP(Table7[[#This Row],[Student_ID]],student_skills[],4,0),VLOOKUP(Table7[[#This Row],[Student_ID]],student_skills[],5,0),VLOOKUP(Table7[[#This Row],[Student_ID]],student_skills[],6,0))</f>
        <v>3.75</v>
      </c>
      <c r="E492" s="1" t="str">
        <f>IF(VLOOKUP(Table7[[#This Row],[Student_ID]],student_internships[#All],2,0)&gt;1,"EXPERIENCED",IF(VLOOKUP(Table7[[#This Row],[Student_ID]],student_internships[#All],2,0)=1,"BEGINNER","NOT EXPERIENCED"))</f>
        <v>EXPERIENCED</v>
      </c>
      <c r="F492" s="1">
        <f>VLOOKUP(Table7[[#This Row],[Student_ID]],student_data[],5,0)</f>
        <v>7.41</v>
      </c>
      <c r="G492" s="1">
        <f>VLOOKUP(Table7[[#This Row],[Student_ID]],student_data[#All],6,0)</f>
        <v>1</v>
      </c>
      <c r="H492" s="1">
        <f>VLOOKUP(Table7[[#This Row],[Student_ID]],student_internships[],2,0)</f>
        <v>3</v>
      </c>
      <c r="I492" s="1">
        <f>VLOOKUP(Table7[[#This Row],[Student_ID]],Placements!A492:E1491,5,0)</f>
        <v>4.42</v>
      </c>
      <c r="J492" s="1" t="str">
        <f>IF(VLOOKUP(Table7[[#This Row],[Student_ID]],student_data[#All],5,0)&gt;8,"HIGH",IF(VLOOKUP(Table7[[#This Row],[Student_ID]],student_data[#All],5,0)&lt;6.5,"LOW","MEDIUM"))</f>
        <v>MEDIUM</v>
      </c>
    </row>
    <row r="493" spans="1:10" x14ac:dyDescent="0.2">
      <c r="A493" s="1" t="s">
        <v>502</v>
      </c>
      <c r="B493" s="1" t="str">
        <f>VLOOKUP(Table7[[#This Row],[Student_ID]],student_data[#All],2,0)</f>
        <v>Electronics</v>
      </c>
      <c r="C493" s="1">
        <f>(VLOOKUP(Table7[[#This Row],[Student_ID]],student_data[],5,0)*5)+(VLOOKUP(Table7[[#This Row],[Student_ID]],student_data[],6,0)*3)+(VLOOKUP(Table7[[#This Row],[Student_ID]],student_skills[],6,0)*2)+(VLOOKUP(Table7[[#This Row],[Student_ID]],student_internships[],2,0)*5)</f>
        <v>60.05</v>
      </c>
      <c r="D493" s="1">
        <f>AVERAGE(VLOOKUP(Table7[[#This Row],[Student_ID]],student_skills[],3,0),VLOOKUP(Table7[[#This Row],[Student_ID]],student_skills[],4,0),VLOOKUP(Table7[[#This Row],[Student_ID]],student_skills[],5,0),VLOOKUP(Table7[[#This Row],[Student_ID]],student_skills[],6,0))</f>
        <v>4.5</v>
      </c>
      <c r="E493" s="1" t="str">
        <f>IF(VLOOKUP(Table7[[#This Row],[Student_ID]],student_internships[#All],2,0)&gt;1,"EXPERIENCED",IF(VLOOKUP(Table7[[#This Row],[Student_ID]],student_internships[#All],2,0)=1,"BEGINNER","NOT EXPERIENCED"))</f>
        <v>EXPERIENCED</v>
      </c>
      <c r="F493" s="1">
        <f>VLOOKUP(Table7[[#This Row],[Student_ID]],student_data[],5,0)</f>
        <v>6.81</v>
      </c>
      <c r="G493" s="1">
        <f>VLOOKUP(Table7[[#This Row],[Student_ID]],student_data[#All],6,0)</f>
        <v>4</v>
      </c>
      <c r="H493" s="1">
        <f>VLOOKUP(Table7[[#This Row],[Student_ID]],student_internships[],2,0)</f>
        <v>2</v>
      </c>
      <c r="I493" s="1">
        <f>VLOOKUP(Table7[[#This Row],[Student_ID]],Placements!A493:E1492,5,0)</f>
        <v>0</v>
      </c>
      <c r="J493" s="1" t="str">
        <f>IF(VLOOKUP(Table7[[#This Row],[Student_ID]],student_data[#All],5,0)&gt;8,"HIGH",IF(VLOOKUP(Table7[[#This Row],[Student_ID]],student_data[#All],5,0)&lt;6.5,"LOW","MEDIUM"))</f>
        <v>MEDIUM</v>
      </c>
    </row>
    <row r="494" spans="1:10" x14ac:dyDescent="0.2">
      <c r="A494" s="1" t="s">
        <v>503</v>
      </c>
      <c r="B494" s="1" t="str">
        <f>VLOOKUP(Table7[[#This Row],[Student_ID]],student_data[#All],2,0)</f>
        <v>Computer Science</v>
      </c>
      <c r="C494" s="1">
        <f>(VLOOKUP(Table7[[#This Row],[Student_ID]],student_data[],5,0)*5)+(VLOOKUP(Table7[[#This Row],[Student_ID]],student_data[],6,0)*3)+(VLOOKUP(Table7[[#This Row],[Student_ID]],student_skills[],6,0)*2)+(VLOOKUP(Table7[[#This Row],[Student_ID]],student_internships[],2,0)*5)</f>
        <v>79.75</v>
      </c>
      <c r="D494" s="1">
        <f>AVERAGE(VLOOKUP(Table7[[#This Row],[Student_ID]],student_skills[],3,0),VLOOKUP(Table7[[#This Row],[Student_ID]],student_skills[],4,0),VLOOKUP(Table7[[#This Row],[Student_ID]],student_skills[],5,0),VLOOKUP(Table7[[#This Row],[Student_ID]],student_skills[],6,0))</f>
        <v>4.75</v>
      </c>
      <c r="E494" s="1" t="str">
        <f>IF(VLOOKUP(Table7[[#This Row],[Student_ID]],student_internships[#All],2,0)&gt;1,"EXPERIENCED",IF(VLOOKUP(Table7[[#This Row],[Student_ID]],student_internships[#All],2,0)=1,"BEGINNER","NOT EXPERIENCED"))</f>
        <v>BEGINNER</v>
      </c>
      <c r="F494" s="1">
        <f>VLOOKUP(Table7[[#This Row],[Student_ID]],student_data[],5,0)</f>
        <v>9.75</v>
      </c>
      <c r="G494" s="1">
        <f>VLOOKUP(Table7[[#This Row],[Student_ID]],student_data[#All],6,0)</f>
        <v>2</v>
      </c>
      <c r="H494" s="1">
        <f>VLOOKUP(Table7[[#This Row],[Student_ID]],student_internships[],2,0)</f>
        <v>1</v>
      </c>
      <c r="I494" s="1">
        <f>VLOOKUP(Table7[[#This Row],[Student_ID]],Placements!A494:E1493,5,0)</f>
        <v>5.4</v>
      </c>
      <c r="J494" s="1" t="str">
        <f>IF(VLOOKUP(Table7[[#This Row],[Student_ID]],student_data[#All],5,0)&gt;8,"HIGH",IF(VLOOKUP(Table7[[#This Row],[Student_ID]],student_data[#All],5,0)&lt;6.5,"LOW","MEDIUM"))</f>
        <v>HIGH</v>
      </c>
    </row>
    <row r="495" spans="1:10" x14ac:dyDescent="0.2">
      <c r="A495" s="1" t="s">
        <v>504</v>
      </c>
      <c r="B495" s="1" t="str">
        <f>VLOOKUP(Table7[[#This Row],[Student_ID]],student_data[#All],2,0)</f>
        <v>Information Technology</v>
      </c>
      <c r="C495" s="1">
        <f>(VLOOKUP(Table7[[#This Row],[Student_ID]],student_data[],5,0)*5)+(VLOOKUP(Table7[[#This Row],[Student_ID]],student_data[],6,0)*3)+(VLOOKUP(Table7[[#This Row],[Student_ID]],student_skills[],6,0)*2)+(VLOOKUP(Table7[[#This Row],[Student_ID]],student_internships[],2,0)*5)</f>
        <v>59.8</v>
      </c>
      <c r="D495" s="1">
        <f>AVERAGE(VLOOKUP(Table7[[#This Row],[Student_ID]],student_skills[],3,0),VLOOKUP(Table7[[#This Row],[Student_ID]],student_skills[],4,0),VLOOKUP(Table7[[#This Row],[Student_ID]],student_skills[],5,0),VLOOKUP(Table7[[#This Row],[Student_ID]],student_skills[],6,0))</f>
        <v>4.25</v>
      </c>
      <c r="E495" s="1" t="str">
        <f>IF(VLOOKUP(Table7[[#This Row],[Student_ID]],student_internships[#All],2,0)&gt;1,"EXPERIENCED",IF(VLOOKUP(Table7[[#This Row],[Student_ID]],student_internships[#All],2,0)=1,"BEGINNER","NOT EXPERIENCED"))</f>
        <v>BEGINNER</v>
      </c>
      <c r="F495" s="1">
        <f>VLOOKUP(Table7[[#This Row],[Student_ID]],student_data[],5,0)</f>
        <v>8.16</v>
      </c>
      <c r="G495" s="1">
        <f>VLOOKUP(Table7[[#This Row],[Student_ID]],student_data[#All],6,0)</f>
        <v>4</v>
      </c>
      <c r="H495" s="1">
        <f>VLOOKUP(Table7[[#This Row],[Student_ID]],student_internships[],2,0)</f>
        <v>1</v>
      </c>
      <c r="I495" s="1">
        <f>VLOOKUP(Table7[[#This Row],[Student_ID]],Placements!A495:E1494,5,0)</f>
        <v>4.1100000000000003</v>
      </c>
      <c r="J495" s="1" t="str">
        <f>IF(VLOOKUP(Table7[[#This Row],[Student_ID]],student_data[#All],5,0)&gt;8,"HIGH",IF(VLOOKUP(Table7[[#This Row],[Student_ID]],student_data[#All],5,0)&lt;6.5,"LOW","MEDIUM"))</f>
        <v>HIGH</v>
      </c>
    </row>
    <row r="496" spans="1:10" x14ac:dyDescent="0.2">
      <c r="A496" s="1" t="s">
        <v>505</v>
      </c>
      <c r="B496" s="1" t="str">
        <f>VLOOKUP(Table7[[#This Row],[Student_ID]],student_data[#All],2,0)</f>
        <v>Civil</v>
      </c>
      <c r="C496" s="1">
        <f>(VLOOKUP(Table7[[#This Row],[Student_ID]],student_data[],5,0)*5)+(VLOOKUP(Table7[[#This Row],[Student_ID]],student_data[],6,0)*3)+(VLOOKUP(Table7[[#This Row],[Student_ID]],student_skills[],6,0)*2)+(VLOOKUP(Table7[[#This Row],[Student_ID]],student_internships[],2,0)*5)</f>
        <v>44.25</v>
      </c>
      <c r="D496" s="1">
        <f>AVERAGE(VLOOKUP(Table7[[#This Row],[Student_ID]],student_skills[],3,0),VLOOKUP(Table7[[#This Row],[Student_ID]],student_skills[],4,0),VLOOKUP(Table7[[#This Row],[Student_ID]],student_skills[],5,0),VLOOKUP(Table7[[#This Row],[Student_ID]],student_skills[],6,0))</f>
        <v>4</v>
      </c>
      <c r="E496" s="1" t="str">
        <f>IF(VLOOKUP(Table7[[#This Row],[Student_ID]],student_internships[#All],2,0)&gt;1,"EXPERIENCED",IF(VLOOKUP(Table7[[#This Row],[Student_ID]],student_internships[#All],2,0)=1,"BEGINNER","NOT EXPERIENCED"))</f>
        <v>NOT EXPERIENCED</v>
      </c>
      <c r="F496" s="1">
        <f>VLOOKUP(Table7[[#This Row],[Student_ID]],student_data[],5,0)</f>
        <v>5.65</v>
      </c>
      <c r="G496" s="1">
        <f>VLOOKUP(Table7[[#This Row],[Student_ID]],student_data[#All],6,0)</f>
        <v>4</v>
      </c>
      <c r="H496" s="1">
        <f>VLOOKUP(Table7[[#This Row],[Student_ID]],student_internships[],2,0)</f>
        <v>0</v>
      </c>
      <c r="I496" s="1">
        <f>VLOOKUP(Table7[[#This Row],[Student_ID]],Placements!A496:E1495,5,0)</f>
        <v>4.67</v>
      </c>
      <c r="J496" s="1" t="str">
        <f>IF(VLOOKUP(Table7[[#This Row],[Student_ID]],student_data[#All],5,0)&gt;8,"HIGH",IF(VLOOKUP(Table7[[#This Row],[Student_ID]],student_data[#All],5,0)&lt;6.5,"LOW","MEDIUM"))</f>
        <v>LOW</v>
      </c>
    </row>
    <row r="497" spans="1:10" x14ac:dyDescent="0.2">
      <c r="A497" s="1" t="s">
        <v>506</v>
      </c>
      <c r="B497" s="1" t="str">
        <f>VLOOKUP(Table7[[#This Row],[Student_ID]],student_data[#All],2,0)</f>
        <v>Computer Science</v>
      </c>
      <c r="C497" s="1">
        <f>(VLOOKUP(Table7[[#This Row],[Student_ID]],student_data[],5,0)*5)+(VLOOKUP(Table7[[#This Row],[Student_ID]],student_data[],6,0)*3)+(VLOOKUP(Table7[[#This Row],[Student_ID]],student_skills[],6,0)*2)+(VLOOKUP(Table7[[#This Row],[Student_ID]],student_internships[],2,0)*5)</f>
        <v>64</v>
      </c>
      <c r="D497" s="1">
        <f>AVERAGE(VLOOKUP(Table7[[#This Row],[Student_ID]],student_skills[],3,0),VLOOKUP(Table7[[#This Row],[Student_ID]],student_skills[],4,0),VLOOKUP(Table7[[#This Row],[Student_ID]],student_skills[],5,0),VLOOKUP(Table7[[#This Row],[Student_ID]],student_skills[],6,0))</f>
        <v>5.75</v>
      </c>
      <c r="E497" s="1" t="str">
        <f>IF(VLOOKUP(Table7[[#This Row],[Student_ID]],student_internships[#All],2,0)&gt;1,"EXPERIENCED",IF(VLOOKUP(Table7[[#This Row],[Student_ID]],student_internships[#All],2,0)=1,"BEGINNER","NOT EXPERIENCED"))</f>
        <v>NOT EXPERIENCED</v>
      </c>
      <c r="F497" s="1">
        <f>VLOOKUP(Table7[[#This Row],[Student_ID]],student_data[],5,0)</f>
        <v>7.8</v>
      </c>
      <c r="G497" s="1">
        <f>VLOOKUP(Table7[[#This Row],[Student_ID]],student_data[#All],6,0)</f>
        <v>5</v>
      </c>
      <c r="H497" s="1">
        <f>VLOOKUP(Table7[[#This Row],[Student_ID]],student_internships[],2,0)</f>
        <v>0</v>
      </c>
      <c r="I497" s="1">
        <f>VLOOKUP(Table7[[#This Row],[Student_ID]],Placements!A497:E1496,5,0)</f>
        <v>3.89</v>
      </c>
      <c r="J497" s="1" t="str">
        <f>IF(VLOOKUP(Table7[[#This Row],[Student_ID]],student_data[#All],5,0)&gt;8,"HIGH",IF(VLOOKUP(Table7[[#This Row],[Student_ID]],student_data[#All],5,0)&lt;6.5,"LOW","MEDIUM"))</f>
        <v>MEDIUM</v>
      </c>
    </row>
    <row r="498" spans="1:10" x14ac:dyDescent="0.2">
      <c r="A498" s="1" t="s">
        <v>507</v>
      </c>
      <c r="B498" s="1" t="str">
        <f>VLOOKUP(Table7[[#This Row],[Student_ID]],student_data[#All],2,0)</f>
        <v>Information Technology</v>
      </c>
      <c r="C498" s="1">
        <f>(VLOOKUP(Table7[[#This Row],[Student_ID]],student_data[],5,0)*5)+(VLOOKUP(Table7[[#This Row],[Student_ID]],student_data[],6,0)*3)+(VLOOKUP(Table7[[#This Row],[Student_ID]],student_skills[],6,0)*2)+(VLOOKUP(Table7[[#This Row],[Student_ID]],student_internships[],2,0)*5)</f>
        <v>66.5</v>
      </c>
      <c r="D498" s="1">
        <f>AVERAGE(VLOOKUP(Table7[[#This Row],[Student_ID]],student_skills[],3,0),VLOOKUP(Table7[[#This Row],[Student_ID]],student_skills[],4,0),VLOOKUP(Table7[[#This Row],[Student_ID]],student_skills[],5,0),VLOOKUP(Table7[[#This Row],[Student_ID]],student_skills[],6,0))</f>
        <v>3.75</v>
      </c>
      <c r="E498" s="1" t="str">
        <f>IF(VLOOKUP(Table7[[#This Row],[Student_ID]],student_internships[#All],2,0)&gt;1,"EXPERIENCED",IF(VLOOKUP(Table7[[#This Row],[Student_ID]],student_internships[#All],2,0)=1,"BEGINNER","NOT EXPERIENCED"))</f>
        <v>BEGINNER</v>
      </c>
      <c r="F498" s="1">
        <f>VLOOKUP(Table7[[#This Row],[Student_ID]],student_data[],5,0)</f>
        <v>8.9</v>
      </c>
      <c r="G498" s="1">
        <f>VLOOKUP(Table7[[#This Row],[Student_ID]],student_data[#All],6,0)</f>
        <v>3</v>
      </c>
      <c r="H498" s="1">
        <f>VLOOKUP(Table7[[#This Row],[Student_ID]],student_internships[],2,0)</f>
        <v>1</v>
      </c>
      <c r="I498" s="1">
        <f>VLOOKUP(Table7[[#This Row],[Student_ID]],Placements!A498:E1497,5,0)</f>
        <v>5.33</v>
      </c>
      <c r="J498" s="1" t="str">
        <f>IF(VLOOKUP(Table7[[#This Row],[Student_ID]],student_data[#All],5,0)&gt;8,"HIGH",IF(VLOOKUP(Table7[[#This Row],[Student_ID]],student_data[#All],5,0)&lt;6.5,"LOW","MEDIUM"))</f>
        <v>HIGH</v>
      </c>
    </row>
    <row r="499" spans="1:10" x14ac:dyDescent="0.2">
      <c r="A499" s="1" t="s">
        <v>508</v>
      </c>
      <c r="B499" s="1" t="str">
        <f>VLOOKUP(Table7[[#This Row],[Student_ID]],student_data[#All],2,0)</f>
        <v>Computer Science</v>
      </c>
      <c r="C499" s="1">
        <f>(VLOOKUP(Table7[[#This Row],[Student_ID]],student_data[],5,0)*5)+(VLOOKUP(Table7[[#This Row],[Student_ID]],student_data[],6,0)*3)+(VLOOKUP(Table7[[#This Row],[Student_ID]],student_skills[],6,0)*2)+(VLOOKUP(Table7[[#This Row],[Student_ID]],student_internships[],2,0)*5)</f>
        <v>58.699999999999996</v>
      </c>
      <c r="D499" s="1">
        <f>AVERAGE(VLOOKUP(Table7[[#This Row],[Student_ID]],student_skills[],3,0),VLOOKUP(Table7[[#This Row],[Student_ID]],student_skills[],4,0),VLOOKUP(Table7[[#This Row],[Student_ID]],student_skills[],5,0),VLOOKUP(Table7[[#This Row],[Student_ID]],student_skills[],6,0))</f>
        <v>5.5</v>
      </c>
      <c r="E499" s="1" t="str">
        <f>IF(VLOOKUP(Table7[[#This Row],[Student_ID]],student_internships[#All],2,0)&gt;1,"EXPERIENCED",IF(VLOOKUP(Table7[[#This Row],[Student_ID]],student_internships[#All],2,0)=1,"BEGINNER","NOT EXPERIENCED"))</f>
        <v>BEGINNER</v>
      </c>
      <c r="F499" s="1">
        <f>VLOOKUP(Table7[[#This Row],[Student_ID]],student_data[],5,0)</f>
        <v>8.5399999999999991</v>
      </c>
      <c r="G499" s="1">
        <f>VLOOKUP(Table7[[#This Row],[Student_ID]],student_data[#All],6,0)</f>
        <v>1</v>
      </c>
      <c r="H499" s="1">
        <f>VLOOKUP(Table7[[#This Row],[Student_ID]],student_internships[],2,0)</f>
        <v>1</v>
      </c>
      <c r="I499" s="1">
        <f>VLOOKUP(Table7[[#This Row],[Student_ID]],Placements!A499:E1498,5,0)</f>
        <v>4.68</v>
      </c>
      <c r="J499" s="1" t="str">
        <f>IF(VLOOKUP(Table7[[#This Row],[Student_ID]],student_data[#All],5,0)&gt;8,"HIGH",IF(VLOOKUP(Table7[[#This Row],[Student_ID]],student_data[#All],5,0)&lt;6.5,"LOW","MEDIUM"))</f>
        <v>HIGH</v>
      </c>
    </row>
    <row r="500" spans="1:10" x14ac:dyDescent="0.2">
      <c r="A500" s="1" t="s">
        <v>509</v>
      </c>
      <c r="B500" s="1" t="str">
        <f>VLOOKUP(Table7[[#This Row],[Student_ID]],student_data[#All],2,0)</f>
        <v>Mechanical</v>
      </c>
      <c r="C500" s="1">
        <f>(VLOOKUP(Table7[[#This Row],[Student_ID]],student_data[],5,0)*5)+(VLOOKUP(Table7[[#This Row],[Student_ID]],student_data[],6,0)*3)+(VLOOKUP(Table7[[#This Row],[Student_ID]],student_skills[],6,0)*2)+(VLOOKUP(Table7[[#This Row],[Student_ID]],student_internships[],2,0)*5)</f>
        <v>67.3</v>
      </c>
      <c r="D500" s="1">
        <f>AVERAGE(VLOOKUP(Table7[[#This Row],[Student_ID]],student_skills[],3,0),VLOOKUP(Table7[[#This Row],[Student_ID]],student_skills[],4,0),VLOOKUP(Table7[[#This Row],[Student_ID]],student_skills[],5,0),VLOOKUP(Table7[[#This Row],[Student_ID]],student_skills[],6,0))</f>
        <v>7.25</v>
      </c>
      <c r="E500" s="1" t="str">
        <f>IF(VLOOKUP(Table7[[#This Row],[Student_ID]],student_internships[#All],2,0)&gt;1,"EXPERIENCED",IF(VLOOKUP(Table7[[#This Row],[Student_ID]],student_internships[#All],2,0)=1,"BEGINNER","NOT EXPERIENCED"))</f>
        <v>BEGINNER</v>
      </c>
      <c r="F500" s="1">
        <f>VLOOKUP(Table7[[#This Row],[Student_ID]],student_data[],5,0)</f>
        <v>5.86</v>
      </c>
      <c r="G500" s="1">
        <f>VLOOKUP(Table7[[#This Row],[Student_ID]],student_data[#All],6,0)</f>
        <v>5</v>
      </c>
      <c r="H500" s="1">
        <f>VLOOKUP(Table7[[#This Row],[Student_ID]],student_internships[],2,0)</f>
        <v>1</v>
      </c>
      <c r="I500" s="1">
        <f>VLOOKUP(Table7[[#This Row],[Student_ID]],Placements!A500:E1499,5,0)</f>
        <v>5.49</v>
      </c>
      <c r="J500" s="1" t="str">
        <f>IF(VLOOKUP(Table7[[#This Row],[Student_ID]],student_data[#All],5,0)&gt;8,"HIGH",IF(VLOOKUP(Table7[[#This Row],[Student_ID]],student_data[#All],5,0)&lt;6.5,"LOW","MEDIUM"))</f>
        <v>LOW</v>
      </c>
    </row>
    <row r="501" spans="1:10" x14ac:dyDescent="0.2">
      <c r="A501" s="1" t="s">
        <v>510</v>
      </c>
      <c r="B501" s="1" t="str">
        <f>VLOOKUP(Table7[[#This Row],[Student_ID]],student_data[#All],2,0)</f>
        <v>Computer Science</v>
      </c>
      <c r="C501" s="1">
        <f>(VLOOKUP(Table7[[#This Row],[Student_ID]],student_data[],5,0)*5)+(VLOOKUP(Table7[[#This Row],[Student_ID]],student_data[],6,0)*3)+(VLOOKUP(Table7[[#This Row],[Student_ID]],student_skills[],6,0)*2)+(VLOOKUP(Table7[[#This Row],[Student_ID]],student_internships[],2,0)*5)</f>
        <v>65.3</v>
      </c>
      <c r="D501" s="1">
        <f>AVERAGE(VLOOKUP(Table7[[#This Row],[Student_ID]],student_skills[],3,0),VLOOKUP(Table7[[#This Row],[Student_ID]],student_skills[],4,0),VLOOKUP(Table7[[#This Row],[Student_ID]],student_skills[],5,0),VLOOKUP(Table7[[#This Row],[Student_ID]],student_skills[],6,0))</f>
        <v>8.5</v>
      </c>
      <c r="E501" s="1" t="str">
        <f>IF(VLOOKUP(Table7[[#This Row],[Student_ID]],student_internships[#All],2,0)&gt;1,"EXPERIENCED",IF(VLOOKUP(Table7[[#This Row],[Student_ID]],student_internships[#All],2,0)=1,"BEGINNER","NOT EXPERIENCED"))</f>
        <v>NOT EXPERIENCED</v>
      </c>
      <c r="F501" s="1">
        <f>VLOOKUP(Table7[[#This Row],[Student_ID]],student_data[],5,0)</f>
        <v>9.86</v>
      </c>
      <c r="G501" s="1">
        <f>VLOOKUP(Table7[[#This Row],[Student_ID]],student_data[#All],6,0)</f>
        <v>0</v>
      </c>
      <c r="H501" s="1">
        <f>VLOOKUP(Table7[[#This Row],[Student_ID]],student_internships[],2,0)</f>
        <v>0</v>
      </c>
      <c r="I501" s="1">
        <f>VLOOKUP(Table7[[#This Row],[Student_ID]],Placements!A501:E1500,5,0)</f>
        <v>4.4000000000000004</v>
      </c>
      <c r="J501" s="1" t="str">
        <f>IF(VLOOKUP(Table7[[#This Row],[Student_ID]],student_data[#All],5,0)&gt;8,"HIGH",IF(VLOOKUP(Table7[[#This Row],[Student_ID]],student_data[#All],5,0)&lt;6.5,"LOW","MEDIUM"))</f>
        <v>HIGH</v>
      </c>
    </row>
    <row r="502" spans="1:10" x14ac:dyDescent="0.2">
      <c r="A502" s="1" t="s">
        <v>511</v>
      </c>
      <c r="B502" s="1" t="str">
        <f>VLOOKUP(Table7[[#This Row],[Student_ID]],student_data[#All],2,0)</f>
        <v>Computer Science</v>
      </c>
      <c r="C502" s="1">
        <f>(VLOOKUP(Table7[[#This Row],[Student_ID]],student_data[],5,0)*5)+(VLOOKUP(Table7[[#This Row],[Student_ID]],student_data[],6,0)*3)+(VLOOKUP(Table7[[#This Row],[Student_ID]],student_skills[],6,0)*2)+(VLOOKUP(Table7[[#This Row],[Student_ID]],student_internships[],2,0)*5)</f>
        <v>66.2</v>
      </c>
      <c r="D502" s="1">
        <f>AVERAGE(VLOOKUP(Table7[[#This Row],[Student_ID]],student_skills[],3,0),VLOOKUP(Table7[[#This Row],[Student_ID]],student_skills[],4,0),VLOOKUP(Table7[[#This Row],[Student_ID]],student_skills[],5,0),VLOOKUP(Table7[[#This Row],[Student_ID]],student_skills[],6,0))</f>
        <v>5</v>
      </c>
      <c r="E502" s="1" t="str">
        <f>IF(VLOOKUP(Table7[[#This Row],[Student_ID]],student_internships[#All],2,0)&gt;1,"EXPERIENCED",IF(VLOOKUP(Table7[[#This Row],[Student_ID]],student_internships[#All],2,0)=1,"BEGINNER","NOT EXPERIENCED"))</f>
        <v>EXPERIENCED</v>
      </c>
      <c r="F502" s="1">
        <f>VLOOKUP(Table7[[#This Row],[Student_ID]],student_data[],5,0)</f>
        <v>7.24</v>
      </c>
      <c r="G502" s="1">
        <f>VLOOKUP(Table7[[#This Row],[Student_ID]],student_data[#All],6,0)</f>
        <v>1</v>
      </c>
      <c r="H502" s="1">
        <f>VLOOKUP(Table7[[#This Row],[Student_ID]],student_internships[],2,0)</f>
        <v>3</v>
      </c>
      <c r="I502" s="1">
        <f>VLOOKUP(Table7[[#This Row],[Student_ID]],Placements!A502:E1501,5,0)</f>
        <v>4.12</v>
      </c>
      <c r="J502" s="1" t="str">
        <f>IF(VLOOKUP(Table7[[#This Row],[Student_ID]],student_data[#All],5,0)&gt;8,"HIGH",IF(VLOOKUP(Table7[[#This Row],[Student_ID]],student_data[#All],5,0)&lt;6.5,"LOW","MEDIUM"))</f>
        <v>MEDIUM</v>
      </c>
    </row>
    <row r="503" spans="1:10" x14ac:dyDescent="0.2">
      <c r="A503" s="1" t="s">
        <v>512</v>
      </c>
      <c r="B503" s="1" t="str">
        <f>VLOOKUP(Table7[[#This Row],[Student_ID]],student_data[#All],2,0)</f>
        <v>Computer Science</v>
      </c>
      <c r="C503" s="1">
        <f>(VLOOKUP(Table7[[#This Row],[Student_ID]],student_data[],5,0)*5)+(VLOOKUP(Table7[[#This Row],[Student_ID]],student_data[],6,0)*3)+(VLOOKUP(Table7[[#This Row],[Student_ID]],student_skills[],6,0)*2)+(VLOOKUP(Table7[[#This Row],[Student_ID]],student_internships[],2,0)*5)</f>
        <v>58</v>
      </c>
      <c r="D503" s="1">
        <f>AVERAGE(VLOOKUP(Table7[[#This Row],[Student_ID]],student_skills[],3,0),VLOOKUP(Table7[[#This Row],[Student_ID]],student_skills[],4,0),VLOOKUP(Table7[[#This Row],[Student_ID]],student_skills[],5,0),VLOOKUP(Table7[[#This Row],[Student_ID]],student_skills[],6,0))</f>
        <v>3.5</v>
      </c>
      <c r="E503" s="1" t="str">
        <f>IF(VLOOKUP(Table7[[#This Row],[Student_ID]],student_internships[#All],2,0)&gt;1,"EXPERIENCED",IF(VLOOKUP(Table7[[#This Row],[Student_ID]],student_internships[#All],2,0)=1,"BEGINNER","NOT EXPERIENCED"))</f>
        <v>EXPERIENCED</v>
      </c>
      <c r="F503" s="1">
        <f>VLOOKUP(Table7[[#This Row],[Student_ID]],student_data[],5,0)</f>
        <v>5.8</v>
      </c>
      <c r="G503" s="1">
        <f>VLOOKUP(Table7[[#This Row],[Student_ID]],student_data[#All],6,0)</f>
        <v>4</v>
      </c>
      <c r="H503" s="1">
        <f>VLOOKUP(Table7[[#This Row],[Student_ID]],student_internships[],2,0)</f>
        <v>3</v>
      </c>
      <c r="I503" s="1">
        <f>VLOOKUP(Table7[[#This Row],[Student_ID]],Placements!A503:E1502,5,0)</f>
        <v>5.19</v>
      </c>
      <c r="J503" s="1" t="str">
        <f>IF(VLOOKUP(Table7[[#This Row],[Student_ID]],student_data[#All],5,0)&gt;8,"HIGH",IF(VLOOKUP(Table7[[#This Row],[Student_ID]],student_data[#All],5,0)&lt;6.5,"LOW","MEDIUM"))</f>
        <v>LOW</v>
      </c>
    </row>
    <row r="504" spans="1:10" x14ac:dyDescent="0.2">
      <c r="A504" s="1" t="s">
        <v>513</v>
      </c>
      <c r="B504" s="1" t="str">
        <f>VLOOKUP(Table7[[#This Row],[Student_ID]],student_data[#All],2,0)</f>
        <v>Civil</v>
      </c>
      <c r="C504" s="1">
        <f>(VLOOKUP(Table7[[#This Row],[Student_ID]],student_data[],5,0)*5)+(VLOOKUP(Table7[[#This Row],[Student_ID]],student_data[],6,0)*3)+(VLOOKUP(Table7[[#This Row],[Student_ID]],student_skills[],6,0)*2)+(VLOOKUP(Table7[[#This Row],[Student_ID]],student_internships[],2,0)*5)</f>
        <v>41.5</v>
      </c>
      <c r="D504" s="1">
        <f>AVERAGE(VLOOKUP(Table7[[#This Row],[Student_ID]],student_skills[],3,0),VLOOKUP(Table7[[#This Row],[Student_ID]],student_skills[],4,0),VLOOKUP(Table7[[#This Row],[Student_ID]],student_skills[],5,0),VLOOKUP(Table7[[#This Row],[Student_ID]],student_skills[],6,0))</f>
        <v>5.5</v>
      </c>
      <c r="E504" s="1" t="str">
        <f>IF(VLOOKUP(Table7[[#This Row],[Student_ID]],student_internships[#All],2,0)&gt;1,"EXPERIENCED",IF(VLOOKUP(Table7[[#This Row],[Student_ID]],student_internships[#All],2,0)=1,"BEGINNER","NOT EXPERIENCED"))</f>
        <v>BEGINNER</v>
      </c>
      <c r="F504" s="1">
        <f>VLOOKUP(Table7[[#This Row],[Student_ID]],student_data[],5,0)</f>
        <v>5.9</v>
      </c>
      <c r="G504" s="1">
        <f>VLOOKUP(Table7[[#This Row],[Student_ID]],student_data[#All],6,0)</f>
        <v>1</v>
      </c>
      <c r="H504" s="1">
        <f>VLOOKUP(Table7[[#This Row],[Student_ID]],student_internships[],2,0)</f>
        <v>1</v>
      </c>
      <c r="I504" s="1">
        <f>VLOOKUP(Table7[[#This Row],[Student_ID]],Placements!A504:E1503,5,0)</f>
        <v>4.32</v>
      </c>
      <c r="J504" s="1" t="str">
        <f>IF(VLOOKUP(Table7[[#This Row],[Student_ID]],student_data[#All],5,0)&gt;8,"HIGH",IF(VLOOKUP(Table7[[#This Row],[Student_ID]],student_data[#All],5,0)&lt;6.5,"LOW","MEDIUM"))</f>
        <v>LOW</v>
      </c>
    </row>
    <row r="505" spans="1:10" x14ac:dyDescent="0.2">
      <c r="A505" s="1" t="s">
        <v>514</v>
      </c>
      <c r="B505" s="1" t="str">
        <f>VLOOKUP(Table7[[#This Row],[Student_ID]],student_data[#All],2,0)</f>
        <v>Computer Science</v>
      </c>
      <c r="C505" s="1">
        <f>(VLOOKUP(Table7[[#This Row],[Student_ID]],student_data[],5,0)*5)+(VLOOKUP(Table7[[#This Row],[Student_ID]],student_data[],6,0)*3)+(VLOOKUP(Table7[[#This Row],[Student_ID]],student_skills[],6,0)*2)+(VLOOKUP(Table7[[#This Row],[Student_ID]],student_internships[],2,0)*5)</f>
        <v>53.45</v>
      </c>
      <c r="D505" s="1">
        <f>AVERAGE(VLOOKUP(Table7[[#This Row],[Student_ID]],student_skills[],3,0),VLOOKUP(Table7[[#This Row],[Student_ID]],student_skills[],4,0),VLOOKUP(Table7[[#This Row],[Student_ID]],student_skills[],5,0),VLOOKUP(Table7[[#This Row],[Student_ID]],student_skills[],6,0))</f>
        <v>3.75</v>
      </c>
      <c r="E505" s="1" t="str">
        <f>IF(VLOOKUP(Table7[[#This Row],[Student_ID]],student_internships[#All],2,0)&gt;1,"EXPERIENCED",IF(VLOOKUP(Table7[[#This Row],[Student_ID]],student_internships[#All],2,0)=1,"BEGINNER","NOT EXPERIENCED"))</f>
        <v>BEGINNER</v>
      </c>
      <c r="F505" s="1">
        <f>VLOOKUP(Table7[[#This Row],[Student_ID]],student_data[],5,0)</f>
        <v>5.49</v>
      </c>
      <c r="G505" s="1">
        <f>VLOOKUP(Table7[[#This Row],[Student_ID]],student_data[#All],6,0)</f>
        <v>3</v>
      </c>
      <c r="H505" s="1">
        <f>VLOOKUP(Table7[[#This Row],[Student_ID]],student_internships[],2,0)</f>
        <v>1</v>
      </c>
      <c r="I505" s="1">
        <f>VLOOKUP(Table7[[#This Row],[Student_ID]],Placements!A505:E1504,5,0)</f>
        <v>6.03</v>
      </c>
      <c r="J505" s="1" t="str">
        <f>IF(VLOOKUP(Table7[[#This Row],[Student_ID]],student_data[#All],5,0)&gt;8,"HIGH",IF(VLOOKUP(Table7[[#This Row],[Student_ID]],student_data[#All],5,0)&lt;6.5,"LOW","MEDIUM"))</f>
        <v>LOW</v>
      </c>
    </row>
    <row r="506" spans="1:10" x14ac:dyDescent="0.2">
      <c r="A506" s="1" t="s">
        <v>515</v>
      </c>
      <c r="B506" s="1" t="str">
        <f>VLOOKUP(Table7[[#This Row],[Student_ID]],student_data[#All],2,0)</f>
        <v>Information Technology</v>
      </c>
      <c r="C506" s="1">
        <f>(VLOOKUP(Table7[[#This Row],[Student_ID]],student_data[],5,0)*5)+(VLOOKUP(Table7[[#This Row],[Student_ID]],student_data[],6,0)*3)+(VLOOKUP(Table7[[#This Row],[Student_ID]],student_skills[],6,0)*2)+(VLOOKUP(Table7[[#This Row],[Student_ID]],student_internships[],2,0)*5)</f>
        <v>54.099999999999994</v>
      </c>
      <c r="D506" s="1">
        <f>AVERAGE(VLOOKUP(Table7[[#This Row],[Student_ID]],student_skills[],3,0),VLOOKUP(Table7[[#This Row],[Student_ID]],student_skills[],4,0),VLOOKUP(Table7[[#This Row],[Student_ID]],student_skills[],5,0),VLOOKUP(Table7[[#This Row],[Student_ID]],student_skills[],6,0))</f>
        <v>2</v>
      </c>
      <c r="E506" s="1" t="str">
        <f>IF(VLOOKUP(Table7[[#This Row],[Student_ID]],student_internships[#All],2,0)&gt;1,"EXPERIENCED",IF(VLOOKUP(Table7[[#This Row],[Student_ID]],student_internships[#All],2,0)=1,"BEGINNER","NOT EXPERIENCED"))</f>
        <v>BEGINNER</v>
      </c>
      <c r="F506" s="1">
        <f>VLOOKUP(Table7[[#This Row],[Student_ID]],student_data[],5,0)</f>
        <v>9.02</v>
      </c>
      <c r="G506" s="1">
        <f>VLOOKUP(Table7[[#This Row],[Student_ID]],student_data[#All],6,0)</f>
        <v>0</v>
      </c>
      <c r="H506" s="1">
        <f>VLOOKUP(Table7[[#This Row],[Student_ID]],student_internships[],2,0)</f>
        <v>1</v>
      </c>
      <c r="I506" s="1">
        <f>VLOOKUP(Table7[[#This Row],[Student_ID]],Placements!A506:E1505,5,0)</f>
        <v>4.8899999999999997</v>
      </c>
      <c r="J506" s="1" t="str">
        <f>IF(VLOOKUP(Table7[[#This Row],[Student_ID]],student_data[#All],5,0)&gt;8,"HIGH",IF(VLOOKUP(Table7[[#This Row],[Student_ID]],student_data[#All],5,0)&lt;6.5,"LOW","MEDIUM"))</f>
        <v>HIGH</v>
      </c>
    </row>
    <row r="507" spans="1:10" x14ac:dyDescent="0.2">
      <c r="A507" s="1" t="s">
        <v>516</v>
      </c>
      <c r="B507" s="1" t="str">
        <f>VLOOKUP(Table7[[#This Row],[Student_ID]],student_data[#All],2,0)</f>
        <v>Mechanical</v>
      </c>
      <c r="C507" s="1">
        <f>(VLOOKUP(Table7[[#This Row],[Student_ID]],student_data[],5,0)*5)+(VLOOKUP(Table7[[#This Row],[Student_ID]],student_data[],6,0)*3)+(VLOOKUP(Table7[[#This Row],[Student_ID]],student_skills[],6,0)*2)+(VLOOKUP(Table7[[#This Row],[Student_ID]],student_internships[],2,0)*5)</f>
        <v>67.05</v>
      </c>
      <c r="D507" s="1">
        <f>AVERAGE(VLOOKUP(Table7[[#This Row],[Student_ID]],student_skills[],3,0),VLOOKUP(Table7[[#This Row],[Student_ID]],student_skills[],4,0),VLOOKUP(Table7[[#This Row],[Student_ID]],student_skills[],5,0),VLOOKUP(Table7[[#This Row],[Student_ID]],student_skills[],6,0))</f>
        <v>5.75</v>
      </c>
      <c r="E507" s="1" t="str">
        <f>IF(VLOOKUP(Table7[[#This Row],[Student_ID]],student_internships[#All],2,0)&gt;1,"EXPERIENCED",IF(VLOOKUP(Table7[[#This Row],[Student_ID]],student_internships[#All],2,0)=1,"BEGINNER","NOT EXPERIENCED"))</f>
        <v>EXPERIENCED</v>
      </c>
      <c r="F507" s="1">
        <f>VLOOKUP(Table7[[#This Row],[Student_ID]],student_data[],5,0)</f>
        <v>5.61</v>
      </c>
      <c r="G507" s="1">
        <f>VLOOKUP(Table7[[#This Row],[Student_ID]],student_data[#All],6,0)</f>
        <v>3</v>
      </c>
      <c r="H507" s="1">
        <f>VLOOKUP(Table7[[#This Row],[Student_ID]],student_internships[],2,0)</f>
        <v>2</v>
      </c>
      <c r="I507" s="1">
        <f>VLOOKUP(Table7[[#This Row],[Student_ID]],Placements!A507:E1506,5,0)</f>
        <v>3.92</v>
      </c>
      <c r="J507" s="1" t="str">
        <f>IF(VLOOKUP(Table7[[#This Row],[Student_ID]],student_data[#All],5,0)&gt;8,"HIGH",IF(VLOOKUP(Table7[[#This Row],[Student_ID]],student_data[#All],5,0)&lt;6.5,"LOW","MEDIUM"))</f>
        <v>LOW</v>
      </c>
    </row>
    <row r="508" spans="1:10" x14ac:dyDescent="0.2">
      <c r="A508" s="1" t="s">
        <v>517</v>
      </c>
      <c r="B508" s="1" t="str">
        <f>VLOOKUP(Table7[[#This Row],[Student_ID]],student_data[#All],2,0)</f>
        <v>Mechanical</v>
      </c>
      <c r="C508" s="1">
        <f>(VLOOKUP(Table7[[#This Row],[Student_ID]],student_data[],5,0)*5)+(VLOOKUP(Table7[[#This Row],[Student_ID]],student_data[],6,0)*3)+(VLOOKUP(Table7[[#This Row],[Student_ID]],student_skills[],6,0)*2)+(VLOOKUP(Table7[[#This Row],[Student_ID]],student_internships[],2,0)*5)</f>
        <v>43.15</v>
      </c>
      <c r="D508" s="1">
        <f>AVERAGE(VLOOKUP(Table7[[#This Row],[Student_ID]],student_skills[],3,0),VLOOKUP(Table7[[#This Row],[Student_ID]],student_skills[],4,0),VLOOKUP(Table7[[#This Row],[Student_ID]],student_skills[],5,0),VLOOKUP(Table7[[#This Row],[Student_ID]],student_skills[],6,0))</f>
        <v>6.5</v>
      </c>
      <c r="E508" s="1" t="str">
        <f>IF(VLOOKUP(Table7[[#This Row],[Student_ID]],student_internships[#All],2,0)&gt;1,"EXPERIENCED",IF(VLOOKUP(Table7[[#This Row],[Student_ID]],student_internships[#All],2,0)=1,"BEGINNER","NOT EXPERIENCED"))</f>
        <v>BEGINNER</v>
      </c>
      <c r="F508" s="1">
        <f>VLOOKUP(Table7[[#This Row],[Student_ID]],student_data[],5,0)</f>
        <v>5.63</v>
      </c>
      <c r="G508" s="1">
        <f>VLOOKUP(Table7[[#This Row],[Student_ID]],student_data[#All],6,0)</f>
        <v>0</v>
      </c>
      <c r="H508" s="1">
        <f>VLOOKUP(Table7[[#This Row],[Student_ID]],student_internships[],2,0)</f>
        <v>1</v>
      </c>
      <c r="I508" s="1">
        <f>VLOOKUP(Table7[[#This Row],[Student_ID]],Placements!A508:E1507,5,0)</f>
        <v>4.3600000000000003</v>
      </c>
      <c r="J508" s="1" t="str">
        <f>IF(VLOOKUP(Table7[[#This Row],[Student_ID]],student_data[#All],5,0)&gt;8,"HIGH",IF(VLOOKUP(Table7[[#This Row],[Student_ID]],student_data[#All],5,0)&lt;6.5,"LOW","MEDIUM"))</f>
        <v>LOW</v>
      </c>
    </row>
    <row r="509" spans="1:10" x14ac:dyDescent="0.2">
      <c r="A509" s="1" t="s">
        <v>518</v>
      </c>
      <c r="B509" s="1" t="str">
        <f>VLOOKUP(Table7[[#This Row],[Student_ID]],student_data[#All],2,0)</f>
        <v>Computer Science</v>
      </c>
      <c r="C509" s="1">
        <f>(VLOOKUP(Table7[[#This Row],[Student_ID]],student_data[],5,0)*5)+(VLOOKUP(Table7[[#This Row],[Student_ID]],student_data[],6,0)*3)+(VLOOKUP(Table7[[#This Row],[Student_ID]],student_skills[],6,0)*2)+(VLOOKUP(Table7[[#This Row],[Student_ID]],student_internships[],2,0)*5)</f>
        <v>71.25</v>
      </c>
      <c r="D509" s="1">
        <f>AVERAGE(VLOOKUP(Table7[[#This Row],[Student_ID]],student_skills[],3,0),VLOOKUP(Table7[[#This Row],[Student_ID]],student_skills[],4,0),VLOOKUP(Table7[[#This Row],[Student_ID]],student_skills[],5,0),VLOOKUP(Table7[[#This Row],[Student_ID]],student_skills[],6,0))</f>
        <v>5</v>
      </c>
      <c r="E509" s="1" t="str">
        <f>IF(VLOOKUP(Table7[[#This Row],[Student_ID]],student_internships[#All],2,0)&gt;1,"EXPERIENCED",IF(VLOOKUP(Table7[[#This Row],[Student_ID]],student_internships[#All],2,0)=1,"BEGINNER","NOT EXPERIENCED"))</f>
        <v>NOT EXPERIENCED</v>
      </c>
      <c r="F509" s="1">
        <f>VLOOKUP(Table7[[#This Row],[Student_ID]],student_data[],5,0)</f>
        <v>9.25</v>
      </c>
      <c r="G509" s="1">
        <f>VLOOKUP(Table7[[#This Row],[Student_ID]],student_data[#All],6,0)</f>
        <v>5</v>
      </c>
      <c r="H509" s="1">
        <f>VLOOKUP(Table7[[#This Row],[Student_ID]],student_internships[],2,0)</f>
        <v>0</v>
      </c>
      <c r="I509" s="1">
        <f>VLOOKUP(Table7[[#This Row],[Student_ID]],Placements!A509:E1508,5,0)</f>
        <v>6.33</v>
      </c>
      <c r="J509" s="1" t="str">
        <f>IF(VLOOKUP(Table7[[#This Row],[Student_ID]],student_data[#All],5,0)&gt;8,"HIGH",IF(VLOOKUP(Table7[[#This Row],[Student_ID]],student_data[#All],5,0)&lt;6.5,"LOW","MEDIUM"))</f>
        <v>HIGH</v>
      </c>
    </row>
    <row r="510" spans="1:10" x14ac:dyDescent="0.2">
      <c r="A510" s="1" t="s">
        <v>519</v>
      </c>
      <c r="B510" s="1" t="str">
        <f>VLOOKUP(Table7[[#This Row],[Student_ID]],student_data[#All],2,0)</f>
        <v>Civil</v>
      </c>
      <c r="C510" s="1">
        <f>(VLOOKUP(Table7[[#This Row],[Student_ID]],student_data[],5,0)*5)+(VLOOKUP(Table7[[#This Row],[Student_ID]],student_data[],6,0)*3)+(VLOOKUP(Table7[[#This Row],[Student_ID]],student_skills[],6,0)*2)+(VLOOKUP(Table7[[#This Row],[Student_ID]],student_internships[],2,0)*5)</f>
        <v>72.599999999999994</v>
      </c>
      <c r="D510" s="1">
        <f>AVERAGE(VLOOKUP(Table7[[#This Row],[Student_ID]],student_skills[],3,0),VLOOKUP(Table7[[#This Row],[Student_ID]],student_skills[],4,0),VLOOKUP(Table7[[#This Row],[Student_ID]],student_skills[],5,0),VLOOKUP(Table7[[#This Row],[Student_ID]],student_skills[],6,0))</f>
        <v>3.5</v>
      </c>
      <c r="E510" s="1" t="str">
        <f>IF(VLOOKUP(Table7[[#This Row],[Student_ID]],student_internships[#All],2,0)&gt;1,"EXPERIENCED",IF(VLOOKUP(Table7[[#This Row],[Student_ID]],student_internships[#All],2,0)=1,"BEGINNER","NOT EXPERIENCED"))</f>
        <v>EXPERIENCED</v>
      </c>
      <c r="F510" s="1">
        <f>VLOOKUP(Table7[[#This Row],[Student_ID]],student_data[],5,0)</f>
        <v>6.72</v>
      </c>
      <c r="G510" s="1">
        <f>VLOOKUP(Table7[[#This Row],[Student_ID]],student_data[#All],6,0)</f>
        <v>4</v>
      </c>
      <c r="H510" s="1">
        <f>VLOOKUP(Table7[[#This Row],[Student_ID]],student_internships[],2,0)</f>
        <v>3</v>
      </c>
      <c r="I510" s="1">
        <f>VLOOKUP(Table7[[#This Row],[Student_ID]],Placements!A510:E1509,5,0)</f>
        <v>4.1900000000000004</v>
      </c>
      <c r="J510" s="1" t="str">
        <f>IF(VLOOKUP(Table7[[#This Row],[Student_ID]],student_data[#All],5,0)&gt;8,"HIGH",IF(VLOOKUP(Table7[[#This Row],[Student_ID]],student_data[#All],5,0)&lt;6.5,"LOW","MEDIUM"))</f>
        <v>MEDIUM</v>
      </c>
    </row>
    <row r="511" spans="1:10" x14ac:dyDescent="0.2">
      <c r="A511" s="1" t="s">
        <v>520</v>
      </c>
      <c r="B511" s="1" t="str">
        <f>VLOOKUP(Table7[[#This Row],[Student_ID]],student_data[#All],2,0)</f>
        <v>Civil</v>
      </c>
      <c r="C511" s="1">
        <f>(VLOOKUP(Table7[[#This Row],[Student_ID]],student_data[],5,0)*5)+(VLOOKUP(Table7[[#This Row],[Student_ID]],student_data[],6,0)*3)+(VLOOKUP(Table7[[#This Row],[Student_ID]],student_skills[],6,0)*2)+(VLOOKUP(Table7[[#This Row],[Student_ID]],student_internships[],2,0)*5)</f>
        <v>47.75</v>
      </c>
      <c r="D511" s="1">
        <f>AVERAGE(VLOOKUP(Table7[[#This Row],[Student_ID]],student_skills[],3,0),VLOOKUP(Table7[[#This Row],[Student_ID]],student_skills[],4,0),VLOOKUP(Table7[[#This Row],[Student_ID]],student_skills[],5,0),VLOOKUP(Table7[[#This Row],[Student_ID]],student_skills[],6,0))</f>
        <v>4.75</v>
      </c>
      <c r="E511" s="1" t="str">
        <f>IF(VLOOKUP(Table7[[#This Row],[Student_ID]],student_internships[#All],2,0)&gt;1,"EXPERIENCED",IF(VLOOKUP(Table7[[#This Row],[Student_ID]],student_internships[#All],2,0)=1,"BEGINNER","NOT EXPERIENCED"))</f>
        <v>EXPERIENCED</v>
      </c>
      <c r="F511" s="1">
        <f>VLOOKUP(Table7[[#This Row],[Student_ID]],student_data[],5,0)</f>
        <v>5.15</v>
      </c>
      <c r="G511" s="1">
        <f>VLOOKUP(Table7[[#This Row],[Student_ID]],student_data[#All],6,0)</f>
        <v>0</v>
      </c>
      <c r="H511" s="1">
        <f>VLOOKUP(Table7[[#This Row],[Student_ID]],student_internships[],2,0)</f>
        <v>2</v>
      </c>
      <c r="I511" s="1">
        <f>VLOOKUP(Table7[[#This Row],[Student_ID]],Placements!A511:E1510,5,0)</f>
        <v>0</v>
      </c>
      <c r="J511" s="1" t="str">
        <f>IF(VLOOKUP(Table7[[#This Row],[Student_ID]],student_data[#All],5,0)&gt;8,"HIGH",IF(VLOOKUP(Table7[[#This Row],[Student_ID]],student_data[#All],5,0)&lt;6.5,"LOW","MEDIUM"))</f>
        <v>LOW</v>
      </c>
    </row>
    <row r="512" spans="1:10" x14ac:dyDescent="0.2">
      <c r="A512" s="1" t="s">
        <v>521</v>
      </c>
      <c r="B512" s="1" t="str">
        <f>VLOOKUP(Table7[[#This Row],[Student_ID]],student_data[#All],2,0)</f>
        <v>Information Technology</v>
      </c>
      <c r="C512" s="1">
        <f>(VLOOKUP(Table7[[#This Row],[Student_ID]],student_data[],5,0)*5)+(VLOOKUP(Table7[[#This Row],[Student_ID]],student_data[],6,0)*3)+(VLOOKUP(Table7[[#This Row],[Student_ID]],student_skills[],6,0)*2)+(VLOOKUP(Table7[[#This Row],[Student_ID]],student_internships[],2,0)*5)</f>
        <v>53.3</v>
      </c>
      <c r="D512" s="1">
        <f>AVERAGE(VLOOKUP(Table7[[#This Row],[Student_ID]],student_skills[],3,0),VLOOKUP(Table7[[#This Row],[Student_ID]],student_skills[],4,0),VLOOKUP(Table7[[#This Row],[Student_ID]],student_skills[],5,0),VLOOKUP(Table7[[#This Row],[Student_ID]],student_skills[],6,0))</f>
        <v>5.25</v>
      </c>
      <c r="E512" s="1" t="str">
        <f>IF(VLOOKUP(Table7[[#This Row],[Student_ID]],student_internships[#All],2,0)&gt;1,"EXPERIENCED",IF(VLOOKUP(Table7[[#This Row],[Student_ID]],student_internships[#All],2,0)=1,"BEGINNER","NOT EXPERIENCED"))</f>
        <v>EXPERIENCED</v>
      </c>
      <c r="F512" s="1">
        <f>VLOOKUP(Table7[[#This Row],[Student_ID]],student_data[],5,0)</f>
        <v>5.26</v>
      </c>
      <c r="G512" s="1">
        <f>VLOOKUP(Table7[[#This Row],[Student_ID]],student_data[#All],6,0)</f>
        <v>0</v>
      </c>
      <c r="H512" s="1">
        <f>VLOOKUP(Table7[[#This Row],[Student_ID]],student_internships[],2,0)</f>
        <v>3</v>
      </c>
      <c r="I512" s="1">
        <f>VLOOKUP(Table7[[#This Row],[Student_ID]],Placements!A512:E1511,5,0)</f>
        <v>4.1100000000000003</v>
      </c>
      <c r="J512" s="1" t="str">
        <f>IF(VLOOKUP(Table7[[#This Row],[Student_ID]],student_data[#All],5,0)&gt;8,"HIGH",IF(VLOOKUP(Table7[[#This Row],[Student_ID]],student_data[#All],5,0)&lt;6.5,"LOW","MEDIUM"))</f>
        <v>LOW</v>
      </c>
    </row>
    <row r="513" spans="1:10" x14ac:dyDescent="0.2">
      <c r="A513" s="1" t="s">
        <v>522</v>
      </c>
      <c r="B513" s="1" t="str">
        <f>VLOOKUP(Table7[[#This Row],[Student_ID]],student_data[#All],2,0)</f>
        <v>Computer Science</v>
      </c>
      <c r="C513" s="1">
        <f>(VLOOKUP(Table7[[#This Row],[Student_ID]],student_data[],5,0)*5)+(VLOOKUP(Table7[[#This Row],[Student_ID]],student_data[],6,0)*3)+(VLOOKUP(Table7[[#This Row],[Student_ID]],student_skills[],6,0)*2)+(VLOOKUP(Table7[[#This Row],[Student_ID]],student_internships[],2,0)*5)</f>
        <v>42.55</v>
      </c>
      <c r="D513" s="1">
        <f>AVERAGE(VLOOKUP(Table7[[#This Row],[Student_ID]],student_skills[],3,0),VLOOKUP(Table7[[#This Row],[Student_ID]],student_skills[],4,0),VLOOKUP(Table7[[#This Row],[Student_ID]],student_skills[],5,0),VLOOKUP(Table7[[#This Row],[Student_ID]],student_skills[],6,0))</f>
        <v>6.25</v>
      </c>
      <c r="E513" s="1" t="str">
        <f>IF(VLOOKUP(Table7[[#This Row],[Student_ID]],student_internships[#All],2,0)&gt;1,"EXPERIENCED",IF(VLOOKUP(Table7[[#This Row],[Student_ID]],student_internships[#All],2,0)=1,"BEGINNER","NOT EXPERIENCED"))</f>
        <v>EXPERIENCED</v>
      </c>
      <c r="F513" s="1">
        <f>VLOOKUP(Table7[[#This Row],[Student_ID]],student_data[],5,0)</f>
        <v>5.71</v>
      </c>
      <c r="G513" s="1">
        <f>VLOOKUP(Table7[[#This Row],[Student_ID]],student_data[#All],6,0)</f>
        <v>0</v>
      </c>
      <c r="H513" s="1">
        <f>VLOOKUP(Table7[[#This Row],[Student_ID]],student_internships[],2,0)</f>
        <v>2</v>
      </c>
      <c r="I513" s="1">
        <f>VLOOKUP(Table7[[#This Row],[Student_ID]],Placements!A513:E1512,5,0)</f>
        <v>6.84</v>
      </c>
      <c r="J513" s="1" t="str">
        <f>IF(VLOOKUP(Table7[[#This Row],[Student_ID]],student_data[#All],5,0)&gt;8,"HIGH",IF(VLOOKUP(Table7[[#This Row],[Student_ID]],student_data[#All],5,0)&lt;6.5,"LOW","MEDIUM"))</f>
        <v>LOW</v>
      </c>
    </row>
    <row r="514" spans="1:10" x14ac:dyDescent="0.2">
      <c r="A514" s="1" t="s">
        <v>523</v>
      </c>
      <c r="B514" s="1" t="str">
        <f>VLOOKUP(Table7[[#This Row],[Student_ID]],student_data[#All],2,0)</f>
        <v>Mechanical</v>
      </c>
      <c r="C514" s="1">
        <f>(VLOOKUP(Table7[[#This Row],[Student_ID]],student_data[],5,0)*5)+(VLOOKUP(Table7[[#This Row],[Student_ID]],student_data[],6,0)*3)+(VLOOKUP(Table7[[#This Row],[Student_ID]],student_skills[],6,0)*2)+(VLOOKUP(Table7[[#This Row],[Student_ID]],student_internships[],2,0)*5)</f>
        <v>58.35</v>
      </c>
      <c r="D514" s="1">
        <f>AVERAGE(VLOOKUP(Table7[[#This Row],[Student_ID]],student_skills[],3,0),VLOOKUP(Table7[[#This Row],[Student_ID]],student_skills[],4,0),VLOOKUP(Table7[[#This Row],[Student_ID]],student_skills[],5,0),VLOOKUP(Table7[[#This Row],[Student_ID]],student_skills[],6,0))</f>
        <v>6.5</v>
      </c>
      <c r="E514" s="1" t="str">
        <f>IF(VLOOKUP(Table7[[#This Row],[Student_ID]],student_internships[#All],2,0)&gt;1,"EXPERIENCED",IF(VLOOKUP(Table7[[#This Row],[Student_ID]],student_internships[#All],2,0)=1,"BEGINNER","NOT EXPERIENCED"))</f>
        <v>BEGINNER</v>
      </c>
      <c r="F514" s="1">
        <f>VLOOKUP(Table7[[#This Row],[Student_ID]],student_data[],5,0)</f>
        <v>6.07</v>
      </c>
      <c r="G514" s="1">
        <f>VLOOKUP(Table7[[#This Row],[Student_ID]],student_data[#All],6,0)</f>
        <v>1</v>
      </c>
      <c r="H514" s="1">
        <f>VLOOKUP(Table7[[#This Row],[Student_ID]],student_internships[],2,0)</f>
        <v>1</v>
      </c>
      <c r="I514" s="1">
        <f>VLOOKUP(Table7[[#This Row],[Student_ID]],Placements!A514:E1513,5,0)</f>
        <v>0</v>
      </c>
      <c r="J514" s="1" t="str">
        <f>IF(VLOOKUP(Table7[[#This Row],[Student_ID]],student_data[#All],5,0)&gt;8,"HIGH",IF(VLOOKUP(Table7[[#This Row],[Student_ID]],student_data[#All],5,0)&lt;6.5,"LOW","MEDIUM"))</f>
        <v>LOW</v>
      </c>
    </row>
    <row r="515" spans="1:10" x14ac:dyDescent="0.2">
      <c r="A515" s="1" t="s">
        <v>524</v>
      </c>
      <c r="B515" s="1" t="str">
        <f>VLOOKUP(Table7[[#This Row],[Student_ID]],student_data[#All],2,0)</f>
        <v>Civil</v>
      </c>
      <c r="C515" s="1">
        <f>(VLOOKUP(Table7[[#This Row],[Student_ID]],student_data[],5,0)*5)+(VLOOKUP(Table7[[#This Row],[Student_ID]],student_data[],6,0)*3)+(VLOOKUP(Table7[[#This Row],[Student_ID]],student_skills[],6,0)*2)+(VLOOKUP(Table7[[#This Row],[Student_ID]],student_internships[],2,0)*5)</f>
        <v>67.650000000000006</v>
      </c>
      <c r="D515" s="1">
        <f>AVERAGE(VLOOKUP(Table7[[#This Row],[Student_ID]],student_skills[],3,0),VLOOKUP(Table7[[#This Row],[Student_ID]],student_skills[],4,0),VLOOKUP(Table7[[#This Row],[Student_ID]],student_skills[],5,0),VLOOKUP(Table7[[#This Row],[Student_ID]],student_skills[],6,0))</f>
        <v>5</v>
      </c>
      <c r="E515" s="1" t="str">
        <f>IF(VLOOKUP(Table7[[#This Row],[Student_ID]],student_internships[#All],2,0)&gt;1,"EXPERIENCED",IF(VLOOKUP(Table7[[#This Row],[Student_ID]],student_internships[#All],2,0)=1,"BEGINNER","NOT EXPERIENCED"))</f>
        <v>BEGINNER</v>
      </c>
      <c r="F515" s="1">
        <f>VLOOKUP(Table7[[#This Row],[Student_ID]],student_data[],5,0)</f>
        <v>8.33</v>
      </c>
      <c r="G515" s="1">
        <f>VLOOKUP(Table7[[#This Row],[Student_ID]],student_data[#All],6,0)</f>
        <v>5</v>
      </c>
      <c r="H515" s="1">
        <f>VLOOKUP(Table7[[#This Row],[Student_ID]],student_internships[],2,0)</f>
        <v>1</v>
      </c>
      <c r="I515" s="1">
        <f>VLOOKUP(Table7[[#This Row],[Student_ID]],Placements!A515:E1514,5,0)</f>
        <v>0</v>
      </c>
      <c r="J515" s="1" t="str">
        <f>IF(VLOOKUP(Table7[[#This Row],[Student_ID]],student_data[#All],5,0)&gt;8,"HIGH",IF(VLOOKUP(Table7[[#This Row],[Student_ID]],student_data[#All],5,0)&lt;6.5,"LOW","MEDIUM"))</f>
        <v>HIGH</v>
      </c>
    </row>
    <row r="516" spans="1:10" x14ac:dyDescent="0.2">
      <c r="A516" s="1" t="s">
        <v>525</v>
      </c>
      <c r="B516" s="1" t="str">
        <f>VLOOKUP(Table7[[#This Row],[Student_ID]],student_data[#All],2,0)</f>
        <v>Computer Science</v>
      </c>
      <c r="C516" s="1">
        <f>(VLOOKUP(Table7[[#This Row],[Student_ID]],student_data[],5,0)*5)+(VLOOKUP(Table7[[#This Row],[Student_ID]],student_data[],6,0)*3)+(VLOOKUP(Table7[[#This Row],[Student_ID]],student_skills[],6,0)*2)+(VLOOKUP(Table7[[#This Row],[Student_ID]],student_internships[],2,0)*5)</f>
        <v>58.95</v>
      </c>
      <c r="D516" s="1">
        <f>AVERAGE(VLOOKUP(Table7[[#This Row],[Student_ID]],student_skills[],3,0),VLOOKUP(Table7[[#This Row],[Student_ID]],student_skills[],4,0),VLOOKUP(Table7[[#This Row],[Student_ID]],student_skills[],5,0),VLOOKUP(Table7[[#This Row],[Student_ID]],student_skills[],6,0))</f>
        <v>5.25</v>
      </c>
      <c r="E516" s="1" t="str">
        <f>IF(VLOOKUP(Table7[[#This Row],[Student_ID]],student_internships[#All],2,0)&gt;1,"EXPERIENCED",IF(VLOOKUP(Table7[[#This Row],[Student_ID]],student_internships[#All],2,0)=1,"BEGINNER","NOT EXPERIENCED"))</f>
        <v>EXPERIENCED</v>
      </c>
      <c r="F516" s="1">
        <f>VLOOKUP(Table7[[#This Row],[Student_ID]],student_data[],5,0)</f>
        <v>5.79</v>
      </c>
      <c r="G516" s="1">
        <f>VLOOKUP(Table7[[#This Row],[Student_ID]],student_data[#All],6,0)</f>
        <v>1</v>
      </c>
      <c r="H516" s="1">
        <f>VLOOKUP(Table7[[#This Row],[Student_ID]],student_internships[],2,0)</f>
        <v>3</v>
      </c>
      <c r="I516" s="1">
        <f>VLOOKUP(Table7[[#This Row],[Student_ID]],Placements!A516:E1515,5,0)</f>
        <v>6.59</v>
      </c>
      <c r="J516" s="1" t="str">
        <f>IF(VLOOKUP(Table7[[#This Row],[Student_ID]],student_data[#All],5,0)&gt;8,"HIGH",IF(VLOOKUP(Table7[[#This Row],[Student_ID]],student_data[#All],5,0)&lt;6.5,"LOW","MEDIUM"))</f>
        <v>LOW</v>
      </c>
    </row>
    <row r="517" spans="1:10" x14ac:dyDescent="0.2">
      <c r="A517" s="1" t="s">
        <v>526</v>
      </c>
      <c r="B517" s="1" t="str">
        <f>VLOOKUP(Table7[[#This Row],[Student_ID]],student_data[#All],2,0)</f>
        <v>Civil</v>
      </c>
      <c r="C517" s="1">
        <f>(VLOOKUP(Table7[[#This Row],[Student_ID]],student_data[],5,0)*5)+(VLOOKUP(Table7[[#This Row],[Student_ID]],student_data[],6,0)*3)+(VLOOKUP(Table7[[#This Row],[Student_ID]],student_skills[],6,0)*2)+(VLOOKUP(Table7[[#This Row],[Student_ID]],student_internships[],2,0)*5)</f>
        <v>65.95</v>
      </c>
      <c r="D517" s="1">
        <f>AVERAGE(VLOOKUP(Table7[[#This Row],[Student_ID]],student_skills[],3,0),VLOOKUP(Table7[[#This Row],[Student_ID]],student_skills[],4,0),VLOOKUP(Table7[[#This Row],[Student_ID]],student_skills[],5,0),VLOOKUP(Table7[[#This Row],[Student_ID]],student_skills[],6,0))</f>
        <v>6.25</v>
      </c>
      <c r="E517" s="1" t="str">
        <f>IF(VLOOKUP(Table7[[#This Row],[Student_ID]],student_internships[#All],2,0)&gt;1,"EXPERIENCED",IF(VLOOKUP(Table7[[#This Row],[Student_ID]],student_internships[#All],2,0)=1,"BEGINNER","NOT EXPERIENCED"))</f>
        <v>EXPERIENCED</v>
      </c>
      <c r="F517" s="1">
        <f>VLOOKUP(Table7[[#This Row],[Student_ID]],student_data[],5,0)</f>
        <v>5.59</v>
      </c>
      <c r="G517" s="1">
        <f>VLOOKUP(Table7[[#This Row],[Student_ID]],student_data[#All],6,0)</f>
        <v>4</v>
      </c>
      <c r="H517" s="1">
        <f>VLOOKUP(Table7[[#This Row],[Student_ID]],student_internships[],2,0)</f>
        <v>2</v>
      </c>
      <c r="I517" s="1">
        <f>VLOOKUP(Table7[[#This Row],[Student_ID]],Placements!A517:E1516,5,0)</f>
        <v>4.34</v>
      </c>
      <c r="J517" s="1" t="str">
        <f>IF(VLOOKUP(Table7[[#This Row],[Student_ID]],student_data[#All],5,0)&gt;8,"HIGH",IF(VLOOKUP(Table7[[#This Row],[Student_ID]],student_data[#All],5,0)&lt;6.5,"LOW","MEDIUM"))</f>
        <v>LOW</v>
      </c>
    </row>
    <row r="518" spans="1:10" x14ac:dyDescent="0.2">
      <c r="A518" s="1" t="s">
        <v>527</v>
      </c>
      <c r="B518" s="1" t="str">
        <f>VLOOKUP(Table7[[#This Row],[Student_ID]],student_data[#All],2,0)</f>
        <v>Civil</v>
      </c>
      <c r="C518" s="1">
        <f>(VLOOKUP(Table7[[#This Row],[Student_ID]],student_data[],5,0)*5)+(VLOOKUP(Table7[[#This Row],[Student_ID]],student_data[],6,0)*3)+(VLOOKUP(Table7[[#This Row],[Student_ID]],student_skills[],6,0)*2)+(VLOOKUP(Table7[[#This Row],[Student_ID]],student_internships[],2,0)*5)</f>
        <v>46.1</v>
      </c>
      <c r="D518" s="1">
        <f>AVERAGE(VLOOKUP(Table7[[#This Row],[Student_ID]],student_skills[],3,0),VLOOKUP(Table7[[#This Row],[Student_ID]],student_skills[],4,0),VLOOKUP(Table7[[#This Row],[Student_ID]],student_skills[],5,0),VLOOKUP(Table7[[#This Row],[Student_ID]],student_skills[],6,0))</f>
        <v>3.25</v>
      </c>
      <c r="E518" s="1" t="str">
        <f>IF(VLOOKUP(Table7[[#This Row],[Student_ID]],student_internships[#All],2,0)&gt;1,"EXPERIENCED",IF(VLOOKUP(Table7[[#This Row],[Student_ID]],student_internships[#All],2,0)=1,"BEGINNER","NOT EXPERIENCED"))</f>
        <v>NOT EXPERIENCED</v>
      </c>
      <c r="F518" s="1">
        <f>VLOOKUP(Table7[[#This Row],[Student_ID]],student_data[],5,0)</f>
        <v>8.82</v>
      </c>
      <c r="G518" s="1">
        <f>VLOOKUP(Table7[[#This Row],[Student_ID]],student_data[#All],6,0)</f>
        <v>0</v>
      </c>
      <c r="H518" s="1">
        <f>VLOOKUP(Table7[[#This Row],[Student_ID]],student_internships[],2,0)</f>
        <v>0</v>
      </c>
      <c r="I518" s="1">
        <f>VLOOKUP(Table7[[#This Row],[Student_ID]],Placements!A518:E1517,5,0)</f>
        <v>4.5</v>
      </c>
      <c r="J518" s="1" t="str">
        <f>IF(VLOOKUP(Table7[[#This Row],[Student_ID]],student_data[#All],5,0)&gt;8,"HIGH",IF(VLOOKUP(Table7[[#This Row],[Student_ID]],student_data[#All],5,0)&lt;6.5,"LOW","MEDIUM"))</f>
        <v>HIGH</v>
      </c>
    </row>
    <row r="519" spans="1:10" x14ac:dyDescent="0.2">
      <c r="A519" s="1" t="s">
        <v>528</v>
      </c>
      <c r="B519" s="1" t="str">
        <f>VLOOKUP(Table7[[#This Row],[Student_ID]],student_data[#All],2,0)</f>
        <v>Mechanical</v>
      </c>
      <c r="C519" s="1">
        <f>(VLOOKUP(Table7[[#This Row],[Student_ID]],student_data[],5,0)*5)+(VLOOKUP(Table7[[#This Row],[Student_ID]],student_data[],6,0)*3)+(VLOOKUP(Table7[[#This Row],[Student_ID]],student_skills[],6,0)*2)+(VLOOKUP(Table7[[#This Row],[Student_ID]],student_internships[],2,0)*5)</f>
        <v>58.8</v>
      </c>
      <c r="D519" s="1">
        <f>AVERAGE(VLOOKUP(Table7[[#This Row],[Student_ID]],student_skills[],3,0),VLOOKUP(Table7[[#This Row],[Student_ID]],student_skills[],4,0),VLOOKUP(Table7[[#This Row],[Student_ID]],student_skills[],5,0),VLOOKUP(Table7[[#This Row],[Student_ID]],student_skills[],6,0))</f>
        <v>5.25</v>
      </c>
      <c r="E519" s="1" t="str">
        <f>IF(VLOOKUP(Table7[[#This Row],[Student_ID]],student_internships[#All],2,0)&gt;1,"EXPERIENCED",IF(VLOOKUP(Table7[[#This Row],[Student_ID]],student_internships[#All],2,0)=1,"BEGINNER","NOT EXPERIENCED"))</f>
        <v>NOT EXPERIENCED</v>
      </c>
      <c r="F519" s="1">
        <f>VLOOKUP(Table7[[#This Row],[Student_ID]],student_data[],5,0)</f>
        <v>8.36</v>
      </c>
      <c r="G519" s="1">
        <f>VLOOKUP(Table7[[#This Row],[Student_ID]],student_data[#All],6,0)</f>
        <v>5</v>
      </c>
      <c r="H519" s="1">
        <f>VLOOKUP(Table7[[#This Row],[Student_ID]],student_internships[],2,0)</f>
        <v>0</v>
      </c>
      <c r="I519" s="1">
        <f>VLOOKUP(Table7[[#This Row],[Student_ID]],Placements!A519:E1518,5,0)</f>
        <v>6.06</v>
      </c>
      <c r="J519" s="1" t="str">
        <f>IF(VLOOKUP(Table7[[#This Row],[Student_ID]],student_data[#All],5,0)&gt;8,"HIGH",IF(VLOOKUP(Table7[[#This Row],[Student_ID]],student_data[#All],5,0)&lt;6.5,"LOW","MEDIUM"))</f>
        <v>HIGH</v>
      </c>
    </row>
    <row r="520" spans="1:10" x14ac:dyDescent="0.2">
      <c r="A520" s="1" t="s">
        <v>529</v>
      </c>
      <c r="B520" s="1" t="str">
        <f>VLOOKUP(Table7[[#This Row],[Student_ID]],student_data[#All],2,0)</f>
        <v>Electronics</v>
      </c>
      <c r="C520" s="1">
        <f>(VLOOKUP(Table7[[#This Row],[Student_ID]],student_data[],5,0)*5)+(VLOOKUP(Table7[[#This Row],[Student_ID]],student_data[],6,0)*3)+(VLOOKUP(Table7[[#This Row],[Student_ID]],student_skills[],6,0)*2)+(VLOOKUP(Table7[[#This Row],[Student_ID]],student_internships[],2,0)*5)</f>
        <v>59.9</v>
      </c>
      <c r="D520" s="1">
        <f>AVERAGE(VLOOKUP(Table7[[#This Row],[Student_ID]],student_skills[],3,0),VLOOKUP(Table7[[#This Row],[Student_ID]],student_skills[],4,0),VLOOKUP(Table7[[#This Row],[Student_ID]],student_skills[],5,0),VLOOKUP(Table7[[#This Row],[Student_ID]],student_skills[],6,0))</f>
        <v>4.5</v>
      </c>
      <c r="E520" s="1" t="str">
        <f>IF(VLOOKUP(Table7[[#This Row],[Student_ID]],student_internships[#All],2,0)&gt;1,"EXPERIENCED",IF(VLOOKUP(Table7[[#This Row],[Student_ID]],student_internships[#All],2,0)=1,"BEGINNER","NOT EXPERIENCED"))</f>
        <v>BEGINNER</v>
      </c>
      <c r="F520" s="1">
        <f>VLOOKUP(Table7[[#This Row],[Student_ID]],student_data[],5,0)</f>
        <v>7.18</v>
      </c>
      <c r="G520" s="1">
        <f>VLOOKUP(Table7[[#This Row],[Student_ID]],student_data[#All],6,0)</f>
        <v>5</v>
      </c>
      <c r="H520" s="1">
        <f>VLOOKUP(Table7[[#This Row],[Student_ID]],student_internships[],2,0)</f>
        <v>1</v>
      </c>
      <c r="I520" s="1">
        <f>VLOOKUP(Table7[[#This Row],[Student_ID]],Placements!A520:E1519,5,0)</f>
        <v>4.12</v>
      </c>
      <c r="J520" s="1" t="str">
        <f>IF(VLOOKUP(Table7[[#This Row],[Student_ID]],student_data[#All],5,0)&gt;8,"HIGH",IF(VLOOKUP(Table7[[#This Row],[Student_ID]],student_data[#All],5,0)&lt;6.5,"LOW","MEDIUM"))</f>
        <v>MEDIUM</v>
      </c>
    </row>
    <row r="521" spans="1:10" x14ac:dyDescent="0.2">
      <c r="A521" s="1" t="s">
        <v>530</v>
      </c>
      <c r="B521" s="1" t="str">
        <f>VLOOKUP(Table7[[#This Row],[Student_ID]],student_data[#All],2,0)</f>
        <v>Information Technology</v>
      </c>
      <c r="C521" s="1">
        <f>(VLOOKUP(Table7[[#This Row],[Student_ID]],student_data[],5,0)*5)+(VLOOKUP(Table7[[#This Row],[Student_ID]],student_data[],6,0)*3)+(VLOOKUP(Table7[[#This Row],[Student_ID]],student_skills[],6,0)*2)+(VLOOKUP(Table7[[#This Row],[Student_ID]],student_internships[],2,0)*5)</f>
        <v>66.75</v>
      </c>
      <c r="D521" s="1">
        <f>AVERAGE(VLOOKUP(Table7[[#This Row],[Student_ID]],student_skills[],3,0),VLOOKUP(Table7[[#This Row],[Student_ID]],student_skills[],4,0),VLOOKUP(Table7[[#This Row],[Student_ID]],student_skills[],5,0),VLOOKUP(Table7[[#This Row],[Student_ID]],student_skills[],6,0))</f>
        <v>4.75</v>
      </c>
      <c r="E521" s="1" t="str">
        <f>IF(VLOOKUP(Table7[[#This Row],[Student_ID]],student_internships[#All],2,0)&gt;1,"EXPERIENCED",IF(VLOOKUP(Table7[[#This Row],[Student_ID]],student_internships[#All],2,0)=1,"BEGINNER","NOT EXPERIENCED"))</f>
        <v>EXPERIENCED</v>
      </c>
      <c r="F521" s="1">
        <f>VLOOKUP(Table7[[#This Row],[Student_ID]],student_data[],5,0)</f>
        <v>7.75</v>
      </c>
      <c r="G521" s="1">
        <f>VLOOKUP(Table7[[#This Row],[Student_ID]],student_data[#All],6,0)</f>
        <v>2</v>
      </c>
      <c r="H521" s="1">
        <f>VLOOKUP(Table7[[#This Row],[Student_ID]],student_internships[],2,0)</f>
        <v>2</v>
      </c>
      <c r="I521" s="1">
        <f>VLOOKUP(Table7[[#This Row],[Student_ID]],Placements!A521:E1520,5,0)</f>
        <v>4.5599999999999996</v>
      </c>
      <c r="J521" s="1" t="str">
        <f>IF(VLOOKUP(Table7[[#This Row],[Student_ID]],student_data[#All],5,0)&gt;8,"HIGH",IF(VLOOKUP(Table7[[#This Row],[Student_ID]],student_data[#All],5,0)&lt;6.5,"LOW","MEDIUM"))</f>
        <v>MEDIUM</v>
      </c>
    </row>
    <row r="522" spans="1:10" x14ac:dyDescent="0.2">
      <c r="A522" s="1" t="s">
        <v>531</v>
      </c>
      <c r="B522" s="1" t="str">
        <f>VLOOKUP(Table7[[#This Row],[Student_ID]],student_data[#All],2,0)</f>
        <v>Information Technology</v>
      </c>
      <c r="C522" s="1">
        <f>(VLOOKUP(Table7[[#This Row],[Student_ID]],student_data[],5,0)*5)+(VLOOKUP(Table7[[#This Row],[Student_ID]],student_data[],6,0)*3)+(VLOOKUP(Table7[[#This Row],[Student_ID]],student_skills[],6,0)*2)+(VLOOKUP(Table7[[#This Row],[Student_ID]],student_internships[],2,0)*5)</f>
        <v>77.8</v>
      </c>
      <c r="D522" s="1">
        <f>AVERAGE(VLOOKUP(Table7[[#This Row],[Student_ID]],student_skills[],3,0),VLOOKUP(Table7[[#This Row],[Student_ID]],student_skills[],4,0),VLOOKUP(Table7[[#This Row],[Student_ID]],student_skills[],5,0),VLOOKUP(Table7[[#This Row],[Student_ID]],student_skills[],6,0))</f>
        <v>5.25</v>
      </c>
      <c r="E522" s="1" t="str">
        <f>IF(VLOOKUP(Table7[[#This Row],[Student_ID]],student_internships[#All],2,0)&gt;1,"EXPERIENCED",IF(VLOOKUP(Table7[[#This Row],[Student_ID]],student_internships[#All],2,0)=1,"BEGINNER","NOT EXPERIENCED"))</f>
        <v>EXPERIENCED</v>
      </c>
      <c r="F522" s="1">
        <f>VLOOKUP(Table7[[#This Row],[Student_ID]],student_data[],5,0)</f>
        <v>6.56</v>
      </c>
      <c r="G522" s="1">
        <f>VLOOKUP(Table7[[#This Row],[Student_ID]],student_data[#All],6,0)</f>
        <v>4</v>
      </c>
      <c r="H522" s="1">
        <f>VLOOKUP(Table7[[#This Row],[Student_ID]],student_internships[],2,0)</f>
        <v>3</v>
      </c>
      <c r="I522" s="1">
        <f>VLOOKUP(Table7[[#This Row],[Student_ID]],Placements!A522:E1521,5,0)</f>
        <v>0</v>
      </c>
      <c r="J522" s="1" t="str">
        <f>IF(VLOOKUP(Table7[[#This Row],[Student_ID]],student_data[#All],5,0)&gt;8,"HIGH",IF(VLOOKUP(Table7[[#This Row],[Student_ID]],student_data[#All],5,0)&lt;6.5,"LOW","MEDIUM"))</f>
        <v>MEDIUM</v>
      </c>
    </row>
    <row r="523" spans="1:10" x14ac:dyDescent="0.2">
      <c r="A523" s="1" t="s">
        <v>532</v>
      </c>
      <c r="B523" s="1" t="str">
        <f>VLOOKUP(Table7[[#This Row],[Student_ID]],student_data[#All],2,0)</f>
        <v>Mechanical</v>
      </c>
      <c r="C523" s="1">
        <f>(VLOOKUP(Table7[[#This Row],[Student_ID]],student_data[],5,0)*5)+(VLOOKUP(Table7[[#This Row],[Student_ID]],student_data[],6,0)*3)+(VLOOKUP(Table7[[#This Row],[Student_ID]],student_skills[],6,0)*2)+(VLOOKUP(Table7[[#This Row],[Student_ID]],student_internships[],2,0)*5)</f>
        <v>60.05</v>
      </c>
      <c r="D523" s="1">
        <f>AVERAGE(VLOOKUP(Table7[[#This Row],[Student_ID]],student_skills[],3,0),VLOOKUP(Table7[[#This Row],[Student_ID]],student_skills[],4,0),VLOOKUP(Table7[[#This Row],[Student_ID]],student_skills[],5,0),VLOOKUP(Table7[[#This Row],[Student_ID]],student_skills[],6,0))</f>
        <v>6.5</v>
      </c>
      <c r="E523" s="1" t="str">
        <f>IF(VLOOKUP(Table7[[#This Row],[Student_ID]],student_internships[#All],2,0)&gt;1,"EXPERIENCED",IF(VLOOKUP(Table7[[#This Row],[Student_ID]],student_internships[#All],2,0)=1,"BEGINNER","NOT EXPERIENCED"))</f>
        <v>NOT EXPERIENCED</v>
      </c>
      <c r="F523" s="1">
        <f>VLOOKUP(Table7[[#This Row],[Student_ID]],student_data[],5,0)</f>
        <v>7.41</v>
      </c>
      <c r="G523" s="1">
        <f>VLOOKUP(Table7[[#This Row],[Student_ID]],student_data[#All],6,0)</f>
        <v>5</v>
      </c>
      <c r="H523" s="1">
        <f>VLOOKUP(Table7[[#This Row],[Student_ID]],student_internships[],2,0)</f>
        <v>0</v>
      </c>
      <c r="I523" s="1">
        <f>VLOOKUP(Table7[[#This Row],[Student_ID]],Placements!A523:E1522,5,0)</f>
        <v>0</v>
      </c>
      <c r="J523" s="1" t="str">
        <f>IF(VLOOKUP(Table7[[#This Row],[Student_ID]],student_data[#All],5,0)&gt;8,"HIGH",IF(VLOOKUP(Table7[[#This Row],[Student_ID]],student_data[#All],5,0)&lt;6.5,"LOW","MEDIUM"))</f>
        <v>MEDIUM</v>
      </c>
    </row>
    <row r="524" spans="1:10" x14ac:dyDescent="0.2">
      <c r="A524" s="1" t="s">
        <v>533</v>
      </c>
      <c r="B524" s="1" t="str">
        <f>VLOOKUP(Table7[[#This Row],[Student_ID]],student_data[#All],2,0)</f>
        <v>Civil</v>
      </c>
      <c r="C524" s="1">
        <f>(VLOOKUP(Table7[[#This Row],[Student_ID]],student_data[],5,0)*5)+(VLOOKUP(Table7[[#This Row],[Student_ID]],student_data[],6,0)*3)+(VLOOKUP(Table7[[#This Row],[Student_ID]],student_skills[],6,0)*2)+(VLOOKUP(Table7[[#This Row],[Student_ID]],student_internships[],2,0)*5)</f>
        <v>48.65</v>
      </c>
      <c r="D524" s="1">
        <f>AVERAGE(VLOOKUP(Table7[[#This Row],[Student_ID]],student_skills[],3,0),VLOOKUP(Table7[[#This Row],[Student_ID]],student_skills[],4,0),VLOOKUP(Table7[[#This Row],[Student_ID]],student_skills[],5,0),VLOOKUP(Table7[[#This Row],[Student_ID]],student_skills[],6,0))</f>
        <v>5</v>
      </c>
      <c r="E524" s="1" t="str">
        <f>IF(VLOOKUP(Table7[[#This Row],[Student_ID]],student_internships[#All],2,0)&gt;1,"EXPERIENCED",IF(VLOOKUP(Table7[[#This Row],[Student_ID]],student_internships[#All],2,0)=1,"BEGINNER","NOT EXPERIENCED"))</f>
        <v>BEGINNER</v>
      </c>
      <c r="F524" s="1">
        <f>VLOOKUP(Table7[[#This Row],[Student_ID]],student_data[],5,0)</f>
        <v>7.53</v>
      </c>
      <c r="G524" s="1">
        <f>VLOOKUP(Table7[[#This Row],[Student_ID]],student_data[#All],6,0)</f>
        <v>0</v>
      </c>
      <c r="H524" s="1">
        <f>VLOOKUP(Table7[[#This Row],[Student_ID]],student_internships[],2,0)</f>
        <v>1</v>
      </c>
      <c r="I524" s="1">
        <f>VLOOKUP(Table7[[#This Row],[Student_ID]],Placements!A524:E1523,5,0)</f>
        <v>13.75</v>
      </c>
      <c r="J524" s="1" t="str">
        <f>IF(VLOOKUP(Table7[[#This Row],[Student_ID]],student_data[#All],5,0)&gt;8,"HIGH",IF(VLOOKUP(Table7[[#This Row],[Student_ID]],student_data[#All],5,0)&lt;6.5,"LOW","MEDIUM"))</f>
        <v>MEDIUM</v>
      </c>
    </row>
    <row r="525" spans="1:10" x14ac:dyDescent="0.2">
      <c r="A525" s="1" t="s">
        <v>534</v>
      </c>
      <c r="B525" s="1" t="str">
        <f>VLOOKUP(Table7[[#This Row],[Student_ID]],student_data[#All],2,0)</f>
        <v>Computer Science</v>
      </c>
      <c r="C525" s="1">
        <f>(VLOOKUP(Table7[[#This Row],[Student_ID]],student_data[],5,0)*5)+(VLOOKUP(Table7[[#This Row],[Student_ID]],student_data[],6,0)*3)+(VLOOKUP(Table7[[#This Row],[Student_ID]],student_skills[],6,0)*2)+(VLOOKUP(Table7[[#This Row],[Student_ID]],student_internships[],2,0)*5)</f>
        <v>55.7</v>
      </c>
      <c r="D525" s="1">
        <f>AVERAGE(VLOOKUP(Table7[[#This Row],[Student_ID]],student_skills[],3,0),VLOOKUP(Table7[[#This Row],[Student_ID]],student_skills[],4,0),VLOOKUP(Table7[[#This Row],[Student_ID]],student_skills[],5,0),VLOOKUP(Table7[[#This Row],[Student_ID]],student_skills[],6,0))</f>
        <v>5.75</v>
      </c>
      <c r="E525" s="1" t="str">
        <f>IF(VLOOKUP(Table7[[#This Row],[Student_ID]],student_internships[#All],2,0)&gt;1,"EXPERIENCED",IF(VLOOKUP(Table7[[#This Row],[Student_ID]],student_internships[#All],2,0)=1,"BEGINNER","NOT EXPERIENCED"))</f>
        <v>BEGINNER</v>
      </c>
      <c r="F525" s="1">
        <f>VLOOKUP(Table7[[#This Row],[Student_ID]],student_data[],5,0)</f>
        <v>6.94</v>
      </c>
      <c r="G525" s="1">
        <f>VLOOKUP(Table7[[#This Row],[Student_ID]],student_data[#All],6,0)</f>
        <v>0</v>
      </c>
      <c r="H525" s="1">
        <f>VLOOKUP(Table7[[#This Row],[Student_ID]],student_internships[],2,0)</f>
        <v>1</v>
      </c>
      <c r="I525" s="1">
        <f>VLOOKUP(Table7[[#This Row],[Student_ID]],Placements!A525:E1524,5,0)</f>
        <v>4.1100000000000003</v>
      </c>
      <c r="J525" s="1" t="str">
        <f>IF(VLOOKUP(Table7[[#This Row],[Student_ID]],student_data[#All],5,0)&gt;8,"HIGH",IF(VLOOKUP(Table7[[#This Row],[Student_ID]],student_data[#All],5,0)&lt;6.5,"LOW","MEDIUM"))</f>
        <v>MEDIUM</v>
      </c>
    </row>
    <row r="526" spans="1:10" x14ac:dyDescent="0.2">
      <c r="A526" s="1" t="s">
        <v>535</v>
      </c>
      <c r="B526" s="1" t="str">
        <f>VLOOKUP(Table7[[#This Row],[Student_ID]],student_data[#All],2,0)</f>
        <v>Civil</v>
      </c>
      <c r="C526" s="1">
        <f>(VLOOKUP(Table7[[#This Row],[Student_ID]],student_data[],5,0)*5)+(VLOOKUP(Table7[[#This Row],[Student_ID]],student_data[],6,0)*3)+(VLOOKUP(Table7[[#This Row],[Student_ID]],student_skills[],6,0)*2)+(VLOOKUP(Table7[[#This Row],[Student_ID]],student_internships[],2,0)*5)</f>
        <v>97.65</v>
      </c>
      <c r="D526" s="1">
        <f>AVERAGE(VLOOKUP(Table7[[#This Row],[Student_ID]],student_skills[],3,0),VLOOKUP(Table7[[#This Row],[Student_ID]],student_skills[],4,0),VLOOKUP(Table7[[#This Row],[Student_ID]],student_skills[],5,0),VLOOKUP(Table7[[#This Row],[Student_ID]],student_skills[],6,0))</f>
        <v>6</v>
      </c>
      <c r="E526" s="1" t="str">
        <f>IF(VLOOKUP(Table7[[#This Row],[Student_ID]],student_internships[#All],2,0)&gt;1,"EXPERIENCED",IF(VLOOKUP(Table7[[#This Row],[Student_ID]],student_internships[#All],2,0)=1,"BEGINNER","NOT EXPERIENCED"))</f>
        <v>EXPERIENCED</v>
      </c>
      <c r="F526" s="1">
        <f>VLOOKUP(Table7[[#This Row],[Student_ID]],student_data[],5,0)</f>
        <v>9.5299999999999994</v>
      </c>
      <c r="G526" s="1">
        <f>VLOOKUP(Table7[[#This Row],[Student_ID]],student_data[#All],6,0)</f>
        <v>5</v>
      </c>
      <c r="H526" s="1">
        <f>VLOOKUP(Table7[[#This Row],[Student_ID]],student_internships[],2,0)</f>
        <v>3</v>
      </c>
      <c r="I526" s="1">
        <f>VLOOKUP(Table7[[#This Row],[Student_ID]],Placements!A526:E1525,5,0)</f>
        <v>5.13</v>
      </c>
      <c r="J526" s="1" t="str">
        <f>IF(VLOOKUP(Table7[[#This Row],[Student_ID]],student_data[#All],5,0)&gt;8,"HIGH",IF(VLOOKUP(Table7[[#This Row],[Student_ID]],student_data[#All],5,0)&lt;6.5,"LOW","MEDIUM"))</f>
        <v>HIGH</v>
      </c>
    </row>
    <row r="527" spans="1:10" x14ac:dyDescent="0.2">
      <c r="A527" s="1" t="s">
        <v>536</v>
      </c>
      <c r="B527" s="1" t="str">
        <f>VLOOKUP(Table7[[#This Row],[Student_ID]],student_data[#All],2,0)</f>
        <v>Mechanical</v>
      </c>
      <c r="C527" s="1">
        <f>(VLOOKUP(Table7[[#This Row],[Student_ID]],student_data[],5,0)*5)+(VLOOKUP(Table7[[#This Row],[Student_ID]],student_data[],6,0)*3)+(VLOOKUP(Table7[[#This Row],[Student_ID]],student_skills[],6,0)*2)+(VLOOKUP(Table7[[#This Row],[Student_ID]],student_internships[],2,0)*5)</f>
        <v>56.4</v>
      </c>
      <c r="D527" s="1">
        <f>AVERAGE(VLOOKUP(Table7[[#This Row],[Student_ID]],student_skills[],3,0),VLOOKUP(Table7[[#This Row],[Student_ID]],student_skills[],4,0),VLOOKUP(Table7[[#This Row],[Student_ID]],student_skills[],5,0),VLOOKUP(Table7[[#This Row],[Student_ID]],student_skills[],6,0))</f>
        <v>6.25</v>
      </c>
      <c r="E527" s="1" t="str">
        <f>IF(VLOOKUP(Table7[[#This Row],[Student_ID]],student_internships[#All],2,0)&gt;1,"EXPERIENCED",IF(VLOOKUP(Table7[[#This Row],[Student_ID]],student_internships[#All],2,0)=1,"BEGINNER","NOT EXPERIENCED"))</f>
        <v>EXPERIENCED</v>
      </c>
      <c r="F527" s="1">
        <f>VLOOKUP(Table7[[#This Row],[Student_ID]],student_data[],5,0)</f>
        <v>5.08</v>
      </c>
      <c r="G527" s="1">
        <f>VLOOKUP(Table7[[#This Row],[Student_ID]],student_data[#All],6,0)</f>
        <v>1</v>
      </c>
      <c r="H527" s="1">
        <f>VLOOKUP(Table7[[#This Row],[Student_ID]],student_internships[],2,0)</f>
        <v>2</v>
      </c>
      <c r="I527" s="1">
        <f>VLOOKUP(Table7[[#This Row],[Student_ID]],Placements!A527:E1526,5,0)</f>
        <v>3.98</v>
      </c>
      <c r="J527" s="1" t="str">
        <f>IF(VLOOKUP(Table7[[#This Row],[Student_ID]],student_data[#All],5,0)&gt;8,"HIGH",IF(VLOOKUP(Table7[[#This Row],[Student_ID]],student_data[#All],5,0)&lt;6.5,"LOW","MEDIUM"))</f>
        <v>LOW</v>
      </c>
    </row>
    <row r="528" spans="1:10" x14ac:dyDescent="0.2">
      <c r="A528" s="1" t="s">
        <v>537</v>
      </c>
      <c r="B528" s="1" t="str">
        <f>VLOOKUP(Table7[[#This Row],[Student_ID]],student_data[#All],2,0)</f>
        <v>Information Technology</v>
      </c>
      <c r="C528" s="1">
        <f>(VLOOKUP(Table7[[#This Row],[Student_ID]],student_data[],5,0)*5)+(VLOOKUP(Table7[[#This Row],[Student_ID]],student_data[],6,0)*3)+(VLOOKUP(Table7[[#This Row],[Student_ID]],student_skills[],6,0)*2)+(VLOOKUP(Table7[[#This Row],[Student_ID]],student_internships[],2,0)*5)</f>
        <v>76.55</v>
      </c>
      <c r="D528" s="1">
        <f>AVERAGE(VLOOKUP(Table7[[#This Row],[Student_ID]],student_skills[],3,0),VLOOKUP(Table7[[#This Row],[Student_ID]],student_skills[],4,0),VLOOKUP(Table7[[#This Row],[Student_ID]],student_skills[],5,0),VLOOKUP(Table7[[#This Row],[Student_ID]],student_skills[],6,0))</f>
        <v>7.75</v>
      </c>
      <c r="E528" s="1" t="str">
        <f>IF(VLOOKUP(Table7[[#This Row],[Student_ID]],student_internships[#All],2,0)&gt;1,"EXPERIENCED",IF(VLOOKUP(Table7[[#This Row],[Student_ID]],student_internships[#All],2,0)=1,"BEGINNER","NOT EXPERIENCED"))</f>
        <v>EXPERIENCED</v>
      </c>
      <c r="F528" s="1">
        <f>VLOOKUP(Table7[[#This Row],[Student_ID]],student_data[],5,0)</f>
        <v>8.91</v>
      </c>
      <c r="G528" s="1">
        <f>VLOOKUP(Table7[[#This Row],[Student_ID]],student_data[#All],6,0)</f>
        <v>4</v>
      </c>
      <c r="H528" s="1">
        <f>VLOOKUP(Table7[[#This Row],[Student_ID]],student_internships[],2,0)</f>
        <v>2</v>
      </c>
      <c r="I528" s="1">
        <f>VLOOKUP(Table7[[#This Row],[Student_ID]],Placements!A528:E1527,5,0)</f>
        <v>4.41</v>
      </c>
      <c r="J528" s="1" t="str">
        <f>IF(VLOOKUP(Table7[[#This Row],[Student_ID]],student_data[#All],5,0)&gt;8,"HIGH",IF(VLOOKUP(Table7[[#This Row],[Student_ID]],student_data[#All],5,0)&lt;6.5,"LOW","MEDIUM"))</f>
        <v>HIGH</v>
      </c>
    </row>
    <row r="529" spans="1:10" x14ac:dyDescent="0.2">
      <c r="A529" s="1" t="s">
        <v>538</v>
      </c>
      <c r="B529" s="1" t="str">
        <f>VLOOKUP(Table7[[#This Row],[Student_ID]],student_data[#All],2,0)</f>
        <v>Civil</v>
      </c>
      <c r="C529" s="1">
        <f>(VLOOKUP(Table7[[#This Row],[Student_ID]],student_data[],5,0)*5)+(VLOOKUP(Table7[[#This Row],[Student_ID]],student_data[],6,0)*3)+(VLOOKUP(Table7[[#This Row],[Student_ID]],student_skills[],6,0)*2)+(VLOOKUP(Table7[[#This Row],[Student_ID]],student_internships[],2,0)*5)</f>
        <v>51.1</v>
      </c>
      <c r="D529" s="1">
        <f>AVERAGE(VLOOKUP(Table7[[#This Row],[Student_ID]],student_skills[],3,0),VLOOKUP(Table7[[#This Row],[Student_ID]],student_skills[],4,0),VLOOKUP(Table7[[#This Row],[Student_ID]],student_skills[],5,0),VLOOKUP(Table7[[#This Row],[Student_ID]],student_skills[],6,0))</f>
        <v>7.25</v>
      </c>
      <c r="E529" s="1" t="str">
        <f>IF(VLOOKUP(Table7[[#This Row],[Student_ID]],student_internships[#All],2,0)&gt;1,"EXPERIENCED",IF(VLOOKUP(Table7[[#This Row],[Student_ID]],student_internships[#All],2,0)=1,"BEGINNER","NOT EXPERIENCED"))</f>
        <v>BEGINNER</v>
      </c>
      <c r="F529" s="1">
        <f>VLOOKUP(Table7[[#This Row],[Student_ID]],student_data[],5,0)</f>
        <v>5.62</v>
      </c>
      <c r="G529" s="1">
        <f>VLOOKUP(Table7[[#This Row],[Student_ID]],student_data[#All],6,0)</f>
        <v>0</v>
      </c>
      <c r="H529" s="1">
        <f>VLOOKUP(Table7[[#This Row],[Student_ID]],student_internships[],2,0)</f>
        <v>1</v>
      </c>
      <c r="I529" s="1">
        <f>VLOOKUP(Table7[[#This Row],[Student_ID]],Placements!A529:E1528,5,0)</f>
        <v>3.56</v>
      </c>
      <c r="J529" s="1" t="str">
        <f>IF(VLOOKUP(Table7[[#This Row],[Student_ID]],student_data[#All],5,0)&gt;8,"HIGH",IF(VLOOKUP(Table7[[#This Row],[Student_ID]],student_data[#All],5,0)&lt;6.5,"LOW","MEDIUM"))</f>
        <v>LOW</v>
      </c>
    </row>
    <row r="530" spans="1:10" x14ac:dyDescent="0.2">
      <c r="A530" s="1" t="s">
        <v>539</v>
      </c>
      <c r="B530" s="1" t="str">
        <f>VLOOKUP(Table7[[#This Row],[Student_ID]],student_data[#All],2,0)</f>
        <v>Information Technology</v>
      </c>
      <c r="C530" s="1">
        <f>(VLOOKUP(Table7[[#This Row],[Student_ID]],student_data[],5,0)*5)+(VLOOKUP(Table7[[#This Row],[Student_ID]],student_data[],6,0)*3)+(VLOOKUP(Table7[[#This Row],[Student_ID]],student_skills[],6,0)*2)+(VLOOKUP(Table7[[#This Row],[Student_ID]],student_internships[],2,0)*5)</f>
        <v>68.95</v>
      </c>
      <c r="D530" s="1">
        <f>AVERAGE(VLOOKUP(Table7[[#This Row],[Student_ID]],student_skills[],3,0),VLOOKUP(Table7[[#This Row],[Student_ID]],student_skills[],4,0),VLOOKUP(Table7[[#This Row],[Student_ID]],student_skills[],5,0),VLOOKUP(Table7[[#This Row],[Student_ID]],student_skills[],6,0))</f>
        <v>6</v>
      </c>
      <c r="E530" s="1" t="str">
        <f>IF(VLOOKUP(Table7[[#This Row],[Student_ID]],student_internships[#All],2,0)&gt;1,"EXPERIENCED",IF(VLOOKUP(Table7[[#This Row],[Student_ID]],student_internships[#All],2,0)=1,"BEGINNER","NOT EXPERIENCED"))</f>
        <v>BEGINNER</v>
      </c>
      <c r="F530" s="1">
        <f>VLOOKUP(Table7[[#This Row],[Student_ID]],student_data[],5,0)</f>
        <v>8.99</v>
      </c>
      <c r="G530" s="1">
        <f>VLOOKUP(Table7[[#This Row],[Student_ID]],student_data[#All],6,0)</f>
        <v>5</v>
      </c>
      <c r="H530" s="1">
        <f>VLOOKUP(Table7[[#This Row],[Student_ID]],student_internships[],2,0)</f>
        <v>1</v>
      </c>
      <c r="I530" s="1">
        <f>VLOOKUP(Table7[[#This Row],[Student_ID]],Placements!A530:E1529,5,0)</f>
        <v>5.13</v>
      </c>
      <c r="J530" s="1" t="str">
        <f>IF(VLOOKUP(Table7[[#This Row],[Student_ID]],student_data[#All],5,0)&gt;8,"HIGH",IF(VLOOKUP(Table7[[#This Row],[Student_ID]],student_data[#All],5,0)&lt;6.5,"LOW","MEDIUM"))</f>
        <v>HIGH</v>
      </c>
    </row>
    <row r="531" spans="1:10" x14ac:dyDescent="0.2">
      <c r="A531" s="1" t="s">
        <v>540</v>
      </c>
      <c r="B531" s="1" t="str">
        <f>VLOOKUP(Table7[[#This Row],[Student_ID]],student_data[#All],2,0)</f>
        <v>Computer Science</v>
      </c>
      <c r="C531" s="1">
        <f>(VLOOKUP(Table7[[#This Row],[Student_ID]],student_data[],5,0)*5)+(VLOOKUP(Table7[[#This Row],[Student_ID]],student_data[],6,0)*3)+(VLOOKUP(Table7[[#This Row],[Student_ID]],student_skills[],6,0)*2)+(VLOOKUP(Table7[[#This Row],[Student_ID]],student_internships[],2,0)*5)</f>
        <v>46.4</v>
      </c>
      <c r="D531" s="1">
        <f>AVERAGE(VLOOKUP(Table7[[#This Row],[Student_ID]],student_skills[],3,0),VLOOKUP(Table7[[#This Row],[Student_ID]],student_skills[],4,0),VLOOKUP(Table7[[#This Row],[Student_ID]],student_skills[],5,0),VLOOKUP(Table7[[#This Row],[Student_ID]],student_skills[],6,0))</f>
        <v>4.5</v>
      </c>
      <c r="E531" s="1" t="str">
        <f>IF(VLOOKUP(Table7[[#This Row],[Student_ID]],student_internships[#All],2,0)&gt;1,"EXPERIENCED",IF(VLOOKUP(Table7[[#This Row],[Student_ID]],student_internships[#All],2,0)=1,"BEGINNER","NOT EXPERIENCED"))</f>
        <v>NOT EXPERIENCED</v>
      </c>
      <c r="F531" s="1">
        <f>VLOOKUP(Table7[[#This Row],[Student_ID]],student_data[],5,0)</f>
        <v>8.08</v>
      </c>
      <c r="G531" s="1">
        <f>VLOOKUP(Table7[[#This Row],[Student_ID]],student_data[#All],6,0)</f>
        <v>0</v>
      </c>
      <c r="H531" s="1">
        <f>VLOOKUP(Table7[[#This Row],[Student_ID]],student_internships[],2,0)</f>
        <v>0</v>
      </c>
      <c r="I531" s="1">
        <f>VLOOKUP(Table7[[#This Row],[Student_ID]],Placements!A531:E1530,5,0)</f>
        <v>5.03</v>
      </c>
      <c r="J531" s="1" t="str">
        <f>IF(VLOOKUP(Table7[[#This Row],[Student_ID]],student_data[#All],5,0)&gt;8,"HIGH",IF(VLOOKUP(Table7[[#This Row],[Student_ID]],student_data[#All],5,0)&lt;6.5,"LOW","MEDIUM"))</f>
        <v>HIGH</v>
      </c>
    </row>
    <row r="532" spans="1:10" x14ac:dyDescent="0.2">
      <c r="A532" s="1" t="s">
        <v>541</v>
      </c>
      <c r="B532" s="1" t="str">
        <f>VLOOKUP(Table7[[#This Row],[Student_ID]],student_data[#All],2,0)</f>
        <v>Information Technology</v>
      </c>
      <c r="C532" s="1">
        <f>(VLOOKUP(Table7[[#This Row],[Student_ID]],student_data[],5,0)*5)+(VLOOKUP(Table7[[#This Row],[Student_ID]],student_data[],6,0)*3)+(VLOOKUP(Table7[[#This Row],[Student_ID]],student_skills[],6,0)*2)+(VLOOKUP(Table7[[#This Row],[Student_ID]],student_internships[],2,0)*5)</f>
        <v>75.099999999999994</v>
      </c>
      <c r="D532" s="1">
        <f>AVERAGE(VLOOKUP(Table7[[#This Row],[Student_ID]],student_skills[],3,0),VLOOKUP(Table7[[#This Row],[Student_ID]],student_skills[],4,0),VLOOKUP(Table7[[#This Row],[Student_ID]],student_skills[],5,0),VLOOKUP(Table7[[#This Row],[Student_ID]],student_skills[],6,0))</f>
        <v>7.25</v>
      </c>
      <c r="E532" s="1" t="str">
        <f>IF(VLOOKUP(Table7[[#This Row],[Student_ID]],student_internships[#All],2,0)&gt;1,"EXPERIENCED",IF(VLOOKUP(Table7[[#This Row],[Student_ID]],student_internships[#All],2,0)=1,"BEGINNER","NOT EXPERIENCED"))</f>
        <v>NOT EXPERIENCED</v>
      </c>
      <c r="F532" s="1">
        <f>VLOOKUP(Table7[[#This Row],[Student_ID]],student_data[],5,0)</f>
        <v>9.2200000000000006</v>
      </c>
      <c r="G532" s="1">
        <f>VLOOKUP(Table7[[#This Row],[Student_ID]],student_data[#All],6,0)</f>
        <v>5</v>
      </c>
      <c r="H532" s="1">
        <f>VLOOKUP(Table7[[#This Row],[Student_ID]],student_internships[],2,0)</f>
        <v>0</v>
      </c>
      <c r="I532" s="1">
        <f>VLOOKUP(Table7[[#This Row],[Student_ID]],Placements!A532:E1531,5,0)</f>
        <v>5.12</v>
      </c>
      <c r="J532" s="1" t="str">
        <f>IF(VLOOKUP(Table7[[#This Row],[Student_ID]],student_data[#All],5,0)&gt;8,"HIGH",IF(VLOOKUP(Table7[[#This Row],[Student_ID]],student_data[#All],5,0)&lt;6.5,"LOW","MEDIUM"))</f>
        <v>HIGH</v>
      </c>
    </row>
    <row r="533" spans="1:10" x14ac:dyDescent="0.2">
      <c r="A533" s="1" t="s">
        <v>542</v>
      </c>
      <c r="B533" s="1" t="str">
        <f>VLOOKUP(Table7[[#This Row],[Student_ID]],student_data[#All],2,0)</f>
        <v>Information Technology</v>
      </c>
      <c r="C533" s="1">
        <f>(VLOOKUP(Table7[[#This Row],[Student_ID]],student_data[],5,0)*5)+(VLOOKUP(Table7[[#This Row],[Student_ID]],student_data[],6,0)*3)+(VLOOKUP(Table7[[#This Row],[Student_ID]],student_skills[],6,0)*2)+(VLOOKUP(Table7[[#This Row],[Student_ID]],student_internships[],2,0)*5)</f>
        <v>63.45</v>
      </c>
      <c r="D533" s="1">
        <f>AVERAGE(VLOOKUP(Table7[[#This Row],[Student_ID]],student_skills[],3,0),VLOOKUP(Table7[[#This Row],[Student_ID]],student_skills[],4,0),VLOOKUP(Table7[[#This Row],[Student_ID]],student_skills[],5,0),VLOOKUP(Table7[[#This Row],[Student_ID]],student_skills[],6,0))</f>
        <v>6.75</v>
      </c>
      <c r="E533" s="1" t="str">
        <f>IF(VLOOKUP(Table7[[#This Row],[Student_ID]],student_internships[#All],2,0)&gt;1,"EXPERIENCED",IF(VLOOKUP(Table7[[#This Row],[Student_ID]],student_internships[#All],2,0)=1,"BEGINNER","NOT EXPERIENCED"))</f>
        <v>EXPERIENCED</v>
      </c>
      <c r="F533" s="1">
        <f>VLOOKUP(Table7[[#This Row],[Student_ID]],student_data[],5,0)</f>
        <v>5.49</v>
      </c>
      <c r="G533" s="1">
        <f>VLOOKUP(Table7[[#This Row],[Student_ID]],student_data[#All],6,0)</f>
        <v>4</v>
      </c>
      <c r="H533" s="1">
        <f>VLOOKUP(Table7[[#This Row],[Student_ID]],student_internships[],2,0)</f>
        <v>2</v>
      </c>
      <c r="I533" s="1">
        <f>VLOOKUP(Table7[[#This Row],[Student_ID]],Placements!A533:E1532,5,0)</f>
        <v>4.4000000000000004</v>
      </c>
      <c r="J533" s="1" t="str">
        <f>IF(VLOOKUP(Table7[[#This Row],[Student_ID]],student_data[#All],5,0)&gt;8,"HIGH",IF(VLOOKUP(Table7[[#This Row],[Student_ID]],student_data[#All],5,0)&lt;6.5,"LOW","MEDIUM"))</f>
        <v>LOW</v>
      </c>
    </row>
    <row r="534" spans="1:10" x14ac:dyDescent="0.2">
      <c r="A534" s="1" t="s">
        <v>543</v>
      </c>
      <c r="B534" s="1" t="str">
        <f>VLOOKUP(Table7[[#This Row],[Student_ID]],student_data[#All],2,0)</f>
        <v>Electronics</v>
      </c>
      <c r="C534" s="1">
        <f>(VLOOKUP(Table7[[#This Row],[Student_ID]],student_data[],5,0)*5)+(VLOOKUP(Table7[[#This Row],[Student_ID]],student_data[],6,0)*3)+(VLOOKUP(Table7[[#This Row],[Student_ID]],student_skills[],6,0)*2)+(VLOOKUP(Table7[[#This Row],[Student_ID]],student_internships[],2,0)*5)</f>
        <v>75.95</v>
      </c>
      <c r="D534" s="1">
        <f>AVERAGE(VLOOKUP(Table7[[#This Row],[Student_ID]],student_skills[],3,0),VLOOKUP(Table7[[#This Row],[Student_ID]],student_skills[],4,0),VLOOKUP(Table7[[#This Row],[Student_ID]],student_skills[],5,0),VLOOKUP(Table7[[#This Row],[Student_ID]],student_skills[],6,0))</f>
        <v>5.25</v>
      </c>
      <c r="E534" s="1" t="str">
        <f>IF(VLOOKUP(Table7[[#This Row],[Student_ID]],student_internships[#All],2,0)&gt;1,"EXPERIENCED",IF(VLOOKUP(Table7[[#This Row],[Student_ID]],student_internships[#All],2,0)=1,"BEGINNER","NOT EXPERIENCED"))</f>
        <v>EXPERIENCED</v>
      </c>
      <c r="F534" s="1">
        <f>VLOOKUP(Table7[[#This Row],[Student_ID]],student_data[],5,0)</f>
        <v>7.79</v>
      </c>
      <c r="G534" s="1">
        <f>VLOOKUP(Table7[[#This Row],[Student_ID]],student_data[#All],6,0)</f>
        <v>5</v>
      </c>
      <c r="H534" s="1">
        <f>VLOOKUP(Table7[[#This Row],[Student_ID]],student_internships[],2,0)</f>
        <v>2</v>
      </c>
      <c r="I534" s="1">
        <f>VLOOKUP(Table7[[#This Row],[Student_ID]],Placements!A534:E1533,5,0)</f>
        <v>0</v>
      </c>
      <c r="J534" s="1" t="str">
        <f>IF(VLOOKUP(Table7[[#This Row],[Student_ID]],student_data[#All],5,0)&gt;8,"HIGH",IF(VLOOKUP(Table7[[#This Row],[Student_ID]],student_data[#All],5,0)&lt;6.5,"LOW","MEDIUM"))</f>
        <v>MEDIUM</v>
      </c>
    </row>
    <row r="535" spans="1:10" x14ac:dyDescent="0.2">
      <c r="A535" s="1" t="s">
        <v>544</v>
      </c>
      <c r="B535" s="1" t="str">
        <f>VLOOKUP(Table7[[#This Row],[Student_ID]],student_data[#All],2,0)</f>
        <v>Electronics</v>
      </c>
      <c r="C535" s="1">
        <f>(VLOOKUP(Table7[[#This Row],[Student_ID]],student_data[],5,0)*5)+(VLOOKUP(Table7[[#This Row],[Student_ID]],student_data[],6,0)*3)+(VLOOKUP(Table7[[#This Row],[Student_ID]],student_skills[],6,0)*2)+(VLOOKUP(Table7[[#This Row],[Student_ID]],student_internships[],2,0)*5)</f>
        <v>70.55</v>
      </c>
      <c r="D535" s="1">
        <f>AVERAGE(VLOOKUP(Table7[[#This Row],[Student_ID]],student_skills[],3,0),VLOOKUP(Table7[[#This Row],[Student_ID]],student_skills[],4,0),VLOOKUP(Table7[[#This Row],[Student_ID]],student_skills[],5,0),VLOOKUP(Table7[[#This Row],[Student_ID]],student_skills[],6,0))</f>
        <v>5.5</v>
      </c>
      <c r="E535" s="1" t="str">
        <f>IF(VLOOKUP(Table7[[#This Row],[Student_ID]],student_internships[#All],2,0)&gt;1,"EXPERIENCED",IF(VLOOKUP(Table7[[#This Row],[Student_ID]],student_internships[#All],2,0)=1,"BEGINNER","NOT EXPERIENCED"))</f>
        <v>EXPERIENCED</v>
      </c>
      <c r="F535" s="1">
        <f>VLOOKUP(Table7[[#This Row],[Student_ID]],student_data[],5,0)</f>
        <v>7.51</v>
      </c>
      <c r="G535" s="1">
        <f>VLOOKUP(Table7[[#This Row],[Student_ID]],student_data[#All],6,0)</f>
        <v>2</v>
      </c>
      <c r="H535" s="1">
        <f>VLOOKUP(Table7[[#This Row],[Student_ID]],student_internships[],2,0)</f>
        <v>3</v>
      </c>
      <c r="I535" s="1">
        <f>VLOOKUP(Table7[[#This Row],[Student_ID]],Placements!A535:E1534,5,0)</f>
        <v>0</v>
      </c>
      <c r="J535" s="1" t="str">
        <f>IF(VLOOKUP(Table7[[#This Row],[Student_ID]],student_data[#All],5,0)&gt;8,"HIGH",IF(VLOOKUP(Table7[[#This Row],[Student_ID]],student_data[#All],5,0)&lt;6.5,"LOW","MEDIUM"))</f>
        <v>MEDIUM</v>
      </c>
    </row>
    <row r="536" spans="1:10" x14ac:dyDescent="0.2">
      <c r="A536" s="1" t="s">
        <v>545</v>
      </c>
      <c r="B536" s="1" t="str">
        <f>VLOOKUP(Table7[[#This Row],[Student_ID]],student_data[#All],2,0)</f>
        <v>Electronics</v>
      </c>
      <c r="C536" s="1">
        <f>(VLOOKUP(Table7[[#This Row],[Student_ID]],student_data[],5,0)*5)+(VLOOKUP(Table7[[#This Row],[Student_ID]],student_data[],6,0)*3)+(VLOOKUP(Table7[[#This Row],[Student_ID]],student_skills[],6,0)*2)+(VLOOKUP(Table7[[#This Row],[Student_ID]],student_internships[],2,0)*5)</f>
        <v>76.650000000000006</v>
      </c>
      <c r="D536" s="1">
        <f>AVERAGE(VLOOKUP(Table7[[#This Row],[Student_ID]],student_skills[],3,0),VLOOKUP(Table7[[#This Row],[Student_ID]],student_skills[],4,0),VLOOKUP(Table7[[#This Row],[Student_ID]],student_skills[],5,0),VLOOKUP(Table7[[#This Row],[Student_ID]],student_skills[],6,0))</f>
        <v>5.75</v>
      </c>
      <c r="E536" s="1" t="str">
        <f>IF(VLOOKUP(Table7[[#This Row],[Student_ID]],student_internships[#All],2,0)&gt;1,"EXPERIENCED",IF(VLOOKUP(Table7[[#This Row],[Student_ID]],student_internships[#All],2,0)=1,"BEGINNER","NOT EXPERIENCED"))</f>
        <v>EXPERIENCED</v>
      </c>
      <c r="F536" s="1">
        <f>VLOOKUP(Table7[[#This Row],[Student_ID]],student_data[],5,0)</f>
        <v>8.5299999999999994</v>
      </c>
      <c r="G536" s="1">
        <f>VLOOKUP(Table7[[#This Row],[Student_ID]],student_data[#All],6,0)</f>
        <v>5</v>
      </c>
      <c r="H536" s="1">
        <f>VLOOKUP(Table7[[#This Row],[Student_ID]],student_internships[],2,0)</f>
        <v>3</v>
      </c>
      <c r="I536" s="1">
        <f>VLOOKUP(Table7[[#This Row],[Student_ID]],Placements!A536:E1535,5,0)</f>
        <v>3.95</v>
      </c>
      <c r="J536" s="1" t="str">
        <f>IF(VLOOKUP(Table7[[#This Row],[Student_ID]],student_data[#All],5,0)&gt;8,"HIGH",IF(VLOOKUP(Table7[[#This Row],[Student_ID]],student_data[#All],5,0)&lt;6.5,"LOW","MEDIUM"))</f>
        <v>HIGH</v>
      </c>
    </row>
    <row r="537" spans="1:10" x14ac:dyDescent="0.2">
      <c r="A537" s="1" t="s">
        <v>546</v>
      </c>
      <c r="B537" s="1" t="str">
        <f>VLOOKUP(Table7[[#This Row],[Student_ID]],student_data[#All],2,0)</f>
        <v>Information Technology</v>
      </c>
      <c r="C537" s="1">
        <f>(VLOOKUP(Table7[[#This Row],[Student_ID]],student_data[],5,0)*5)+(VLOOKUP(Table7[[#This Row],[Student_ID]],student_data[],6,0)*3)+(VLOOKUP(Table7[[#This Row],[Student_ID]],student_skills[],6,0)*2)+(VLOOKUP(Table7[[#This Row],[Student_ID]],student_internships[],2,0)*5)</f>
        <v>78.349999999999994</v>
      </c>
      <c r="D537" s="1">
        <f>AVERAGE(VLOOKUP(Table7[[#This Row],[Student_ID]],student_skills[],3,0),VLOOKUP(Table7[[#This Row],[Student_ID]],student_skills[],4,0),VLOOKUP(Table7[[#This Row],[Student_ID]],student_skills[],5,0),VLOOKUP(Table7[[#This Row],[Student_ID]],student_skills[],6,0))</f>
        <v>7</v>
      </c>
      <c r="E537" s="1" t="str">
        <f>IF(VLOOKUP(Table7[[#This Row],[Student_ID]],student_internships[#All],2,0)&gt;1,"EXPERIENCED",IF(VLOOKUP(Table7[[#This Row],[Student_ID]],student_internships[#All],2,0)=1,"BEGINNER","NOT EXPERIENCED"))</f>
        <v>BEGINNER</v>
      </c>
      <c r="F537" s="1">
        <f>VLOOKUP(Table7[[#This Row],[Student_ID]],student_data[],5,0)</f>
        <v>7.67</v>
      </c>
      <c r="G537" s="1">
        <f>VLOOKUP(Table7[[#This Row],[Student_ID]],student_data[#All],6,0)</f>
        <v>5</v>
      </c>
      <c r="H537" s="1">
        <f>VLOOKUP(Table7[[#This Row],[Student_ID]],student_internships[],2,0)</f>
        <v>1</v>
      </c>
      <c r="I537" s="1">
        <f>VLOOKUP(Table7[[#This Row],[Student_ID]],Placements!A537:E1536,5,0)</f>
        <v>5.65</v>
      </c>
      <c r="J537" s="1" t="str">
        <f>IF(VLOOKUP(Table7[[#This Row],[Student_ID]],student_data[#All],5,0)&gt;8,"HIGH",IF(VLOOKUP(Table7[[#This Row],[Student_ID]],student_data[#All],5,0)&lt;6.5,"LOW","MEDIUM"))</f>
        <v>MEDIUM</v>
      </c>
    </row>
    <row r="538" spans="1:10" x14ac:dyDescent="0.2">
      <c r="A538" s="1" t="s">
        <v>547</v>
      </c>
      <c r="B538" s="1" t="str">
        <f>VLOOKUP(Table7[[#This Row],[Student_ID]],student_data[#All],2,0)</f>
        <v>Mechanical</v>
      </c>
      <c r="C538" s="1">
        <f>(VLOOKUP(Table7[[#This Row],[Student_ID]],student_data[],5,0)*5)+(VLOOKUP(Table7[[#This Row],[Student_ID]],student_data[],6,0)*3)+(VLOOKUP(Table7[[#This Row],[Student_ID]],student_skills[],6,0)*2)+(VLOOKUP(Table7[[#This Row],[Student_ID]],student_internships[],2,0)*5)</f>
        <v>72.5</v>
      </c>
      <c r="D538" s="1">
        <f>AVERAGE(VLOOKUP(Table7[[#This Row],[Student_ID]],student_skills[],3,0),VLOOKUP(Table7[[#This Row],[Student_ID]],student_skills[],4,0),VLOOKUP(Table7[[#This Row],[Student_ID]],student_skills[],5,0),VLOOKUP(Table7[[#This Row],[Student_ID]],student_skills[],6,0))</f>
        <v>7.5</v>
      </c>
      <c r="E538" s="1" t="str">
        <f>IF(VLOOKUP(Table7[[#This Row],[Student_ID]],student_internships[#All],2,0)&gt;1,"EXPERIENCED",IF(VLOOKUP(Table7[[#This Row],[Student_ID]],student_internships[#All],2,0)=1,"BEGINNER","NOT EXPERIENCED"))</f>
        <v>EXPERIENCED</v>
      </c>
      <c r="F538" s="1">
        <f>VLOOKUP(Table7[[#This Row],[Student_ID]],student_data[],5,0)</f>
        <v>7.7</v>
      </c>
      <c r="G538" s="1">
        <f>VLOOKUP(Table7[[#This Row],[Student_ID]],student_data[#All],6,0)</f>
        <v>4</v>
      </c>
      <c r="H538" s="1">
        <f>VLOOKUP(Table7[[#This Row],[Student_ID]],student_internships[],2,0)</f>
        <v>2</v>
      </c>
      <c r="I538" s="1">
        <f>VLOOKUP(Table7[[#This Row],[Student_ID]],Placements!A538:E1537,5,0)</f>
        <v>4.4000000000000004</v>
      </c>
      <c r="J538" s="1" t="str">
        <f>IF(VLOOKUP(Table7[[#This Row],[Student_ID]],student_data[#All],5,0)&gt;8,"HIGH",IF(VLOOKUP(Table7[[#This Row],[Student_ID]],student_data[#All],5,0)&lt;6.5,"LOW","MEDIUM"))</f>
        <v>MEDIUM</v>
      </c>
    </row>
    <row r="539" spans="1:10" x14ac:dyDescent="0.2">
      <c r="A539" s="1" t="s">
        <v>548</v>
      </c>
      <c r="B539" s="1" t="str">
        <f>VLOOKUP(Table7[[#This Row],[Student_ID]],student_data[#All],2,0)</f>
        <v>Information Technology</v>
      </c>
      <c r="C539" s="1">
        <f>(VLOOKUP(Table7[[#This Row],[Student_ID]],student_data[],5,0)*5)+(VLOOKUP(Table7[[#This Row],[Student_ID]],student_data[],6,0)*3)+(VLOOKUP(Table7[[#This Row],[Student_ID]],student_skills[],6,0)*2)+(VLOOKUP(Table7[[#This Row],[Student_ID]],student_internships[],2,0)*5)</f>
        <v>73.75</v>
      </c>
      <c r="D539" s="1">
        <f>AVERAGE(VLOOKUP(Table7[[#This Row],[Student_ID]],student_skills[],3,0),VLOOKUP(Table7[[#This Row],[Student_ID]],student_skills[],4,0),VLOOKUP(Table7[[#This Row],[Student_ID]],student_skills[],5,0),VLOOKUP(Table7[[#This Row],[Student_ID]],student_skills[],6,0))</f>
        <v>4</v>
      </c>
      <c r="E539" s="1" t="str">
        <f>IF(VLOOKUP(Table7[[#This Row],[Student_ID]],student_internships[#All],2,0)&gt;1,"EXPERIENCED",IF(VLOOKUP(Table7[[#This Row],[Student_ID]],student_internships[#All],2,0)=1,"BEGINNER","NOT EXPERIENCED"))</f>
        <v>EXPERIENCED</v>
      </c>
      <c r="F539" s="1">
        <f>VLOOKUP(Table7[[#This Row],[Student_ID]],student_data[],5,0)</f>
        <v>7.15</v>
      </c>
      <c r="G539" s="1">
        <f>VLOOKUP(Table7[[#This Row],[Student_ID]],student_data[#All],6,0)</f>
        <v>5</v>
      </c>
      <c r="H539" s="1">
        <f>VLOOKUP(Table7[[#This Row],[Student_ID]],student_internships[],2,0)</f>
        <v>3</v>
      </c>
      <c r="I539" s="1">
        <f>VLOOKUP(Table7[[#This Row],[Student_ID]],Placements!A539:E1538,5,0)</f>
        <v>0</v>
      </c>
      <c r="J539" s="1" t="str">
        <f>IF(VLOOKUP(Table7[[#This Row],[Student_ID]],student_data[#All],5,0)&gt;8,"HIGH",IF(VLOOKUP(Table7[[#This Row],[Student_ID]],student_data[#All],5,0)&lt;6.5,"LOW","MEDIUM"))</f>
        <v>MEDIUM</v>
      </c>
    </row>
    <row r="540" spans="1:10" x14ac:dyDescent="0.2">
      <c r="A540" s="1" t="s">
        <v>549</v>
      </c>
      <c r="B540" s="1" t="str">
        <f>VLOOKUP(Table7[[#This Row],[Student_ID]],student_data[#All],2,0)</f>
        <v>Mechanical</v>
      </c>
      <c r="C540" s="1">
        <f>(VLOOKUP(Table7[[#This Row],[Student_ID]],student_data[],5,0)*5)+(VLOOKUP(Table7[[#This Row],[Student_ID]],student_data[],6,0)*3)+(VLOOKUP(Table7[[#This Row],[Student_ID]],student_skills[],6,0)*2)+(VLOOKUP(Table7[[#This Row],[Student_ID]],student_internships[],2,0)*5)</f>
        <v>60.7</v>
      </c>
      <c r="D540" s="1">
        <f>AVERAGE(VLOOKUP(Table7[[#This Row],[Student_ID]],student_skills[],3,0),VLOOKUP(Table7[[#This Row],[Student_ID]],student_skills[],4,0),VLOOKUP(Table7[[#This Row],[Student_ID]],student_skills[],5,0),VLOOKUP(Table7[[#This Row],[Student_ID]],student_skills[],6,0))</f>
        <v>6</v>
      </c>
      <c r="E540" s="1" t="str">
        <f>IF(VLOOKUP(Table7[[#This Row],[Student_ID]],student_internships[#All],2,0)&gt;1,"EXPERIENCED",IF(VLOOKUP(Table7[[#This Row],[Student_ID]],student_internships[#All],2,0)=1,"BEGINNER","NOT EXPERIENCED"))</f>
        <v>EXPERIENCED</v>
      </c>
      <c r="F540" s="1">
        <f>VLOOKUP(Table7[[#This Row],[Student_ID]],student_data[],5,0)</f>
        <v>6.54</v>
      </c>
      <c r="G540" s="1">
        <f>VLOOKUP(Table7[[#This Row],[Student_ID]],student_data[#All],6,0)</f>
        <v>4</v>
      </c>
      <c r="H540" s="1">
        <f>VLOOKUP(Table7[[#This Row],[Student_ID]],student_internships[],2,0)</f>
        <v>2</v>
      </c>
      <c r="I540" s="1">
        <f>VLOOKUP(Table7[[#This Row],[Student_ID]],Placements!A540:E1539,5,0)</f>
        <v>0</v>
      </c>
      <c r="J540" s="1" t="str">
        <f>IF(VLOOKUP(Table7[[#This Row],[Student_ID]],student_data[#All],5,0)&gt;8,"HIGH",IF(VLOOKUP(Table7[[#This Row],[Student_ID]],student_data[#All],5,0)&lt;6.5,"LOW","MEDIUM"))</f>
        <v>MEDIUM</v>
      </c>
    </row>
    <row r="541" spans="1:10" x14ac:dyDescent="0.2">
      <c r="A541" s="1" t="s">
        <v>550</v>
      </c>
      <c r="B541" s="1" t="str">
        <f>VLOOKUP(Table7[[#This Row],[Student_ID]],student_data[#All],2,0)</f>
        <v>Mechanical</v>
      </c>
      <c r="C541" s="1">
        <f>(VLOOKUP(Table7[[#This Row],[Student_ID]],student_data[],5,0)*5)+(VLOOKUP(Table7[[#This Row],[Student_ID]],student_data[],6,0)*3)+(VLOOKUP(Table7[[#This Row],[Student_ID]],student_skills[],6,0)*2)+(VLOOKUP(Table7[[#This Row],[Student_ID]],student_internships[],2,0)*5)</f>
        <v>47.05</v>
      </c>
      <c r="D541" s="1">
        <f>AVERAGE(VLOOKUP(Table7[[#This Row],[Student_ID]],student_skills[],3,0),VLOOKUP(Table7[[#This Row],[Student_ID]],student_skills[],4,0),VLOOKUP(Table7[[#This Row],[Student_ID]],student_skills[],5,0),VLOOKUP(Table7[[#This Row],[Student_ID]],student_skills[],6,0))</f>
        <v>6.25</v>
      </c>
      <c r="E541" s="1" t="str">
        <f>IF(VLOOKUP(Table7[[#This Row],[Student_ID]],student_internships[#All],2,0)&gt;1,"EXPERIENCED",IF(VLOOKUP(Table7[[#This Row],[Student_ID]],student_internships[#All],2,0)=1,"BEGINNER","NOT EXPERIENCED"))</f>
        <v>NOT EXPERIENCED</v>
      </c>
      <c r="F541" s="1">
        <f>VLOOKUP(Table7[[#This Row],[Student_ID]],student_data[],5,0)</f>
        <v>7.41</v>
      </c>
      <c r="G541" s="1">
        <f>VLOOKUP(Table7[[#This Row],[Student_ID]],student_data[#All],6,0)</f>
        <v>2</v>
      </c>
      <c r="H541" s="1">
        <f>VLOOKUP(Table7[[#This Row],[Student_ID]],student_internships[],2,0)</f>
        <v>0</v>
      </c>
      <c r="I541" s="1">
        <f>VLOOKUP(Table7[[#This Row],[Student_ID]],Placements!A541:E1540,5,0)</f>
        <v>4.5599999999999996</v>
      </c>
      <c r="J541" s="1" t="str">
        <f>IF(VLOOKUP(Table7[[#This Row],[Student_ID]],student_data[#All],5,0)&gt;8,"HIGH",IF(VLOOKUP(Table7[[#This Row],[Student_ID]],student_data[#All],5,0)&lt;6.5,"LOW","MEDIUM"))</f>
        <v>MEDIUM</v>
      </c>
    </row>
    <row r="542" spans="1:10" x14ac:dyDescent="0.2">
      <c r="A542" s="1" t="s">
        <v>551</v>
      </c>
      <c r="B542" s="1" t="str">
        <f>VLOOKUP(Table7[[#This Row],[Student_ID]],student_data[#All],2,0)</f>
        <v>Electronics</v>
      </c>
      <c r="C542" s="1">
        <f>(VLOOKUP(Table7[[#This Row],[Student_ID]],student_data[],5,0)*5)+(VLOOKUP(Table7[[#This Row],[Student_ID]],student_data[],6,0)*3)+(VLOOKUP(Table7[[#This Row],[Student_ID]],student_skills[],6,0)*2)+(VLOOKUP(Table7[[#This Row],[Student_ID]],student_internships[],2,0)*5)</f>
        <v>46.95</v>
      </c>
      <c r="D542" s="1">
        <f>AVERAGE(VLOOKUP(Table7[[#This Row],[Student_ID]],student_skills[],3,0),VLOOKUP(Table7[[#This Row],[Student_ID]],student_skills[],4,0),VLOOKUP(Table7[[#This Row],[Student_ID]],student_skills[],5,0),VLOOKUP(Table7[[#This Row],[Student_ID]],student_skills[],6,0))</f>
        <v>5.75</v>
      </c>
      <c r="E542" s="1" t="str">
        <f>IF(VLOOKUP(Table7[[#This Row],[Student_ID]],student_internships[#All],2,0)&gt;1,"EXPERIENCED",IF(VLOOKUP(Table7[[#This Row],[Student_ID]],student_internships[#All],2,0)=1,"BEGINNER","NOT EXPERIENCED"))</f>
        <v>BEGINNER</v>
      </c>
      <c r="F542" s="1">
        <f>VLOOKUP(Table7[[#This Row],[Student_ID]],student_data[],5,0)</f>
        <v>5.59</v>
      </c>
      <c r="G542" s="1">
        <f>VLOOKUP(Table7[[#This Row],[Student_ID]],student_data[#All],6,0)</f>
        <v>4</v>
      </c>
      <c r="H542" s="1">
        <f>VLOOKUP(Table7[[#This Row],[Student_ID]],student_internships[],2,0)</f>
        <v>1</v>
      </c>
      <c r="I542" s="1">
        <f>VLOOKUP(Table7[[#This Row],[Student_ID]],Placements!A542:E1541,5,0)</f>
        <v>0</v>
      </c>
      <c r="J542" s="1" t="str">
        <f>IF(VLOOKUP(Table7[[#This Row],[Student_ID]],student_data[#All],5,0)&gt;8,"HIGH",IF(VLOOKUP(Table7[[#This Row],[Student_ID]],student_data[#All],5,0)&lt;6.5,"LOW","MEDIUM"))</f>
        <v>LOW</v>
      </c>
    </row>
    <row r="543" spans="1:10" x14ac:dyDescent="0.2">
      <c r="A543" s="1" t="s">
        <v>552</v>
      </c>
      <c r="B543" s="1" t="str">
        <f>VLOOKUP(Table7[[#This Row],[Student_ID]],student_data[#All],2,0)</f>
        <v>Civil</v>
      </c>
      <c r="C543" s="1">
        <f>(VLOOKUP(Table7[[#This Row],[Student_ID]],student_data[],5,0)*5)+(VLOOKUP(Table7[[#This Row],[Student_ID]],student_data[],6,0)*3)+(VLOOKUP(Table7[[#This Row],[Student_ID]],student_skills[],6,0)*2)+(VLOOKUP(Table7[[#This Row],[Student_ID]],student_internships[],2,0)*5)</f>
        <v>59.050000000000004</v>
      </c>
      <c r="D543" s="1">
        <f>AVERAGE(VLOOKUP(Table7[[#This Row],[Student_ID]],student_skills[],3,0),VLOOKUP(Table7[[#This Row],[Student_ID]],student_skills[],4,0),VLOOKUP(Table7[[#This Row],[Student_ID]],student_skills[],5,0),VLOOKUP(Table7[[#This Row],[Student_ID]],student_skills[],6,0))</f>
        <v>4.5</v>
      </c>
      <c r="E543" s="1" t="str">
        <f>IF(VLOOKUP(Table7[[#This Row],[Student_ID]],student_internships[#All],2,0)&gt;1,"EXPERIENCED",IF(VLOOKUP(Table7[[#This Row],[Student_ID]],student_internships[#All],2,0)=1,"BEGINNER","NOT EXPERIENCED"))</f>
        <v>NOT EXPERIENCED</v>
      </c>
      <c r="F543" s="1">
        <f>VLOOKUP(Table7[[#This Row],[Student_ID]],student_data[],5,0)</f>
        <v>9.81</v>
      </c>
      <c r="G543" s="1">
        <f>VLOOKUP(Table7[[#This Row],[Student_ID]],student_data[#All],6,0)</f>
        <v>0</v>
      </c>
      <c r="H543" s="1">
        <f>VLOOKUP(Table7[[#This Row],[Student_ID]],student_internships[],2,0)</f>
        <v>0</v>
      </c>
      <c r="I543" s="1">
        <f>VLOOKUP(Table7[[#This Row],[Student_ID]],Placements!A543:E1542,5,0)</f>
        <v>4.33</v>
      </c>
      <c r="J543" s="1" t="str">
        <f>IF(VLOOKUP(Table7[[#This Row],[Student_ID]],student_data[#All],5,0)&gt;8,"HIGH",IF(VLOOKUP(Table7[[#This Row],[Student_ID]],student_data[#All],5,0)&lt;6.5,"LOW","MEDIUM"))</f>
        <v>HIGH</v>
      </c>
    </row>
    <row r="544" spans="1:10" x14ac:dyDescent="0.2">
      <c r="A544" s="1" t="s">
        <v>553</v>
      </c>
      <c r="B544" s="1" t="str">
        <f>VLOOKUP(Table7[[#This Row],[Student_ID]],student_data[#All],2,0)</f>
        <v>Computer Science</v>
      </c>
      <c r="C544" s="1">
        <f>(VLOOKUP(Table7[[#This Row],[Student_ID]],student_data[],5,0)*5)+(VLOOKUP(Table7[[#This Row],[Student_ID]],student_data[],6,0)*3)+(VLOOKUP(Table7[[#This Row],[Student_ID]],student_skills[],6,0)*2)+(VLOOKUP(Table7[[#This Row],[Student_ID]],student_internships[],2,0)*5)</f>
        <v>73.849999999999994</v>
      </c>
      <c r="D544" s="1">
        <f>AVERAGE(VLOOKUP(Table7[[#This Row],[Student_ID]],student_skills[],3,0),VLOOKUP(Table7[[#This Row],[Student_ID]],student_skills[],4,0),VLOOKUP(Table7[[#This Row],[Student_ID]],student_skills[],5,0),VLOOKUP(Table7[[#This Row],[Student_ID]],student_skills[],6,0))</f>
        <v>3.25</v>
      </c>
      <c r="E544" s="1" t="str">
        <f>IF(VLOOKUP(Table7[[#This Row],[Student_ID]],student_internships[#All],2,0)&gt;1,"EXPERIENCED",IF(VLOOKUP(Table7[[#This Row],[Student_ID]],student_internships[#All],2,0)=1,"BEGINNER","NOT EXPERIENCED"))</f>
        <v>EXPERIENCED</v>
      </c>
      <c r="F544" s="1">
        <f>VLOOKUP(Table7[[#This Row],[Student_ID]],student_data[],5,0)</f>
        <v>8.57</v>
      </c>
      <c r="G544" s="1">
        <f>VLOOKUP(Table7[[#This Row],[Student_ID]],student_data[#All],6,0)</f>
        <v>4</v>
      </c>
      <c r="H544" s="1">
        <f>VLOOKUP(Table7[[#This Row],[Student_ID]],student_internships[],2,0)</f>
        <v>3</v>
      </c>
      <c r="I544" s="1">
        <f>VLOOKUP(Table7[[#This Row],[Student_ID]],Placements!A544:E1543,5,0)</f>
        <v>4.67</v>
      </c>
      <c r="J544" s="1" t="str">
        <f>IF(VLOOKUP(Table7[[#This Row],[Student_ID]],student_data[#All],5,0)&gt;8,"HIGH",IF(VLOOKUP(Table7[[#This Row],[Student_ID]],student_data[#All],5,0)&lt;6.5,"LOW","MEDIUM"))</f>
        <v>HIGH</v>
      </c>
    </row>
    <row r="545" spans="1:10" x14ac:dyDescent="0.2">
      <c r="A545" s="1" t="s">
        <v>554</v>
      </c>
      <c r="B545" s="1" t="str">
        <f>VLOOKUP(Table7[[#This Row],[Student_ID]],student_data[#All],2,0)</f>
        <v>Electronics</v>
      </c>
      <c r="C545" s="1">
        <f>(VLOOKUP(Table7[[#This Row],[Student_ID]],student_data[],5,0)*5)+(VLOOKUP(Table7[[#This Row],[Student_ID]],student_data[],6,0)*3)+(VLOOKUP(Table7[[#This Row],[Student_ID]],student_skills[],6,0)*2)+(VLOOKUP(Table7[[#This Row],[Student_ID]],student_internships[],2,0)*5)</f>
        <v>63.8</v>
      </c>
      <c r="D545" s="1">
        <f>AVERAGE(VLOOKUP(Table7[[#This Row],[Student_ID]],student_skills[],3,0),VLOOKUP(Table7[[#This Row],[Student_ID]],student_skills[],4,0),VLOOKUP(Table7[[#This Row],[Student_ID]],student_skills[],5,0),VLOOKUP(Table7[[#This Row],[Student_ID]],student_skills[],6,0))</f>
        <v>6.25</v>
      </c>
      <c r="E545" s="1" t="str">
        <f>IF(VLOOKUP(Table7[[#This Row],[Student_ID]],student_internships[#All],2,0)&gt;1,"EXPERIENCED",IF(VLOOKUP(Table7[[#This Row],[Student_ID]],student_internships[#All],2,0)=1,"BEGINNER","NOT EXPERIENCED"))</f>
        <v>BEGINNER</v>
      </c>
      <c r="F545" s="1">
        <f>VLOOKUP(Table7[[#This Row],[Student_ID]],student_data[],5,0)</f>
        <v>9.76</v>
      </c>
      <c r="G545" s="1">
        <f>VLOOKUP(Table7[[#This Row],[Student_ID]],student_data[#All],6,0)</f>
        <v>2</v>
      </c>
      <c r="H545" s="1">
        <f>VLOOKUP(Table7[[#This Row],[Student_ID]],student_internships[],2,0)</f>
        <v>1</v>
      </c>
      <c r="I545" s="1">
        <f>VLOOKUP(Table7[[#This Row],[Student_ID]],Placements!A545:E1544,5,0)</f>
        <v>4.3499999999999996</v>
      </c>
      <c r="J545" s="1" t="str">
        <f>IF(VLOOKUP(Table7[[#This Row],[Student_ID]],student_data[#All],5,0)&gt;8,"HIGH",IF(VLOOKUP(Table7[[#This Row],[Student_ID]],student_data[#All],5,0)&lt;6.5,"LOW","MEDIUM"))</f>
        <v>HIGH</v>
      </c>
    </row>
    <row r="546" spans="1:10" x14ac:dyDescent="0.2">
      <c r="A546" s="1" t="s">
        <v>555</v>
      </c>
      <c r="B546" s="1" t="str">
        <f>VLOOKUP(Table7[[#This Row],[Student_ID]],student_data[#All],2,0)</f>
        <v>Electronics</v>
      </c>
      <c r="C546" s="1">
        <f>(VLOOKUP(Table7[[#This Row],[Student_ID]],student_data[],5,0)*5)+(VLOOKUP(Table7[[#This Row],[Student_ID]],student_data[],6,0)*3)+(VLOOKUP(Table7[[#This Row],[Student_ID]],student_skills[],6,0)*2)+(VLOOKUP(Table7[[#This Row],[Student_ID]],student_internships[],2,0)*5)</f>
        <v>53.65</v>
      </c>
      <c r="D546" s="1">
        <f>AVERAGE(VLOOKUP(Table7[[#This Row],[Student_ID]],student_skills[],3,0),VLOOKUP(Table7[[#This Row],[Student_ID]],student_skills[],4,0),VLOOKUP(Table7[[#This Row],[Student_ID]],student_skills[],5,0),VLOOKUP(Table7[[#This Row],[Student_ID]],student_skills[],6,0))</f>
        <v>6</v>
      </c>
      <c r="E546" s="1" t="str">
        <f>IF(VLOOKUP(Table7[[#This Row],[Student_ID]],student_internships[#All],2,0)&gt;1,"EXPERIENCED",IF(VLOOKUP(Table7[[#This Row],[Student_ID]],student_internships[#All],2,0)=1,"BEGINNER","NOT EXPERIENCED"))</f>
        <v>NOT EXPERIENCED</v>
      </c>
      <c r="F546" s="1">
        <f>VLOOKUP(Table7[[#This Row],[Student_ID]],student_data[],5,0)</f>
        <v>6.13</v>
      </c>
      <c r="G546" s="1">
        <f>VLOOKUP(Table7[[#This Row],[Student_ID]],student_data[#All],6,0)</f>
        <v>3</v>
      </c>
      <c r="H546" s="1">
        <f>VLOOKUP(Table7[[#This Row],[Student_ID]],student_internships[],2,0)</f>
        <v>0</v>
      </c>
      <c r="I546" s="1">
        <f>VLOOKUP(Table7[[#This Row],[Student_ID]],Placements!A546:E1545,5,0)</f>
        <v>9.34</v>
      </c>
      <c r="J546" s="1" t="str">
        <f>IF(VLOOKUP(Table7[[#This Row],[Student_ID]],student_data[#All],5,0)&gt;8,"HIGH",IF(VLOOKUP(Table7[[#This Row],[Student_ID]],student_data[#All],5,0)&lt;6.5,"LOW","MEDIUM"))</f>
        <v>LOW</v>
      </c>
    </row>
    <row r="547" spans="1:10" x14ac:dyDescent="0.2">
      <c r="A547" s="1" t="s">
        <v>556</v>
      </c>
      <c r="B547" s="1" t="str">
        <f>VLOOKUP(Table7[[#This Row],[Student_ID]],student_data[#All],2,0)</f>
        <v>Civil</v>
      </c>
      <c r="C547" s="1">
        <f>(VLOOKUP(Table7[[#This Row],[Student_ID]],student_data[],5,0)*5)+(VLOOKUP(Table7[[#This Row],[Student_ID]],student_data[],6,0)*3)+(VLOOKUP(Table7[[#This Row],[Student_ID]],student_skills[],6,0)*2)+(VLOOKUP(Table7[[#This Row],[Student_ID]],student_internships[],2,0)*5)</f>
        <v>83</v>
      </c>
      <c r="D547" s="1">
        <f>AVERAGE(VLOOKUP(Table7[[#This Row],[Student_ID]],student_skills[],3,0),VLOOKUP(Table7[[#This Row],[Student_ID]],student_skills[],4,0),VLOOKUP(Table7[[#This Row],[Student_ID]],student_skills[],5,0),VLOOKUP(Table7[[#This Row],[Student_ID]],student_skills[],6,0))</f>
        <v>6.25</v>
      </c>
      <c r="E547" s="1" t="str">
        <f>IF(VLOOKUP(Table7[[#This Row],[Student_ID]],student_internships[#All],2,0)&gt;1,"EXPERIENCED",IF(VLOOKUP(Table7[[#This Row],[Student_ID]],student_internships[#All],2,0)=1,"BEGINNER","NOT EXPERIENCED"))</f>
        <v>BEGINNER</v>
      </c>
      <c r="F547" s="1">
        <f>VLOOKUP(Table7[[#This Row],[Student_ID]],student_data[],5,0)</f>
        <v>9.4</v>
      </c>
      <c r="G547" s="1">
        <f>VLOOKUP(Table7[[#This Row],[Student_ID]],student_data[#All],6,0)</f>
        <v>5</v>
      </c>
      <c r="H547" s="1">
        <f>VLOOKUP(Table7[[#This Row],[Student_ID]],student_internships[],2,0)</f>
        <v>1</v>
      </c>
      <c r="I547" s="1">
        <f>VLOOKUP(Table7[[#This Row],[Student_ID]],Placements!A547:E1546,5,0)</f>
        <v>4.5999999999999996</v>
      </c>
      <c r="J547" s="1" t="str">
        <f>IF(VLOOKUP(Table7[[#This Row],[Student_ID]],student_data[#All],5,0)&gt;8,"HIGH",IF(VLOOKUP(Table7[[#This Row],[Student_ID]],student_data[#All],5,0)&lt;6.5,"LOW","MEDIUM"))</f>
        <v>HIGH</v>
      </c>
    </row>
    <row r="548" spans="1:10" x14ac:dyDescent="0.2">
      <c r="A548" s="1" t="s">
        <v>557</v>
      </c>
      <c r="B548" s="1" t="str">
        <f>VLOOKUP(Table7[[#This Row],[Student_ID]],student_data[#All],2,0)</f>
        <v>Computer Science</v>
      </c>
      <c r="C548" s="1">
        <f>(VLOOKUP(Table7[[#This Row],[Student_ID]],student_data[],5,0)*5)+(VLOOKUP(Table7[[#This Row],[Student_ID]],student_data[],6,0)*3)+(VLOOKUP(Table7[[#This Row],[Student_ID]],student_skills[],6,0)*2)+(VLOOKUP(Table7[[#This Row],[Student_ID]],student_internships[],2,0)*5)</f>
        <v>82.199999999999989</v>
      </c>
      <c r="D548" s="1">
        <f>AVERAGE(VLOOKUP(Table7[[#This Row],[Student_ID]],student_skills[],3,0),VLOOKUP(Table7[[#This Row],[Student_ID]],student_skills[],4,0),VLOOKUP(Table7[[#This Row],[Student_ID]],student_skills[],5,0),VLOOKUP(Table7[[#This Row],[Student_ID]],student_skills[],6,0))</f>
        <v>8.25</v>
      </c>
      <c r="E548" s="1" t="str">
        <f>IF(VLOOKUP(Table7[[#This Row],[Student_ID]],student_internships[#All],2,0)&gt;1,"EXPERIENCED",IF(VLOOKUP(Table7[[#This Row],[Student_ID]],student_internships[#All],2,0)=1,"BEGINNER","NOT EXPERIENCED"))</f>
        <v>BEGINNER</v>
      </c>
      <c r="F548" s="1">
        <f>VLOOKUP(Table7[[#This Row],[Student_ID]],student_data[],5,0)</f>
        <v>9.0399999999999991</v>
      </c>
      <c r="G548" s="1">
        <f>VLOOKUP(Table7[[#This Row],[Student_ID]],student_data[#All],6,0)</f>
        <v>4</v>
      </c>
      <c r="H548" s="1">
        <f>VLOOKUP(Table7[[#This Row],[Student_ID]],student_internships[],2,0)</f>
        <v>1</v>
      </c>
      <c r="I548" s="1">
        <f>VLOOKUP(Table7[[#This Row],[Student_ID]],Placements!A548:E1547,5,0)</f>
        <v>4.12</v>
      </c>
      <c r="J548" s="1" t="str">
        <f>IF(VLOOKUP(Table7[[#This Row],[Student_ID]],student_data[#All],5,0)&gt;8,"HIGH",IF(VLOOKUP(Table7[[#This Row],[Student_ID]],student_data[#All],5,0)&lt;6.5,"LOW","MEDIUM"))</f>
        <v>HIGH</v>
      </c>
    </row>
    <row r="549" spans="1:10" x14ac:dyDescent="0.2">
      <c r="A549" s="1" t="s">
        <v>558</v>
      </c>
      <c r="B549" s="1" t="str">
        <f>VLOOKUP(Table7[[#This Row],[Student_ID]],student_data[#All],2,0)</f>
        <v>Information Technology</v>
      </c>
      <c r="C549" s="1">
        <f>(VLOOKUP(Table7[[#This Row],[Student_ID]],student_data[],5,0)*5)+(VLOOKUP(Table7[[#This Row],[Student_ID]],student_data[],6,0)*3)+(VLOOKUP(Table7[[#This Row],[Student_ID]],student_skills[],6,0)*2)+(VLOOKUP(Table7[[#This Row],[Student_ID]],student_internships[],2,0)*5)</f>
        <v>77.95</v>
      </c>
      <c r="D549" s="1">
        <f>AVERAGE(VLOOKUP(Table7[[#This Row],[Student_ID]],student_skills[],3,0),VLOOKUP(Table7[[#This Row],[Student_ID]],student_skills[],4,0),VLOOKUP(Table7[[#This Row],[Student_ID]],student_skills[],5,0),VLOOKUP(Table7[[#This Row],[Student_ID]],student_skills[],6,0))</f>
        <v>6.25</v>
      </c>
      <c r="E549" s="1" t="str">
        <f>IF(VLOOKUP(Table7[[#This Row],[Student_ID]],student_internships[#All],2,0)&gt;1,"EXPERIENCED",IF(VLOOKUP(Table7[[#This Row],[Student_ID]],student_internships[#All],2,0)=1,"BEGINNER","NOT EXPERIENCED"))</f>
        <v>BEGINNER</v>
      </c>
      <c r="F549" s="1">
        <f>VLOOKUP(Table7[[#This Row],[Student_ID]],student_data[],5,0)</f>
        <v>8.39</v>
      </c>
      <c r="G549" s="1">
        <f>VLOOKUP(Table7[[#This Row],[Student_ID]],student_data[#All],6,0)</f>
        <v>5</v>
      </c>
      <c r="H549" s="1">
        <f>VLOOKUP(Table7[[#This Row],[Student_ID]],student_internships[],2,0)</f>
        <v>1</v>
      </c>
      <c r="I549" s="1">
        <f>VLOOKUP(Table7[[#This Row],[Student_ID]],Placements!A549:E1548,5,0)</f>
        <v>5.13</v>
      </c>
      <c r="J549" s="1" t="str">
        <f>IF(VLOOKUP(Table7[[#This Row],[Student_ID]],student_data[#All],5,0)&gt;8,"HIGH",IF(VLOOKUP(Table7[[#This Row],[Student_ID]],student_data[#All],5,0)&lt;6.5,"LOW","MEDIUM"))</f>
        <v>HIGH</v>
      </c>
    </row>
    <row r="550" spans="1:10" x14ac:dyDescent="0.2">
      <c r="A550" s="1" t="s">
        <v>559</v>
      </c>
      <c r="B550" s="1" t="str">
        <f>VLOOKUP(Table7[[#This Row],[Student_ID]],student_data[#All],2,0)</f>
        <v>Information Technology</v>
      </c>
      <c r="C550" s="1">
        <f>(VLOOKUP(Table7[[#This Row],[Student_ID]],student_data[],5,0)*5)+(VLOOKUP(Table7[[#This Row],[Student_ID]],student_data[],6,0)*3)+(VLOOKUP(Table7[[#This Row],[Student_ID]],student_skills[],6,0)*2)+(VLOOKUP(Table7[[#This Row],[Student_ID]],student_internships[],2,0)*5)</f>
        <v>51.650000000000006</v>
      </c>
      <c r="D550" s="1">
        <f>AVERAGE(VLOOKUP(Table7[[#This Row],[Student_ID]],student_skills[],3,0),VLOOKUP(Table7[[#This Row],[Student_ID]],student_skills[],4,0),VLOOKUP(Table7[[#This Row],[Student_ID]],student_skills[],5,0),VLOOKUP(Table7[[#This Row],[Student_ID]],student_skills[],6,0))</f>
        <v>5.5</v>
      </c>
      <c r="E550" s="1" t="str">
        <f>IF(VLOOKUP(Table7[[#This Row],[Student_ID]],student_internships[#All],2,0)&gt;1,"EXPERIENCED",IF(VLOOKUP(Table7[[#This Row],[Student_ID]],student_internships[#All],2,0)=1,"BEGINNER","NOT EXPERIENCED"))</f>
        <v>NOT EXPERIENCED</v>
      </c>
      <c r="F550" s="1">
        <f>VLOOKUP(Table7[[#This Row],[Student_ID]],student_data[],5,0)</f>
        <v>8.1300000000000008</v>
      </c>
      <c r="G550" s="1">
        <f>VLOOKUP(Table7[[#This Row],[Student_ID]],student_data[#All],6,0)</f>
        <v>1</v>
      </c>
      <c r="H550" s="1">
        <f>VLOOKUP(Table7[[#This Row],[Student_ID]],student_internships[],2,0)</f>
        <v>0</v>
      </c>
      <c r="I550" s="1">
        <f>VLOOKUP(Table7[[#This Row],[Student_ID]],Placements!A550:E1549,5,0)</f>
        <v>9.25</v>
      </c>
      <c r="J550" s="1" t="str">
        <f>IF(VLOOKUP(Table7[[#This Row],[Student_ID]],student_data[#All],5,0)&gt;8,"HIGH",IF(VLOOKUP(Table7[[#This Row],[Student_ID]],student_data[#All],5,0)&lt;6.5,"LOW","MEDIUM"))</f>
        <v>HIGH</v>
      </c>
    </row>
    <row r="551" spans="1:10" x14ac:dyDescent="0.2">
      <c r="A551" s="1" t="s">
        <v>560</v>
      </c>
      <c r="B551" s="1" t="str">
        <f>VLOOKUP(Table7[[#This Row],[Student_ID]],student_data[#All],2,0)</f>
        <v>Electronics</v>
      </c>
      <c r="C551" s="1">
        <f>(VLOOKUP(Table7[[#This Row],[Student_ID]],student_data[],5,0)*5)+(VLOOKUP(Table7[[#This Row],[Student_ID]],student_data[],6,0)*3)+(VLOOKUP(Table7[[#This Row],[Student_ID]],student_skills[],6,0)*2)+(VLOOKUP(Table7[[#This Row],[Student_ID]],student_internships[],2,0)*5)</f>
        <v>39.9</v>
      </c>
      <c r="D551" s="1">
        <f>AVERAGE(VLOOKUP(Table7[[#This Row],[Student_ID]],student_skills[],3,0),VLOOKUP(Table7[[#This Row],[Student_ID]],student_skills[],4,0),VLOOKUP(Table7[[#This Row],[Student_ID]],student_skills[],5,0),VLOOKUP(Table7[[#This Row],[Student_ID]],student_skills[],6,0))</f>
        <v>4</v>
      </c>
      <c r="E551" s="1" t="str">
        <f>IF(VLOOKUP(Table7[[#This Row],[Student_ID]],student_internships[#All],2,0)&gt;1,"EXPERIENCED",IF(VLOOKUP(Table7[[#This Row],[Student_ID]],student_internships[#All],2,0)=1,"BEGINNER","NOT EXPERIENCED"))</f>
        <v>BEGINNER</v>
      </c>
      <c r="F551" s="1">
        <f>VLOOKUP(Table7[[#This Row],[Student_ID]],student_data[],5,0)</f>
        <v>6.58</v>
      </c>
      <c r="G551" s="1">
        <f>VLOOKUP(Table7[[#This Row],[Student_ID]],student_data[#All],6,0)</f>
        <v>0</v>
      </c>
      <c r="H551" s="1">
        <f>VLOOKUP(Table7[[#This Row],[Student_ID]],student_internships[],2,0)</f>
        <v>1</v>
      </c>
      <c r="I551" s="1">
        <f>VLOOKUP(Table7[[#This Row],[Student_ID]],Placements!A551:E1550,5,0)</f>
        <v>0</v>
      </c>
      <c r="J551" s="1" t="str">
        <f>IF(VLOOKUP(Table7[[#This Row],[Student_ID]],student_data[#All],5,0)&gt;8,"HIGH",IF(VLOOKUP(Table7[[#This Row],[Student_ID]],student_data[#All],5,0)&lt;6.5,"LOW","MEDIUM"))</f>
        <v>MEDIUM</v>
      </c>
    </row>
    <row r="552" spans="1:10" x14ac:dyDescent="0.2">
      <c r="A552" s="1" t="s">
        <v>561</v>
      </c>
      <c r="B552" s="1" t="str">
        <f>VLOOKUP(Table7[[#This Row],[Student_ID]],student_data[#All],2,0)</f>
        <v>Computer Science</v>
      </c>
      <c r="C552" s="1">
        <f>(VLOOKUP(Table7[[#This Row],[Student_ID]],student_data[],5,0)*5)+(VLOOKUP(Table7[[#This Row],[Student_ID]],student_data[],6,0)*3)+(VLOOKUP(Table7[[#This Row],[Student_ID]],student_skills[],6,0)*2)+(VLOOKUP(Table7[[#This Row],[Student_ID]],student_internships[],2,0)*5)</f>
        <v>64.400000000000006</v>
      </c>
      <c r="D552" s="1">
        <f>AVERAGE(VLOOKUP(Table7[[#This Row],[Student_ID]],student_skills[],3,0),VLOOKUP(Table7[[#This Row],[Student_ID]],student_skills[],4,0),VLOOKUP(Table7[[#This Row],[Student_ID]],student_skills[],5,0),VLOOKUP(Table7[[#This Row],[Student_ID]],student_skills[],6,0))</f>
        <v>4.75</v>
      </c>
      <c r="E552" s="1" t="str">
        <f>IF(VLOOKUP(Table7[[#This Row],[Student_ID]],student_internships[#All],2,0)&gt;1,"EXPERIENCED",IF(VLOOKUP(Table7[[#This Row],[Student_ID]],student_internships[#All],2,0)=1,"BEGINNER","NOT EXPERIENCED"))</f>
        <v>BEGINNER</v>
      </c>
      <c r="F552" s="1">
        <f>VLOOKUP(Table7[[#This Row],[Student_ID]],student_data[],5,0)</f>
        <v>9.08</v>
      </c>
      <c r="G552" s="1">
        <f>VLOOKUP(Table7[[#This Row],[Student_ID]],student_data[#All],6,0)</f>
        <v>0</v>
      </c>
      <c r="H552" s="1">
        <f>VLOOKUP(Table7[[#This Row],[Student_ID]],student_internships[],2,0)</f>
        <v>1</v>
      </c>
      <c r="I552" s="1">
        <f>VLOOKUP(Table7[[#This Row],[Student_ID]],Placements!A552:E1551,5,0)</f>
        <v>3.87</v>
      </c>
      <c r="J552" s="1" t="str">
        <f>IF(VLOOKUP(Table7[[#This Row],[Student_ID]],student_data[#All],5,0)&gt;8,"HIGH",IF(VLOOKUP(Table7[[#This Row],[Student_ID]],student_data[#All],5,0)&lt;6.5,"LOW","MEDIUM"))</f>
        <v>HIGH</v>
      </c>
    </row>
    <row r="553" spans="1:10" x14ac:dyDescent="0.2">
      <c r="A553" s="1" t="s">
        <v>562</v>
      </c>
      <c r="B553" s="1" t="str">
        <f>VLOOKUP(Table7[[#This Row],[Student_ID]],student_data[#All],2,0)</f>
        <v>Electronics</v>
      </c>
      <c r="C553" s="1">
        <f>(VLOOKUP(Table7[[#This Row],[Student_ID]],student_data[],5,0)*5)+(VLOOKUP(Table7[[#This Row],[Student_ID]],student_data[],6,0)*3)+(VLOOKUP(Table7[[#This Row],[Student_ID]],student_skills[],6,0)*2)+(VLOOKUP(Table7[[#This Row],[Student_ID]],student_internships[],2,0)*5)</f>
        <v>52.55</v>
      </c>
      <c r="D553" s="1">
        <f>AVERAGE(VLOOKUP(Table7[[#This Row],[Student_ID]],student_skills[],3,0),VLOOKUP(Table7[[#This Row],[Student_ID]],student_skills[],4,0),VLOOKUP(Table7[[#This Row],[Student_ID]],student_skills[],5,0),VLOOKUP(Table7[[#This Row],[Student_ID]],student_skills[],6,0))</f>
        <v>2.5</v>
      </c>
      <c r="E553" s="1" t="str">
        <f>IF(VLOOKUP(Table7[[#This Row],[Student_ID]],student_internships[#All],2,0)&gt;1,"EXPERIENCED",IF(VLOOKUP(Table7[[#This Row],[Student_ID]],student_internships[#All],2,0)=1,"BEGINNER","NOT EXPERIENCED"))</f>
        <v>EXPERIENCED</v>
      </c>
      <c r="F553" s="1">
        <f>VLOOKUP(Table7[[#This Row],[Student_ID]],student_data[],5,0)</f>
        <v>7.51</v>
      </c>
      <c r="G553" s="1">
        <f>VLOOKUP(Table7[[#This Row],[Student_ID]],student_data[#All],6,0)</f>
        <v>1</v>
      </c>
      <c r="H553" s="1">
        <f>VLOOKUP(Table7[[#This Row],[Student_ID]],student_internships[],2,0)</f>
        <v>2</v>
      </c>
      <c r="I553" s="1">
        <f>VLOOKUP(Table7[[#This Row],[Student_ID]],Placements!A553:E1552,5,0)</f>
        <v>4.2</v>
      </c>
      <c r="J553" s="1" t="str">
        <f>IF(VLOOKUP(Table7[[#This Row],[Student_ID]],student_data[#All],5,0)&gt;8,"HIGH",IF(VLOOKUP(Table7[[#This Row],[Student_ID]],student_data[#All],5,0)&lt;6.5,"LOW","MEDIUM"))</f>
        <v>MEDIUM</v>
      </c>
    </row>
    <row r="554" spans="1:10" x14ac:dyDescent="0.2">
      <c r="A554" s="1" t="s">
        <v>563</v>
      </c>
      <c r="B554" s="1" t="str">
        <f>VLOOKUP(Table7[[#This Row],[Student_ID]],student_data[#All],2,0)</f>
        <v>Mechanical</v>
      </c>
      <c r="C554" s="1">
        <f>(VLOOKUP(Table7[[#This Row],[Student_ID]],student_data[],5,0)*5)+(VLOOKUP(Table7[[#This Row],[Student_ID]],student_data[],6,0)*3)+(VLOOKUP(Table7[[#This Row],[Student_ID]],student_skills[],6,0)*2)+(VLOOKUP(Table7[[#This Row],[Student_ID]],student_internships[],2,0)*5)</f>
        <v>42.75</v>
      </c>
      <c r="D554" s="1">
        <f>AVERAGE(VLOOKUP(Table7[[#This Row],[Student_ID]],student_skills[],3,0),VLOOKUP(Table7[[#This Row],[Student_ID]],student_skills[],4,0),VLOOKUP(Table7[[#This Row],[Student_ID]],student_skills[],5,0),VLOOKUP(Table7[[#This Row],[Student_ID]],student_skills[],6,0))</f>
        <v>4.5</v>
      </c>
      <c r="E554" s="1" t="str">
        <f>IF(VLOOKUP(Table7[[#This Row],[Student_ID]],student_internships[#All],2,0)&gt;1,"EXPERIENCED",IF(VLOOKUP(Table7[[#This Row],[Student_ID]],student_internships[#All],2,0)=1,"BEGINNER","NOT EXPERIENCED"))</f>
        <v>BEGINNER</v>
      </c>
      <c r="F554" s="1">
        <f>VLOOKUP(Table7[[#This Row],[Student_ID]],student_data[],5,0)</f>
        <v>5.35</v>
      </c>
      <c r="G554" s="1">
        <f>VLOOKUP(Table7[[#This Row],[Student_ID]],student_data[#All],6,0)</f>
        <v>1</v>
      </c>
      <c r="H554" s="1">
        <f>VLOOKUP(Table7[[#This Row],[Student_ID]],student_internships[],2,0)</f>
        <v>1</v>
      </c>
      <c r="I554" s="1">
        <f>VLOOKUP(Table7[[#This Row],[Student_ID]],Placements!A554:E1553,5,0)</f>
        <v>4.68</v>
      </c>
      <c r="J554" s="1" t="str">
        <f>IF(VLOOKUP(Table7[[#This Row],[Student_ID]],student_data[#All],5,0)&gt;8,"HIGH",IF(VLOOKUP(Table7[[#This Row],[Student_ID]],student_data[#All],5,0)&lt;6.5,"LOW","MEDIUM"))</f>
        <v>LOW</v>
      </c>
    </row>
    <row r="555" spans="1:10" x14ac:dyDescent="0.2">
      <c r="A555" s="1" t="s">
        <v>564</v>
      </c>
      <c r="B555" s="1" t="str">
        <f>VLOOKUP(Table7[[#This Row],[Student_ID]],student_data[#All],2,0)</f>
        <v>Electronics</v>
      </c>
      <c r="C555" s="1">
        <f>(VLOOKUP(Table7[[#This Row],[Student_ID]],student_data[],5,0)*5)+(VLOOKUP(Table7[[#This Row],[Student_ID]],student_data[],6,0)*3)+(VLOOKUP(Table7[[#This Row],[Student_ID]],student_skills[],6,0)*2)+(VLOOKUP(Table7[[#This Row],[Student_ID]],student_internships[],2,0)*5)</f>
        <v>70.8</v>
      </c>
      <c r="D555" s="1">
        <f>AVERAGE(VLOOKUP(Table7[[#This Row],[Student_ID]],student_skills[],3,0),VLOOKUP(Table7[[#This Row],[Student_ID]],student_skills[],4,0),VLOOKUP(Table7[[#This Row],[Student_ID]],student_skills[],5,0),VLOOKUP(Table7[[#This Row],[Student_ID]],student_skills[],6,0))</f>
        <v>6.75</v>
      </c>
      <c r="E555" s="1" t="str">
        <f>IF(VLOOKUP(Table7[[#This Row],[Student_ID]],student_internships[#All],2,0)&gt;1,"EXPERIENCED",IF(VLOOKUP(Table7[[#This Row],[Student_ID]],student_internships[#All],2,0)=1,"BEGINNER","NOT EXPERIENCED"))</f>
        <v>EXPERIENCED</v>
      </c>
      <c r="F555" s="1">
        <f>VLOOKUP(Table7[[#This Row],[Student_ID]],student_data[],5,0)</f>
        <v>6.56</v>
      </c>
      <c r="G555" s="1">
        <f>VLOOKUP(Table7[[#This Row],[Student_ID]],student_data[#All],6,0)</f>
        <v>4</v>
      </c>
      <c r="H555" s="1">
        <f>VLOOKUP(Table7[[#This Row],[Student_ID]],student_internships[],2,0)</f>
        <v>2</v>
      </c>
      <c r="I555" s="1">
        <f>VLOOKUP(Table7[[#This Row],[Student_ID]],Placements!A555:E1554,5,0)</f>
        <v>0</v>
      </c>
      <c r="J555" s="1" t="str">
        <f>IF(VLOOKUP(Table7[[#This Row],[Student_ID]],student_data[#All],5,0)&gt;8,"HIGH",IF(VLOOKUP(Table7[[#This Row],[Student_ID]],student_data[#All],5,0)&lt;6.5,"LOW","MEDIUM"))</f>
        <v>MEDIUM</v>
      </c>
    </row>
    <row r="556" spans="1:10" x14ac:dyDescent="0.2">
      <c r="A556" s="1" t="s">
        <v>565</v>
      </c>
      <c r="B556" s="1" t="str">
        <f>VLOOKUP(Table7[[#This Row],[Student_ID]],student_data[#All],2,0)</f>
        <v>Electronics</v>
      </c>
      <c r="C556" s="1">
        <f>(VLOOKUP(Table7[[#This Row],[Student_ID]],student_data[],5,0)*5)+(VLOOKUP(Table7[[#This Row],[Student_ID]],student_data[],6,0)*3)+(VLOOKUP(Table7[[#This Row],[Student_ID]],student_skills[],6,0)*2)+(VLOOKUP(Table7[[#This Row],[Student_ID]],student_internships[],2,0)*5)</f>
        <v>60.4</v>
      </c>
      <c r="D556" s="1">
        <f>AVERAGE(VLOOKUP(Table7[[#This Row],[Student_ID]],student_skills[],3,0),VLOOKUP(Table7[[#This Row],[Student_ID]],student_skills[],4,0),VLOOKUP(Table7[[#This Row],[Student_ID]],student_skills[],5,0),VLOOKUP(Table7[[#This Row],[Student_ID]],student_skills[],6,0))</f>
        <v>4.5</v>
      </c>
      <c r="E556" s="1" t="str">
        <f>IF(VLOOKUP(Table7[[#This Row],[Student_ID]],student_internships[#All],2,0)&gt;1,"EXPERIENCED",IF(VLOOKUP(Table7[[#This Row],[Student_ID]],student_internships[#All],2,0)=1,"BEGINNER","NOT EXPERIENCED"))</f>
        <v>BEGINNER</v>
      </c>
      <c r="F556" s="1">
        <f>VLOOKUP(Table7[[#This Row],[Student_ID]],student_data[],5,0)</f>
        <v>9.68</v>
      </c>
      <c r="G556" s="1">
        <f>VLOOKUP(Table7[[#This Row],[Student_ID]],student_data[#All],6,0)</f>
        <v>1</v>
      </c>
      <c r="H556" s="1">
        <f>VLOOKUP(Table7[[#This Row],[Student_ID]],student_internships[],2,0)</f>
        <v>1</v>
      </c>
      <c r="I556" s="1">
        <f>VLOOKUP(Table7[[#This Row],[Student_ID]],Placements!A556:E1555,5,0)</f>
        <v>5.14</v>
      </c>
      <c r="J556" s="1" t="str">
        <f>IF(VLOOKUP(Table7[[#This Row],[Student_ID]],student_data[#All],5,0)&gt;8,"HIGH",IF(VLOOKUP(Table7[[#This Row],[Student_ID]],student_data[#All],5,0)&lt;6.5,"LOW","MEDIUM"))</f>
        <v>HIGH</v>
      </c>
    </row>
    <row r="557" spans="1:10" x14ac:dyDescent="0.2">
      <c r="A557" s="1" t="s">
        <v>566</v>
      </c>
      <c r="B557" s="1" t="str">
        <f>VLOOKUP(Table7[[#This Row],[Student_ID]],student_data[#All],2,0)</f>
        <v>Information Technology</v>
      </c>
      <c r="C557" s="1">
        <f>(VLOOKUP(Table7[[#This Row],[Student_ID]],student_data[],5,0)*5)+(VLOOKUP(Table7[[#This Row],[Student_ID]],student_data[],6,0)*3)+(VLOOKUP(Table7[[#This Row],[Student_ID]],student_skills[],6,0)*2)+(VLOOKUP(Table7[[#This Row],[Student_ID]],student_internships[],2,0)*5)</f>
        <v>72.25</v>
      </c>
      <c r="D557" s="1">
        <f>AVERAGE(VLOOKUP(Table7[[#This Row],[Student_ID]],student_skills[],3,0),VLOOKUP(Table7[[#This Row],[Student_ID]],student_skills[],4,0),VLOOKUP(Table7[[#This Row],[Student_ID]],student_skills[],5,0),VLOOKUP(Table7[[#This Row],[Student_ID]],student_skills[],6,0))</f>
        <v>4.25</v>
      </c>
      <c r="E557" s="1" t="str">
        <f>IF(VLOOKUP(Table7[[#This Row],[Student_ID]],student_internships[#All],2,0)&gt;1,"EXPERIENCED",IF(VLOOKUP(Table7[[#This Row],[Student_ID]],student_internships[#All],2,0)=1,"BEGINNER","NOT EXPERIENCED"))</f>
        <v>BEGINNER</v>
      </c>
      <c r="F557" s="1">
        <f>VLOOKUP(Table7[[#This Row],[Student_ID]],student_data[],5,0)</f>
        <v>9.25</v>
      </c>
      <c r="G557" s="1">
        <f>VLOOKUP(Table7[[#This Row],[Student_ID]],student_data[#All],6,0)</f>
        <v>3</v>
      </c>
      <c r="H557" s="1">
        <f>VLOOKUP(Table7[[#This Row],[Student_ID]],student_internships[],2,0)</f>
        <v>1</v>
      </c>
      <c r="I557" s="1">
        <f>VLOOKUP(Table7[[#This Row],[Student_ID]],Placements!A557:E1556,5,0)</f>
        <v>0</v>
      </c>
      <c r="J557" s="1" t="str">
        <f>IF(VLOOKUP(Table7[[#This Row],[Student_ID]],student_data[#All],5,0)&gt;8,"HIGH",IF(VLOOKUP(Table7[[#This Row],[Student_ID]],student_data[#All],5,0)&lt;6.5,"LOW","MEDIUM"))</f>
        <v>HIGH</v>
      </c>
    </row>
    <row r="558" spans="1:10" x14ac:dyDescent="0.2">
      <c r="A558" s="1" t="s">
        <v>567</v>
      </c>
      <c r="B558" s="1" t="str">
        <f>VLOOKUP(Table7[[#This Row],[Student_ID]],student_data[#All],2,0)</f>
        <v>Information Technology</v>
      </c>
      <c r="C558" s="1">
        <f>(VLOOKUP(Table7[[#This Row],[Student_ID]],student_data[],5,0)*5)+(VLOOKUP(Table7[[#This Row],[Student_ID]],student_data[],6,0)*3)+(VLOOKUP(Table7[[#This Row],[Student_ID]],student_skills[],6,0)*2)+(VLOOKUP(Table7[[#This Row],[Student_ID]],student_internships[],2,0)*5)</f>
        <v>86.55</v>
      </c>
      <c r="D558" s="1">
        <f>AVERAGE(VLOOKUP(Table7[[#This Row],[Student_ID]],student_skills[],3,0),VLOOKUP(Table7[[#This Row],[Student_ID]],student_skills[],4,0),VLOOKUP(Table7[[#This Row],[Student_ID]],student_skills[],5,0),VLOOKUP(Table7[[#This Row],[Student_ID]],student_skills[],6,0))</f>
        <v>4.75</v>
      </c>
      <c r="E558" s="1" t="str">
        <f>IF(VLOOKUP(Table7[[#This Row],[Student_ID]],student_internships[#All],2,0)&gt;1,"EXPERIENCED",IF(VLOOKUP(Table7[[#This Row],[Student_ID]],student_internships[#All],2,0)=1,"BEGINNER","NOT EXPERIENCED"))</f>
        <v>EXPERIENCED</v>
      </c>
      <c r="F558" s="1">
        <f>VLOOKUP(Table7[[#This Row],[Student_ID]],student_data[],5,0)</f>
        <v>9.91</v>
      </c>
      <c r="G558" s="1">
        <f>VLOOKUP(Table7[[#This Row],[Student_ID]],student_data[#All],6,0)</f>
        <v>5</v>
      </c>
      <c r="H558" s="1">
        <f>VLOOKUP(Table7[[#This Row],[Student_ID]],student_internships[],2,0)</f>
        <v>2</v>
      </c>
      <c r="I558" s="1">
        <f>VLOOKUP(Table7[[#This Row],[Student_ID]],Placements!A558:E1557,5,0)</f>
        <v>0</v>
      </c>
      <c r="J558" s="1" t="str">
        <f>IF(VLOOKUP(Table7[[#This Row],[Student_ID]],student_data[#All],5,0)&gt;8,"HIGH",IF(VLOOKUP(Table7[[#This Row],[Student_ID]],student_data[#All],5,0)&lt;6.5,"LOW","MEDIUM"))</f>
        <v>HIGH</v>
      </c>
    </row>
    <row r="559" spans="1:10" x14ac:dyDescent="0.2">
      <c r="A559" s="1" t="s">
        <v>568</v>
      </c>
      <c r="B559" s="1" t="str">
        <f>VLOOKUP(Table7[[#This Row],[Student_ID]],student_data[#All],2,0)</f>
        <v>Information Technology</v>
      </c>
      <c r="C559" s="1">
        <f>(VLOOKUP(Table7[[#This Row],[Student_ID]],student_data[],5,0)*5)+(VLOOKUP(Table7[[#This Row],[Student_ID]],student_data[],6,0)*3)+(VLOOKUP(Table7[[#This Row],[Student_ID]],student_skills[],6,0)*2)+(VLOOKUP(Table7[[#This Row],[Student_ID]],student_internships[],2,0)*5)</f>
        <v>78.7</v>
      </c>
      <c r="D559" s="1">
        <f>AVERAGE(VLOOKUP(Table7[[#This Row],[Student_ID]],student_skills[],3,0),VLOOKUP(Table7[[#This Row],[Student_ID]],student_skills[],4,0),VLOOKUP(Table7[[#This Row],[Student_ID]],student_skills[],5,0),VLOOKUP(Table7[[#This Row],[Student_ID]],student_skills[],6,0))</f>
        <v>5.5</v>
      </c>
      <c r="E559" s="1" t="str">
        <f>IF(VLOOKUP(Table7[[#This Row],[Student_ID]],student_internships[#All],2,0)&gt;1,"EXPERIENCED",IF(VLOOKUP(Table7[[#This Row],[Student_ID]],student_internships[#All],2,0)=1,"BEGINNER","NOT EXPERIENCED"))</f>
        <v>BEGINNER</v>
      </c>
      <c r="F559" s="1">
        <f>VLOOKUP(Table7[[#This Row],[Student_ID]],student_data[],5,0)</f>
        <v>8.14</v>
      </c>
      <c r="G559" s="1">
        <f>VLOOKUP(Table7[[#This Row],[Student_ID]],student_data[#All],6,0)</f>
        <v>5</v>
      </c>
      <c r="H559" s="1">
        <f>VLOOKUP(Table7[[#This Row],[Student_ID]],student_internships[],2,0)</f>
        <v>1</v>
      </c>
      <c r="I559" s="1">
        <f>VLOOKUP(Table7[[#This Row],[Student_ID]],Placements!A559:E1558,5,0)</f>
        <v>4.1900000000000004</v>
      </c>
      <c r="J559" s="1" t="str">
        <f>IF(VLOOKUP(Table7[[#This Row],[Student_ID]],student_data[#All],5,0)&gt;8,"HIGH",IF(VLOOKUP(Table7[[#This Row],[Student_ID]],student_data[#All],5,0)&lt;6.5,"LOW","MEDIUM"))</f>
        <v>HIGH</v>
      </c>
    </row>
    <row r="560" spans="1:10" x14ac:dyDescent="0.2">
      <c r="A560" s="1" t="s">
        <v>569</v>
      </c>
      <c r="B560" s="1" t="str">
        <f>VLOOKUP(Table7[[#This Row],[Student_ID]],student_data[#All],2,0)</f>
        <v>Mechanical</v>
      </c>
      <c r="C560" s="1">
        <f>(VLOOKUP(Table7[[#This Row],[Student_ID]],student_data[],5,0)*5)+(VLOOKUP(Table7[[#This Row],[Student_ID]],student_data[],6,0)*3)+(VLOOKUP(Table7[[#This Row],[Student_ID]],student_skills[],6,0)*2)+(VLOOKUP(Table7[[#This Row],[Student_ID]],student_internships[],2,0)*5)</f>
        <v>47.2</v>
      </c>
      <c r="D560" s="1">
        <f>AVERAGE(VLOOKUP(Table7[[#This Row],[Student_ID]],student_skills[],3,0),VLOOKUP(Table7[[#This Row],[Student_ID]],student_skills[],4,0),VLOOKUP(Table7[[#This Row],[Student_ID]],student_skills[],5,0),VLOOKUP(Table7[[#This Row],[Student_ID]],student_skills[],6,0))</f>
        <v>5.5</v>
      </c>
      <c r="E560" s="1" t="str">
        <f>IF(VLOOKUP(Table7[[#This Row],[Student_ID]],student_internships[#All],2,0)&gt;1,"EXPERIENCED",IF(VLOOKUP(Table7[[#This Row],[Student_ID]],student_internships[#All],2,0)=1,"BEGINNER","NOT EXPERIENCED"))</f>
        <v>NOT EXPERIENCED</v>
      </c>
      <c r="F560" s="1">
        <f>VLOOKUP(Table7[[#This Row],[Student_ID]],student_data[],5,0)</f>
        <v>6.24</v>
      </c>
      <c r="G560" s="1">
        <f>VLOOKUP(Table7[[#This Row],[Student_ID]],student_data[#All],6,0)</f>
        <v>2</v>
      </c>
      <c r="H560" s="1">
        <f>VLOOKUP(Table7[[#This Row],[Student_ID]],student_internships[],2,0)</f>
        <v>0</v>
      </c>
      <c r="I560" s="1">
        <f>VLOOKUP(Table7[[#This Row],[Student_ID]],Placements!A560:E1559,5,0)</f>
        <v>3.99</v>
      </c>
      <c r="J560" s="1" t="str">
        <f>IF(VLOOKUP(Table7[[#This Row],[Student_ID]],student_data[#All],5,0)&gt;8,"HIGH",IF(VLOOKUP(Table7[[#This Row],[Student_ID]],student_data[#All],5,0)&lt;6.5,"LOW","MEDIUM"))</f>
        <v>LOW</v>
      </c>
    </row>
    <row r="561" spans="1:10" x14ac:dyDescent="0.2">
      <c r="A561" s="1" t="s">
        <v>570</v>
      </c>
      <c r="B561" s="1" t="str">
        <f>VLOOKUP(Table7[[#This Row],[Student_ID]],student_data[#All],2,0)</f>
        <v>Information Technology</v>
      </c>
      <c r="C561" s="1">
        <f>(VLOOKUP(Table7[[#This Row],[Student_ID]],student_data[],5,0)*5)+(VLOOKUP(Table7[[#This Row],[Student_ID]],student_data[],6,0)*3)+(VLOOKUP(Table7[[#This Row],[Student_ID]],student_skills[],6,0)*2)+(VLOOKUP(Table7[[#This Row],[Student_ID]],student_internships[],2,0)*5)</f>
        <v>52.05</v>
      </c>
      <c r="D561" s="1">
        <f>AVERAGE(VLOOKUP(Table7[[#This Row],[Student_ID]],student_skills[],3,0),VLOOKUP(Table7[[#This Row],[Student_ID]],student_skills[],4,0),VLOOKUP(Table7[[#This Row],[Student_ID]],student_skills[],5,0),VLOOKUP(Table7[[#This Row],[Student_ID]],student_skills[],6,0))</f>
        <v>7.5</v>
      </c>
      <c r="E561" s="1" t="str">
        <f>IF(VLOOKUP(Table7[[#This Row],[Student_ID]],student_internships[#All],2,0)&gt;1,"EXPERIENCED",IF(VLOOKUP(Table7[[#This Row],[Student_ID]],student_internships[#All],2,0)=1,"BEGINNER","NOT EXPERIENCED"))</f>
        <v>NOT EXPERIENCED</v>
      </c>
      <c r="F561" s="1">
        <f>VLOOKUP(Table7[[#This Row],[Student_ID]],student_data[],5,0)</f>
        <v>5.81</v>
      </c>
      <c r="G561" s="1">
        <f>VLOOKUP(Table7[[#This Row],[Student_ID]],student_data[#All],6,0)</f>
        <v>1</v>
      </c>
      <c r="H561" s="1">
        <f>VLOOKUP(Table7[[#This Row],[Student_ID]],student_internships[],2,0)</f>
        <v>0</v>
      </c>
      <c r="I561" s="1">
        <f>VLOOKUP(Table7[[#This Row],[Student_ID]],Placements!A561:E1560,5,0)</f>
        <v>5.15</v>
      </c>
      <c r="J561" s="1" t="str">
        <f>IF(VLOOKUP(Table7[[#This Row],[Student_ID]],student_data[#All],5,0)&gt;8,"HIGH",IF(VLOOKUP(Table7[[#This Row],[Student_ID]],student_data[#All],5,0)&lt;6.5,"LOW","MEDIUM"))</f>
        <v>LOW</v>
      </c>
    </row>
    <row r="562" spans="1:10" x14ac:dyDescent="0.2">
      <c r="A562" s="1" t="s">
        <v>571</v>
      </c>
      <c r="B562" s="1" t="str">
        <f>VLOOKUP(Table7[[#This Row],[Student_ID]],student_data[#All],2,0)</f>
        <v>Computer Science</v>
      </c>
      <c r="C562" s="1">
        <f>(VLOOKUP(Table7[[#This Row],[Student_ID]],student_data[],5,0)*5)+(VLOOKUP(Table7[[#This Row],[Student_ID]],student_data[],6,0)*3)+(VLOOKUP(Table7[[#This Row],[Student_ID]],student_skills[],6,0)*2)+(VLOOKUP(Table7[[#This Row],[Student_ID]],student_internships[],2,0)*5)</f>
        <v>50.65</v>
      </c>
      <c r="D562" s="1">
        <f>AVERAGE(VLOOKUP(Table7[[#This Row],[Student_ID]],student_skills[],3,0),VLOOKUP(Table7[[#This Row],[Student_ID]],student_skills[],4,0),VLOOKUP(Table7[[#This Row],[Student_ID]],student_skills[],5,0),VLOOKUP(Table7[[#This Row],[Student_ID]],student_skills[],6,0))</f>
        <v>6.25</v>
      </c>
      <c r="E562" s="1" t="str">
        <f>IF(VLOOKUP(Table7[[#This Row],[Student_ID]],student_internships[#All],2,0)&gt;1,"EXPERIENCED",IF(VLOOKUP(Table7[[#This Row],[Student_ID]],student_internships[#All],2,0)=1,"BEGINNER","NOT EXPERIENCED"))</f>
        <v>EXPERIENCED</v>
      </c>
      <c r="F562" s="1">
        <f>VLOOKUP(Table7[[#This Row],[Student_ID]],student_data[],5,0)</f>
        <v>5.93</v>
      </c>
      <c r="G562" s="1">
        <f>VLOOKUP(Table7[[#This Row],[Student_ID]],student_data[#All],6,0)</f>
        <v>1</v>
      </c>
      <c r="H562" s="1">
        <f>VLOOKUP(Table7[[#This Row],[Student_ID]],student_internships[],2,0)</f>
        <v>2</v>
      </c>
      <c r="I562" s="1">
        <f>VLOOKUP(Table7[[#This Row],[Student_ID]],Placements!A562:E1561,5,0)</f>
        <v>3.92</v>
      </c>
      <c r="J562" s="1" t="str">
        <f>IF(VLOOKUP(Table7[[#This Row],[Student_ID]],student_data[#All],5,0)&gt;8,"HIGH",IF(VLOOKUP(Table7[[#This Row],[Student_ID]],student_data[#All],5,0)&lt;6.5,"LOW","MEDIUM"))</f>
        <v>LOW</v>
      </c>
    </row>
    <row r="563" spans="1:10" x14ac:dyDescent="0.2">
      <c r="A563" s="1" t="s">
        <v>572</v>
      </c>
      <c r="B563" s="1" t="str">
        <f>VLOOKUP(Table7[[#This Row],[Student_ID]],student_data[#All],2,0)</f>
        <v>Civil</v>
      </c>
      <c r="C563" s="1">
        <f>(VLOOKUP(Table7[[#This Row],[Student_ID]],student_data[],5,0)*5)+(VLOOKUP(Table7[[#This Row],[Student_ID]],student_data[],6,0)*3)+(VLOOKUP(Table7[[#This Row],[Student_ID]],student_skills[],6,0)*2)+(VLOOKUP(Table7[[#This Row],[Student_ID]],student_internships[],2,0)*5)</f>
        <v>49.5</v>
      </c>
      <c r="D563" s="1">
        <f>AVERAGE(VLOOKUP(Table7[[#This Row],[Student_ID]],student_skills[],3,0),VLOOKUP(Table7[[#This Row],[Student_ID]],student_skills[],4,0),VLOOKUP(Table7[[#This Row],[Student_ID]],student_skills[],5,0),VLOOKUP(Table7[[#This Row],[Student_ID]],student_skills[],6,0))</f>
        <v>6.75</v>
      </c>
      <c r="E563" s="1" t="str">
        <f>IF(VLOOKUP(Table7[[#This Row],[Student_ID]],student_internships[#All],2,0)&gt;1,"EXPERIENCED",IF(VLOOKUP(Table7[[#This Row],[Student_ID]],student_internships[#All],2,0)=1,"BEGINNER","NOT EXPERIENCED"))</f>
        <v>BEGINNER</v>
      </c>
      <c r="F563" s="1">
        <f>VLOOKUP(Table7[[#This Row],[Student_ID]],student_data[],5,0)</f>
        <v>5.0999999999999996</v>
      </c>
      <c r="G563" s="1">
        <f>VLOOKUP(Table7[[#This Row],[Student_ID]],student_data[#All],6,0)</f>
        <v>3</v>
      </c>
      <c r="H563" s="1">
        <f>VLOOKUP(Table7[[#This Row],[Student_ID]],student_internships[],2,0)</f>
        <v>1</v>
      </c>
      <c r="I563" s="1">
        <f>VLOOKUP(Table7[[#This Row],[Student_ID]],Placements!A563:E1562,5,0)</f>
        <v>4.24</v>
      </c>
      <c r="J563" s="1" t="str">
        <f>IF(VLOOKUP(Table7[[#This Row],[Student_ID]],student_data[#All],5,0)&gt;8,"HIGH",IF(VLOOKUP(Table7[[#This Row],[Student_ID]],student_data[#All],5,0)&lt;6.5,"LOW","MEDIUM"))</f>
        <v>LOW</v>
      </c>
    </row>
    <row r="564" spans="1:10" x14ac:dyDescent="0.2">
      <c r="A564" s="1" t="s">
        <v>573</v>
      </c>
      <c r="B564" s="1" t="str">
        <f>VLOOKUP(Table7[[#This Row],[Student_ID]],student_data[#All],2,0)</f>
        <v>Computer Science</v>
      </c>
      <c r="C564" s="1">
        <f>(VLOOKUP(Table7[[#This Row],[Student_ID]],student_data[],5,0)*5)+(VLOOKUP(Table7[[#This Row],[Student_ID]],student_data[],6,0)*3)+(VLOOKUP(Table7[[#This Row],[Student_ID]],student_skills[],6,0)*2)+(VLOOKUP(Table7[[#This Row],[Student_ID]],student_internships[],2,0)*5)</f>
        <v>64.75</v>
      </c>
      <c r="D564" s="1">
        <f>AVERAGE(VLOOKUP(Table7[[#This Row],[Student_ID]],student_skills[],3,0),VLOOKUP(Table7[[#This Row],[Student_ID]],student_skills[],4,0),VLOOKUP(Table7[[#This Row],[Student_ID]],student_skills[],5,0),VLOOKUP(Table7[[#This Row],[Student_ID]],student_skills[],6,0))</f>
        <v>7.75</v>
      </c>
      <c r="E564" s="1" t="str">
        <f>IF(VLOOKUP(Table7[[#This Row],[Student_ID]],student_internships[#All],2,0)&gt;1,"EXPERIENCED",IF(VLOOKUP(Table7[[#This Row],[Student_ID]],student_internships[#All],2,0)=1,"BEGINNER","NOT EXPERIENCED"))</f>
        <v>EXPERIENCED</v>
      </c>
      <c r="F564" s="1">
        <f>VLOOKUP(Table7[[#This Row],[Student_ID]],student_data[],5,0)</f>
        <v>6.95</v>
      </c>
      <c r="G564" s="1">
        <f>VLOOKUP(Table7[[#This Row],[Student_ID]],student_data[#All],6,0)</f>
        <v>0</v>
      </c>
      <c r="H564" s="1">
        <f>VLOOKUP(Table7[[#This Row],[Student_ID]],student_internships[],2,0)</f>
        <v>2</v>
      </c>
      <c r="I564" s="1">
        <f>VLOOKUP(Table7[[#This Row],[Student_ID]],Placements!A564:E1563,5,0)</f>
        <v>5.19</v>
      </c>
      <c r="J564" s="1" t="str">
        <f>IF(VLOOKUP(Table7[[#This Row],[Student_ID]],student_data[#All],5,0)&gt;8,"HIGH",IF(VLOOKUP(Table7[[#This Row],[Student_ID]],student_data[#All],5,0)&lt;6.5,"LOW","MEDIUM"))</f>
        <v>MEDIUM</v>
      </c>
    </row>
    <row r="565" spans="1:10" x14ac:dyDescent="0.2">
      <c r="A565" s="1" t="s">
        <v>574</v>
      </c>
      <c r="B565" s="1" t="str">
        <f>VLOOKUP(Table7[[#This Row],[Student_ID]],student_data[#All],2,0)</f>
        <v>Computer Science</v>
      </c>
      <c r="C565" s="1">
        <f>(VLOOKUP(Table7[[#This Row],[Student_ID]],student_data[],5,0)*5)+(VLOOKUP(Table7[[#This Row],[Student_ID]],student_data[],6,0)*3)+(VLOOKUP(Table7[[#This Row],[Student_ID]],student_skills[],6,0)*2)+(VLOOKUP(Table7[[#This Row],[Student_ID]],student_internships[],2,0)*5)</f>
        <v>39.799999999999997</v>
      </c>
      <c r="D565" s="1">
        <f>AVERAGE(VLOOKUP(Table7[[#This Row],[Student_ID]],student_skills[],3,0),VLOOKUP(Table7[[#This Row],[Student_ID]],student_skills[],4,0),VLOOKUP(Table7[[#This Row],[Student_ID]],student_skills[],5,0),VLOOKUP(Table7[[#This Row],[Student_ID]],student_skills[],6,0))</f>
        <v>5.25</v>
      </c>
      <c r="E565" s="1" t="str">
        <f>IF(VLOOKUP(Table7[[#This Row],[Student_ID]],student_internships[#All],2,0)&gt;1,"EXPERIENCED",IF(VLOOKUP(Table7[[#This Row],[Student_ID]],student_internships[#All],2,0)=1,"BEGINNER","NOT EXPERIENCED"))</f>
        <v>NOT EXPERIENCED</v>
      </c>
      <c r="F565" s="1">
        <f>VLOOKUP(Table7[[#This Row],[Student_ID]],student_data[],5,0)</f>
        <v>5.96</v>
      </c>
      <c r="G565" s="1">
        <f>VLOOKUP(Table7[[#This Row],[Student_ID]],student_data[#All],6,0)</f>
        <v>0</v>
      </c>
      <c r="H565" s="1">
        <f>VLOOKUP(Table7[[#This Row],[Student_ID]],student_internships[],2,0)</f>
        <v>0</v>
      </c>
      <c r="I565" s="1">
        <f>VLOOKUP(Table7[[#This Row],[Student_ID]],Placements!A565:E1564,5,0)</f>
        <v>0</v>
      </c>
      <c r="J565" s="1" t="str">
        <f>IF(VLOOKUP(Table7[[#This Row],[Student_ID]],student_data[#All],5,0)&gt;8,"HIGH",IF(VLOOKUP(Table7[[#This Row],[Student_ID]],student_data[#All],5,0)&lt;6.5,"LOW","MEDIUM"))</f>
        <v>LOW</v>
      </c>
    </row>
    <row r="566" spans="1:10" x14ac:dyDescent="0.2">
      <c r="A566" s="1" t="s">
        <v>575</v>
      </c>
      <c r="B566" s="1" t="str">
        <f>VLOOKUP(Table7[[#This Row],[Student_ID]],student_data[#All],2,0)</f>
        <v>Information Technology</v>
      </c>
      <c r="C566" s="1">
        <f>(VLOOKUP(Table7[[#This Row],[Student_ID]],student_data[],5,0)*5)+(VLOOKUP(Table7[[#This Row],[Student_ID]],student_data[],6,0)*3)+(VLOOKUP(Table7[[#This Row],[Student_ID]],student_skills[],6,0)*2)+(VLOOKUP(Table7[[#This Row],[Student_ID]],student_internships[],2,0)*5)</f>
        <v>66.3</v>
      </c>
      <c r="D566" s="1">
        <f>AVERAGE(VLOOKUP(Table7[[#This Row],[Student_ID]],student_skills[],3,0),VLOOKUP(Table7[[#This Row],[Student_ID]],student_skills[],4,0),VLOOKUP(Table7[[#This Row],[Student_ID]],student_skills[],5,0),VLOOKUP(Table7[[#This Row],[Student_ID]],student_skills[],6,0))</f>
        <v>5.25</v>
      </c>
      <c r="E566" s="1" t="str">
        <f>IF(VLOOKUP(Table7[[#This Row],[Student_ID]],student_internships[#All],2,0)&gt;1,"EXPERIENCED",IF(VLOOKUP(Table7[[#This Row],[Student_ID]],student_internships[#All],2,0)=1,"BEGINNER","NOT EXPERIENCED"))</f>
        <v>NOT EXPERIENCED</v>
      </c>
      <c r="F566" s="1">
        <f>VLOOKUP(Table7[[#This Row],[Student_ID]],student_data[],5,0)</f>
        <v>7.06</v>
      </c>
      <c r="G566" s="1">
        <f>VLOOKUP(Table7[[#This Row],[Student_ID]],student_data[#All],6,0)</f>
        <v>5</v>
      </c>
      <c r="H566" s="1">
        <f>VLOOKUP(Table7[[#This Row],[Student_ID]],student_internships[],2,0)</f>
        <v>0</v>
      </c>
      <c r="I566" s="1">
        <f>VLOOKUP(Table7[[#This Row],[Student_ID]],Placements!A566:E1565,5,0)</f>
        <v>4.5599999999999996</v>
      </c>
      <c r="J566" s="1" t="str">
        <f>IF(VLOOKUP(Table7[[#This Row],[Student_ID]],student_data[#All],5,0)&gt;8,"HIGH",IF(VLOOKUP(Table7[[#This Row],[Student_ID]],student_data[#All],5,0)&lt;6.5,"LOW","MEDIUM"))</f>
        <v>MEDIUM</v>
      </c>
    </row>
    <row r="567" spans="1:10" x14ac:dyDescent="0.2">
      <c r="A567" s="1" t="s">
        <v>576</v>
      </c>
      <c r="B567" s="1" t="str">
        <f>VLOOKUP(Table7[[#This Row],[Student_ID]],student_data[#All],2,0)</f>
        <v>Civil</v>
      </c>
      <c r="C567" s="1">
        <f>(VLOOKUP(Table7[[#This Row],[Student_ID]],student_data[],5,0)*5)+(VLOOKUP(Table7[[#This Row],[Student_ID]],student_data[],6,0)*3)+(VLOOKUP(Table7[[#This Row],[Student_ID]],student_skills[],6,0)*2)+(VLOOKUP(Table7[[#This Row],[Student_ID]],student_internships[],2,0)*5)</f>
        <v>83.35</v>
      </c>
      <c r="D567" s="1">
        <f>AVERAGE(VLOOKUP(Table7[[#This Row],[Student_ID]],student_skills[],3,0),VLOOKUP(Table7[[#This Row],[Student_ID]],student_skills[],4,0),VLOOKUP(Table7[[#This Row],[Student_ID]],student_skills[],5,0),VLOOKUP(Table7[[#This Row],[Student_ID]],student_skills[],6,0))</f>
        <v>8.5</v>
      </c>
      <c r="E567" s="1" t="str">
        <f>IF(VLOOKUP(Table7[[#This Row],[Student_ID]],student_internships[#All],2,0)&gt;1,"EXPERIENCED",IF(VLOOKUP(Table7[[#This Row],[Student_ID]],student_internships[#All],2,0)=1,"BEGINNER","NOT EXPERIENCED"))</f>
        <v>NOT EXPERIENCED</v>
      </c>
      <c r="F567" s="1">
        <f>VLOOKUP(Table7[[#This Row],[Student_ID]],student_data[],5,0)</f>
        <v>9.67</v>
      </c>
      <c r="G567" s="1">
        <f>VLOOKUP(Table7[[#This Row],[Student_ID]],student_data[#All],6,0)</f>
        <v>5</v>
      </c>
      <c r="H567" s="1">
        <f>VLOOKUP(Table7[[#This Row],[Student_ID]],student_internships[],2,0)</f>
        <v>0</v>
      </c>
      <c r="I567" s="1">
        <f>VLOOKUP(Table7[[#This Row],[Student_ID]],Placements!A567:E1566,5,0)</f>
        <v>8.4</v>
      </c>
      <c r="J567" s="1" t="str">
        <f>IF(VLOOKUP(Table7[[#This Row],[Student_ID]],student_data[#All],5,0)&gt;8,"HIGH",IF(VLOOKUP(Table7[[#This Row],[Student_ID]],student_data[#All],5,0)&lt;6.5,"LOW","MEDIUM"))</f>
        <v>HIGH</v>
      </c>
    </row>
    <row r="568" spans="1:10" x14ac:dyDescent="0.2">
      <c r="A568" s="1" t="s">
        <v>577</v>
      </c>
      <c r="B568" s="1" t="str">
        <f>VLOOKUP(Table7[[#This Row],[Student_ID]],student_data[#All],2,0)</f>
        <v>Civil</v>
      </c>
      <c r="C568" s="1">
        <f>(VLOOKUP(Table7[[#This Row],[Student_ID]],student_data[],5,0)*5)+(VLOOKUP(Table7[[#This Row],[Student_ID]],student_data[],6,0)*3)+(VLOOKUP(Table7[[#This Row],[Student_ID]],student_skills[],6,0)*2)+(VLOOKUP(Table7[[#This Row],[Student_ID]],student_internships[],2,0)*5)</f>
        <v>68.75</v>
      </c>
      <c r="D568" s="1">
        <f>AVERAGE(VLOOKUP(Table7[[#This Row],[Student_ID]],student_skills[],3,0),VLOOKUP(Table7[[#This Row],[Student_ID]],student_skills[],4,0),VLOOKUP(Table7[[#This Row],[Student_ID]],student_skills[],5,0),VLOOKUP(Table7[[#This Row],[Student_ID]],student_skills[],6,0))</f>
        <v>5.5</v>
      </c>
      <c r="E568" s="1" t="str">
        <f>IF(VLOOKUP(Table7[[#This Row],[Student_ID]],student_internships[#All],2,0)&gt;1,"EXPERIENCED",IF(VLOOKUP(Table7[[#This Row],[Student_ID]],student_internships[#All],2,0)=1,"BEGINNER","NOT EXPERIENCED"))</f>
        <v>BEGINNER</v>
      </c>
      <c r="F568" s="1">
        <f>VLOOKUP(Table7[[#This Row],[Student_ID]],student_data[],5,0)</f>
        <v>7.15</v>
      </c>
      <c r="G568" s="1">
        <f>VLOOKUP(Table7[[#This Row],[Student_ID]],student_data[#All],6,0)</f>
        <v>4</v>
      </c>
      <c r="H568" s="1">
        <f>VLOOKUP(Table7[[#This Row],[Student_ID]],student_internships[],2,0)</f>
        <v>1</v>
      </c>
      <c r="I568" s="1">
        <f>VLOOKUP(Table7[[#This Row],[Student_ID]],Placements!A568:E1567,5,0)</f>
        <v>0</v>
      </c>
      <c r="J568" s="1" t="str">
        <f>IF(VLOOKUP(Table7[[#This Row],[Student_ID]],student_data[#All],5,0)&gt;8,"HIGH",IF(VLOOKUP(Table7[[#This Row],[Student_ID]],student_data[#All],5,0)&lt;6.5,"LOW","MEDIUM"))</f>
        <v>MEDIUM</v>
      </c>
    </row>
    <row r="569" spans="1:10" x14ac:dyDescent="0.2">
      <c r="A569" s="1" t="s">
        <v>578</v>
      </c>
      <c r="B569" s="1" t="str">
        <f>VLOOKUP(Table7[[#This Row],[Student_ID]],student_data[#All],2,0)</f>
        <v>Civil</v>
      </c>
      <c r="C569" s="1">
        <f>(VLOOKUP(Table7[[#This Row],[Student_ID]],student_data[],5,0)*5)+(VLOOKUP(Table7[[#This Row],[Student_ID]],student_data[],6,0)*3)+(VLOOKUP(Table7[[#This Row],[Student_ID]],student_skills[],6,0)*2)+(VLOOKUP(Table7[[#This Row],[Student_ID]],student_internships[],2,0)*5)</f>
        <v>64.95</v>
      </c>
      <c r="D569" s="1">
        <f>AVERAGE(VLOOKUP(Table7[[#This Row],[Student_ID]],student_skills[],3,0),VLOOKUP(Table7[[#This Row],[Student_ID]],student_skills[],4,0),VLOOKUP(Table7[[#This Row],[Student_ID]],student_skills[],5,0),VLOOKUP(Table7[[#This Row],[Student_ID]],student_skills[],6,0))</f>
        <v>4.5</v>
      </c>
      <c r="E569" s="1" t="str">
        <f>IF(VLOOKUP(Table7[[#This Row],[Student_ID]],student_internships[#All],2,0)&gt;1,"EXPERIENCED",IF(VLOOKUP(Table7[[#This Row],[Student_ID]],student_internships[#All],2,0)=1,"BEGINNER","NOT EXPERIENCED"))</f>
        <v>BEGINNER</v>
      </c>
      <c r="F569" s="1">
        <f>VLOOKUP(Table7[[#This Row],[Student_ID]],student_data[],5,0)</f>
        <v>9.39</v>
      </c>
      <c r="G569" s="1">
        <f>VLOOKUP(Table7[[#This Row],[Student_ID]],student_data[#All],6,0)</f>
        <v>3</v>
      </c>
      <c r="H569" s="1">
        <f>VLOOKUP(Table7[[#This Row],[Student_ID]],student_internships[],2,0)</f>
        <v>1</v>
      </c>
      <c r="I569" s="1">
        <f>VLOOKUP(Table7[[#This Row],[Student_ID]],Placements!A569:E1568,5,0)</f>
        <v>4.8600000000000003</v>
      </c>
      <c r="J569" s="1" t="str">
        <f>IF(VLOOKUP(Table7[[#This Row],[Student_ID]],student_data[#All],5,0)&gt;8,"HIGH",IF(VLOOKUP(Table7[[#This Row],[Student_ID]],student_data[#All],5,0)&lt;6.5,"LOW","MEDIUM"))</f>
        <v>HIGH</v>
      </c>
    </row>
    <row r="570" spans="1:10" x14ac:dyDescent="0.2">
      <c r="A570" s="1" t="s">
        <v>579</v>
      </c>
      <c r="B570" s="1" t="str">
        <f>VLOOKUP(Table7[[#This Row],[Student_ID]],student_data[#All],2,0)</f>
        <v>Mechanical</v>
      </c>
      <c r="C570" s="1">
        <f>(VLOOKUP(Table7[[#This Row],[Student_ID]],student_data[],5,0)*5)+(VLOOKUP(Table7[[#This Row],[Student_ID]],student_data[],6,0)*3)+(VLOOKUP(Table7[[#This Row],[Student_ID]],student_skills[],6,0)*2)+(VLOOKUP(Table7[[#This Row],[Student_ID]],student_internships[],2,0)*5)</f>
        <v>65.150000000000006</v>
      </c>
      <c r="D570" s="1">
        <f>AVERAGE(VLOOKUP(Table7[[#This Row],[Student_ID]],student_skills[],3,0),VLOOKUP(Table7[[#This Row],[Student_ID]],student_skills[],4,0),VLOOKUP(Table7[[#This Row],[Student_ID]],student_skills[],5,0),VLOOKUP(Table7[[#This Row],[Student_ID]],student_skills[],6,0))</f>
        <v>7.25</v>
      </c>
      <c r="E570" s="1" t="str">
        <f>IF(VLOOKUP(Table7[[#This Row],[Student_ID]],student_internships[#All],2,0)&gt;1,"EXPERIENCED",IF(VLOOKUP(Table7[[#This Row],[Student_ID]],student_internships[#All],2,0)=1,"BEGINNER","NOT EXPERIENCED"))</f>
        <v>BEGINNER</v>
      </c>
      <c r="F570" s="1">
        <f>VLOOKUP(Table7[[#This Row],[Student_ID]],student_data[],5,0)</f>
        <v>8.0299999999999994</v>
      </c>
      <c r="G570" s="1">
        <f>VLOOKUP(Table7[[#This Row],[Student_ID]],student_data[#All],6,0)</f>
        <v>2</v>
      </c>
      <c r="H570" s="1">
        <f>VLOOKUP(Table7[[#This Row],[Student_ID]],student_internships[],2,0)</f>
        <v>1</v>
      </c>
      <c r="I570" s="1">
        <f>VLOOKUP(Table7[[#This Row],[Student_ID]],Placements!A570:E1569,5,0)</f>
        <v>6.84</v>
      </c>
      <c r="J570" s="1" t="str">
        <f>IF(VLOOKUP(Table7[[#This Row],[Student_ID]],student_data[#All],5,0)&gt;8,"HIGH",IF(VLOOKUP(Table7[[#This Row],[Student_ID]],student_data[#All],5,0)&lt;6.5,"LOW","MEDIUM"))</f>
        <v>HIGH</v>
      </c>
    </row>
    <row r="571" spans="1:10" x14ac:dyDescent="0.2">
      <c r="A571" s="1" t="s">
        <v>580</v>
      </c>
      <c r="B571" s="1" t="str">
        <f>VLOOKUP(Table7[[#This Row],[Student_ID]],student_data[#All],2,0)</f>
        <v>Information Technology</v>
      </c>
      <c r="C571" s="1">
        <f>(VLOOKUP(Table7[[#This Row],[Student_ID]],student_data[],5,0)*5)+(VLOOKUP(Table7[[#This Row],[Student_ID]],student_data[],6,0)*3)+(VLOOKUP(Table7[[#This Row],[Student_ID]],student_skills[],6,0)*2)+(VLOOKUP(Table7[[#This Row],[Student_ID]],student_internships[],2,0)*5)</f>
        <v>58.2</v>
      </c>
      <c r="D571" s="1">
        <f>AVERAGE(VLOOKUP(Table7[[#This Row],[Student_ID]],student_skills[],3,0),VLOOKUP(Table7[[#This Row],[Student_ID]],student_skills[],4,0),VLOOKUP(Table7[[#This Row],[Student_ID]],student_skills[],5,0),VLOOKUP(Table7[[#This Row],[Student_ID]],student_skills[],6,0))</f>
        <v>4.25</v>
      </c>
      <c r="E571" s="1" t="str">
        <f>IF(VLOOKUP(Table7[[#This Row],[Student_ID]],student_internships[#All],2,0)&gt;1,"EXPERIENCED",IF(VLOOKUP(Table7[[#This Row],[Student_ID]],student_internships[#All],2,0)=1,"BEGINNER","NOT EXPERIENCED"))</f>
        <v>BEGINNER</v>
      </c>
      <c r="F571" s="1">
        <f>VLOOKUP(Table7[[#This Row],[Student_ID]],student_data[],5,0)</f>
        <v>6.24</v>
      </c>
      <c r="G571" s="1">
        <f>VLOOKUP(Table7[[#This Row],[Student_ID]],student_data[#All],6,0)</f>
        <v>2</v>
      </c>
      <c r="H571" s="1">
        <f>VLOOKUP(Table7[[#This Row],[Student_ID]],student_internships[],2,0)</f>
        <v>1</v>
      </c>
      <c r="I571" s="1">
        <f>VLOOKUP(Table7[[#This Row],[Student_ID]],Placements!A571:E1570,5,0)</f>
        <v>5.78</v>
      </c>
      <c r="J571" s="1" t="str">
        <f>IF(VLOOKUP(Table7[[#This Row],[Student_ID]],student_data[#All],5,0)&gt;8,"HIGH",IF(VLOOKUP(Table7[[#This Row],[Student_ID]],student_data[#All],5,0)&lt;6.5,"LOW","MEDIUM"))</f>
        <v>LOW</v>
      </c>
    </row>
    <row r="572" spans="1:10" x14ac:dyDescent="0.2">
      <c r="A572" s="1" t="s">
        <v>581</v>
      </c>
      <c r="B572" s="1" t="str">
        <f>VLOOKUP(Table7[[#This Row],[Student_ID]],student_data[#All],2,0)</f>
        <v>Civil</v>
      </c>
      <c r="C572" s="1">
        <f>(VLOOKUP(Table7[[#This Row],[Student_ID]],student_data[],5,0)*5)+(VLOOKUP(Table7[[#This Row],[Student_ID]],student_data[],6,0)*3)+(VLOOKUP(Table7[[#This Row],[Student_ID]],student_skills[],6,0)*2)+(VLOOKUP(Table7[[#This Row],[Student_ID]],student_internships[],2,0)*5)</f>
        <v>69.900000000000006</v>
      </c>
      <c r="D572" s="1">
        <f>AVERAGE(VLOOKUP(Table7[[#This Row],[Student_ID]],student_skills[],3,0),VLOOKUP(Table7[[#This Row],[Student_ID]],student_skills[],4,0),VLOOKUP(Table7[[#This Row],[Student_ID]],student_skills[],5,0),VLOOKUP(Table7[[#This Row],[Student_ID]],student_skills[],6,0))</f>
        <v>6.25</v>
      </c>
      <c r="E572" s="1" t="str">
        <f>IF(VLOOKUP(Table7[[#This Row],[Student_ID]],student_internships[#All],2,0)&gt;1,"EXPERIENCED",IF(VLOOKUP(Table7[[#This Row],[Student_ID]],student_internships[#All],2,0)=1,"BEGINNER","NOT EXPERIENCED"))</f>
        <v>EXPERIENCED</v>
      </c>
      <c r="F572" s="1">
        <f>VLOOKUP(Table7[[#This Row],[Student_ID]],student_data[],5,0)</f>
        <v>6.78</v>
      </c>
      <c r="G572" s="1">
        <f>VLOOKUP(Table7[[#This Row],[Student_ID]],student_data[#All],6,0)</f>
        <v>3</v>
      </c>
      <c r="H572" s="1">
        <f>VLOOKUP(Table7[[#This Row],[Student_ID]],student_internships[],2,0)</f>
        <v>3</v>
      </c>
      <c r="I572" s="1">
        <f>VLOOKUP(Table7[[#This Row],[Student_ID]],Placements!A572:E1571,5,0)</f>
        <v>5.03</v>
      </c>
      <c r="J572" s="1" t="str">
        <f>IF(VLOOKUP(Table7[[#This Row],[Student_ID]],student_data[#All],5,0)&gt;8,"HIGH",IF(VLOOKUP(Table7[[#This Row],[Student_ID]],student_data[#All],5,0)&lt;6.5,"LOW","MEDIUM"))</f>
        <v>MEDIUM</v>
      </c>
    </row>
    <row r="573" spans="1:10" x14ac:dyDescent="0.2">
      <c r="A573" s="1" t="s">
        <v>582</v>
      </c>
      <c r="B573" s="1" t="str">
        <f>VLOOKUP(Table7[[#This Row],[Student_ID]],student_data[#All],2,0)</f>
        <v>Mechanical</v>
      </c>
      <c r="C573" s="1">
        <f>(VLOOKUP(Table7[[#This Row],[Student_ID]],student_data[],5,0)*5)+(VLOOKUP(Table7[[#This Row],[Student_ID]],student_data[],6,0)*3)+(VLOOKUP(Table7[[#This Row],[Student_ID]],student_skills[],6,0)*2)+(VLOOKUP(Table7[[#This Row],[Student_ID]],student_internships[],2,0)*5)</f>
        <v>48.1</v>
      </c>
      <c r="D573" s="1">
        <f>AVERAGE(VLOOKUP(Table7[[#This Row],[Student_ID]],student_skills[],3,0),VLOOKUP(Table7[[#This Row],[Student_ID]],student_skills[],4,0),VLOOKUP(Table7[[#This Row],[Student_ID]],student_skills[],5,0),VLOOKUP(Table7[[#This Row],[Student_ID]],student_skills[],6,0))</f>
        <v>6.5</v>
      </c>
      <c r="E573" s="1" t="str">
        <f>IF(VLOOKUP(Table7[[#This Row],[Student_ID]],student_internships[#All],2,0)&gt;1,"EXPERIENCED",IF(VLOOKUP(Table7[[#This Row],[Student_ID]],student_internships[#All],2,0)=1,"BEGINNER","NOT EXPERIENCED"))</f>
        <v>BEGINNER</v>
      </c>
      <c r="F573" s="1">
        <f>VLOOKUP(Table7[[#This Row],[Student_ID]],student_data[],5,0)</f>
        <v>5.42</v>
      </c>
      <c r="G573" s="1">
        <f>VLOOKUP(Table7[[#This Row],[Student_ID]],student_data[#All],6,0)</f>
        <v>2</v>
      </c>
      <c r="H573" s="1">
        <f>VLOOKUP(Table7[[#This Row],[Student_ID]],student_internships[],2,0)</f>
        <v>1</v>
      </c>
      <c r="I573" s="1">
        <f>VLOOKUP(Table7[[#This Row],[Student_ID]],Placements!A573:E1572,5,0)</f>
        <v>4.1900000000000004</v>
      </c>
      <c r="J573" s="1" t="str">
        <f>IF(VLOOKUP(Table7[[#This Row],[Student_ID]],student_data[#All],5,0)&gt;8,"HIGH",IF(VLOOKUP(Table7[[#This Row],[Student_ID]],student_data[#All],5,0)&lt;6.5,"LOW","MEDIUM"))</f>
        <v>LOW</v>
      </c>
    </row>
    <row r="574" spans="1:10" x14ac:dyDescent="0.2">
      <c r="A574" s="1" t="s">
        <v>583</v>
      </c>
      <c r="B574" s="1" t="str">
        <f>VLOOKUP(Table7[[#This Row],[Student_ID]],student_data[#All],2,0)</f>
        <v>Electronics</v>
      </c>
      <c r="C574" s="1">
        <f>(VLOOKUP(Table7[[#This Row],[Student_ID]],student_data[],5,0)*5)+(VLOOKUP(Table7[[#This Row],[Student_ID]],student_data[],6,0)*3)+(VLOOKUP(Table7[[#This Row],[Student_ID]],student_skills[],6,0)*2)+(VLOOKUP(Table7[[#This Row],[Student_ID]],student_internships[],2,0)*5)</f>
        <v>56.35</v>
      </c>
      <c r="D574" s="1">
        <f>AVERAGE(VLOOKUP(Table7[[#This Row],[Student_ID]],student_skills[],3,0),VLOOKUP(Table7[[#This Row],[Student_ID]],student_skills[],4,0),VLOOKUP(Table7[[#This Row],[Student_ID]],student_skills[],5,0),VLOOKUP(Table7[[#This Row],[Student_ID]],student_skills[],6,0))</f>
        <v>6.5</v>
      </c>
      <c r="E574" s="1" t="str">
        <f>IF(VLOOKUP(Table7[[#This Row],[Student_ID]],student_internships[#All],2,0)&gt;1,"EXPERIENCED",IF(VLOOKUP(Table7[[#This Row],[Student_ID]],student_internships[#All],2,0)=1,"BEGINNER","NOT EXPERIENCED"))</f>
        <v>BEGINNER</v>
      </c>
      <c r="F574" s="1">
        <f>VLOOKUP(Table7[[#This Row],[Student_ID]],student_data[],5,0)</f>
        <v>6.67</v>
      </c>
      <c r="G574" s="1">
        <f>VLOOKUP(Table7[[#This Row],[Student_ID]],student_data[#All],6,0)</f>
        <v>0</v>
      </c>
      <c r="H574" s="1">
        <f>VLOOKUP(Table7[[#This Row],[Student_ID]],student_internships[],2,0)</f>
        <v>1</v>
      </c>
      <c r="I574" s="1">
        <f>VLOOKUP(Table7[[#This Row],[Student_ID]],Placements!A574:E1573,5,0)</f>
        <v>4.5599999999999996</v>
      </c>
      <c r="J574" s="1" t="str">
        <f>IF(VLOOKUP(Table7[[#This Row],[Student_ID]],student_data[#All],5,0)&gt;8,"HIGH",IF(VLOOKUP(Table7[[#This Row],[Student_ID]],student_data[#All],5,0)&lt;6.5,"LOW","MEDIUM"))</f>
        <v>MEDIUM</v>
      </c>
    </row>
    <row r="575" spans="1:10" x14ac:dyDescent="0.2">
      <c r="A575" s="1" t="s">
        <v>584</v>
      </c>
      <c r="B575" s="1" t="str">
        <f>VLOOKUP(Table7[[#This Row],[Student_ID]],student_data[#All],2,0)</f>
        <v>Electronics</v>
      </c>
      <c r="C575" s="1">
        <f>(VLOOKUP(Table7[[#This Row],[Student_ID]],student_data[],5,0)*5)+(VLOOKUP(Table7[[#This Row],[Student_ID]],student_data[],6,0)*3)+(VLOOKUP(Table7[[#This Row],[Student_ID]],student_skills[],6,0)*2)+(VLOOKUP(Table7[[#This Row],[Student_ID]],student_internships[],2,0)*5)</f>
        <v>63.95</v>
      </c>
      <c r="D575" s="1">
        <f>AVERAGE(VLOOKUP(Table7[[#This Row],[Student_ID]],student_skills[],3,0),VLOOKUP(Table7[[#This Row],[Student_ID]],student_skills[],4,0),VLOOKUP(Table7[[#This Row],[Student_ID]],student_skills[],5,0),VLOOKUP(Table7[[#This Row],[Student_ID]],student_skills[],6,0))</f>
        <v>6</v>
      </c>
      <c r="E575" s="1" t="str">
        <f>IF(VLOOKUP(Table7[[#This Row],[Student_ID]],student_internships[#All],2,0)&gt;1,"EXPERIENCED",IF(VLOOKUP(Table7[[#This Row],[Student_ID]],student_internships[#All],2,0)=1,"BEGINNER","NOT EXPERIENCED"))</f>
        <v>EXPERIENCED</v>
      </c>
      <c r="F575" s="1">
        <f>VLOOKUP(Table7[[#This Row],[Student_ID]],student_data[],5,0)</f>
        <v>8.39</v>
      </c>
      <c r="G575" s="1">
        <f>VLOOKUP(Table7[[#This Row],[Student_ID]],student_data[#All],6,0)</f>
        <v>2</v>
      </c>
      <c r="H575" s="1">
        <f>VLOOKUP(Table7[[#This Row],[Student_ID]],student_internships[],2,0)</f>
        <v>2</v>
      </c>
      <c r="I575" s="1">
        <f>VLOOKUP(Table7[[#This Row],[Student_ID]],Placements!A575:E1574,5,0)</f>
        <v>3.89</v>
      </c>
      <c r="J575" s="1" t="str">
        <f>IF(VLOOKUP(Table7[[#This Row],[Student_ID]],student_data[#All],5,0)&gt;8,"HIGH",IF(VLOOKUP(Table7[[#This Row],[Student_ID]],student_data[#All],5,0)&lt;6.5,"LOW","MEDIUM"))</f>
        <v>HIGH</v>
      </c>
    </row>
    <row r="576" spans="1:10" x14ac:dyDescent="0.2">
      <c r="A576" s="1" t="s">
        <v>585</v>
      </c>
      <c r="B576" s="1" t="str">
        <f>VLOOKUP(Table7[[#This Row],[Student_ID]],student_data[#All],2,0)</f>
        <v>Mechanical</v>
      </c>
      <c r="C576" s="1">
        <f>(VLOOKUP(Table7[[#This Row],[Student_ID]],student_data[],5,0)*5)+(VLOOKUP(Table7[[#This Row],[Student_ID]],student_data[],6,0)*3)+(VLOOKUP(Table7[[#This Row],[Student_ID]],student_skills[],6,0)*2)+(VLOOKUP(Table7[[#This Row],[Student_ID]],student_internships[],2,0)*5)</f>
        <v>57.8</v>
      </c>
      <c r="D576" s="1">
        <f>AVERAGE(VLOOKUP(Table7[[#This Row],[Student_ID]],student_skills[],3,0),VLOOKUP(Table7[[#This Row],[Student_ID]],student_skills[],4,0),VLOOKUP(Table7[[#This Row],[Student_ID]],student_skills[],5,0),VLOOKUP(Table7[[#This Row],[Student_ID]],student_skills[],6,0))</f>
        <v>4.75</v>
      </c>
      <c r="E576" s="1" t="str">
        <f>IF(VLOOKUP(Table7[[#This Row],[Student_ID]],student_internships[#All],2,0)&gt;1,"EXPERIENCED",IF(VLOOKUP(Table7[[#This Row],[Student_ID]],student_internships[#All],2,0)=1,"BEGINNER","NOT EXPERIENCED"))</f>
        <v>BEGINNER</v>
      </c>
      <c r="F576" s="1">
        <f>VLOOKUP(Table7[[#This Row],[Student_ID]],student_data[],5,0)</f>
        <v>5.36</v>
      </c>
      <c r="G576" s="1">
        <f>VLOOKUP(Table7[[#This Row],[Student_ID]],student_data[#All],6,0)</f>
        <v>2</v>
      </c>
      <c r="H576" s="1">
        <f>VLOOKUP(Table7[[#This Row],[Student_ID]],student_internships[],2,0)</f>
        <v>1</v>
      </c>
      <c r="I576" s="1">
        <f>VLOOKUP(Table7[[#This Row],[Student_ID]],Placements!A576:E1575,5,0)</f>
        <v>0</v>
      </c>
      <c r="J576" s="1" t="str">
        <f>IF(VLOOKUP(Table7[[#This Row],[Student_ID]],student_data[#All],5,0)&gt;8,"HIGH",IF(VLOOKUP(Table7[[#This Row],[Student_ID]],student_data[#All],5,0)&lt;6.5,"LOW","MEDIUM"))</f>
        <v>LOW</v>
      </c>
    </row>
    <row r="577" spans="1:10" x14ac:dyDescent="0.2">
      <c r="A577" s="1" t="s">
        <v>586</v>
      </c>
      <c r="B577" s="1" t="str">
        <f>VLOOKUP(Table7[[#This Row],[Student_ID]],student_data[#All],2,0)</f>
        <v>Mechanical</v>
      </c>
      <c r="C577" s="1">
        <f>(VLOOKUP(Table7[[#This Row],[Student_ID]],student_data[],5,0)*5)+(VLOOKUP(Table7[[#This Row],[Student_ID]],student_data[],6,0)*3)+(VLOOKUP(Table7[[#This Row],[Student_ID]],student_skills[],6,0)*2)+(VLOOKUP(Table7[[#This Row],[Student_ID]],student_internships[],2,0)*5)</f>
        <v>52.150000000000006</v>
      </c>
      <c r="D577" s="1">
        <f>AVERAGE(VLOOKUP(Table7[[#This Row],[Student_ID]],student_skills[],3,0),VLOOKUP(Table7[[#This Row],[Student_ID]],student_skills[],4,0),VLOOKUP(Table7[[#This Row],[Student_ID]],student_skills[],5,0),VLOOKUP(Table7[[#This Row],[Student_ID]],student_skills[],6,0))</f>
        <v>6</v>
      </c>
      <c r="E577" s="1" t="str">
        <f>IF(VLOOKUP(Table7[[#This Row],[Student_ID]],student_internships[#All],2,0)&gt;1,"EXPERIENCED",IF(VLOOKUP(Table7[[#This Row],[Student_ID]],student_internships[#All],2,0)=1,"BEGINNER","NOT EXPERIENCED"))</f>
        <v>BEGINNER</v>
      </c>
      <c r="F577" s="1">
        <f>VLOOKUP(Table7[[#This Row],[Student_ID]],student_data[],5,0)</f>
        <v>6.03</v>
      </c>
      <c r="G577" s="1">
        <f>VLOOKUP(Table7[[#This Row],[Student_ID]],student_data[#All],6,0)</f>
        <v>3</v>
      </c>
      <c r="H577" s="1">
        <f>VLOOKUP(Table7[[#This Row],[Student_ID]],student_internships[],2,0)</f>
        <v>1</v>
      </c>
      <c r="I577" s="1">
        <f>VLOOKUP(Table7[[#This Row],[Student_ID]],Placements!A577:E1576,5,0)</f>
        <v>0</v>
      </c>
      <c r="J577" s="1" t="str">
        <f>IF(VLOOKUP(Table7[[#This Row],[Student_ID]],student_data[#All],5,0)&gt;8,"HIGH",IF(VLOOKUP(Table7[[#This Row],[Student_ID]],student_data[#All],5,0)&lt;6.5,"LOW","MEDIUM"))</f>
        <v>LOW</v>
      </c>
    </row>
    <row r="578" spans="1:10" x14ac:dyDescent="0.2">
      <c r="A578" s="1" t="s">
        <v>587</v>
      </c>
      <c r="B578" s="1" t="str">
        <f>VLOOKUP(Table7[[#This Row],[Student_ID]],student_data[#All],2,0)</f>
        <v>Information Technology</v>
      </c>
      <c r="C578" s="1">
        <f>(VLOOKUP(Table7[[#This Row],[Student_ID]],student_data[],5,0)*5)+(VLOOKUP(Table7[[#This Row],[Student_ID]],student_data[],6,0)*3)+(VLOOKUP(Table7[[#This Row],[Student_ID]],student_skills[],6,0)*2)+(VLOOKUP(Table7[[#This Row],[Student_ID]],student_internships[],2,0)*5)</f>
        <v>71.55</v>
      </c>
      <c r="D578" s="1">
        <f>AVERAGE(VLOOKUP(Table7[[#This Row],[Student_ID]],student_skills[],3,0),VLOOKUP(Table7[[#This Row],[Student_ID]],student_skills[],4,0),VLOOKUP(Table7[[#This Row],[Student_ID]],student_skills[],5,0),VLOOKUP(Table7[[#This Row],[Student_ID]],student_skills[],6,0))</f>
        <v>7</v>
      </c>
      <c r="E578" s="1" t="str">
        <f>IF(VLOOKUP(Table7[[#This Row],[Student_ID]],student_internships[#All],2,0)&gt;1,"EXPERIENCED",IF(VLOOKUP(Table7[[#This Row],[Student_ID]],student_internships[#All],2,0)=1,"BEGINNER","NOT EXPERIENCED"))</f>
        <v>EXPERIENCED</v>
      </c>
      <c r="F578" s="1">
        <f>VLOOKUP(Table7[[#This Row],[Student_ID]],student_data[],5,0)</f>
        <v>6.91</v>
      </c>
      <c r="G578" s="1">
        <f>VLOOKUP(Table7[[#This Row],[Student_ID]],student_data[#All],6,0)</f>
        <v>3</v>
      </c>
      <c r="H578" s="1">
        <f>VLOOKUP(Table7[[#This Row],[Student_ID]],student_internships[],2,0)</f>
        <v>2</v>
      </c>
      <c r="I578" s="1">
        <f>VLOOKUP(Table7[[#This Row],[Student_ID]],Placements!A578:E1577,5,0)</f>
        <v>4.2</v>
      </c>
      <c r="J578" s="1" t="str">
        <f>IF(VLOOKUP(Table7[[#This Row],[Student_ID]],student_data[#All],5,0)&gt;8,"HIGH",IF(VLOOKUP(Table7[[#This Row],[Student_ID]],student_data[#All],5,0)&lt;6.5,"LOW","MEDIUM"))</f>
        <v>MEDIUM</v>
      </c>
    </row>
    <row r="579" spans="1:10" x14ac:dyDescent="0.2">
      <c r="A579" s="1" t="s">
        <v>588</v>
      </c>
      <c r="B579" s="1" t="str">
        <f>VLOOKUP(Table7[[#This Row],[Student_ID]],student_data[#All],2,0)</f>
        <v>Information Technology</v>
      </c>
      <c r="C579" s="1">
        <f>(VLOOKUP(Table7[[#This Row],[Student_ID]],student_data[],5,0)*5)+(VLOOKUP(Table7[[#This Row],[Student_ID]],student_data[],6,0)*3)+(VLOOKUP(Table7[[#This Row],[Student_ID]],student_skills[],6,0)*2)+(VLOOKUP(Table7[[#This Row],[Student_ID]],student_internships[],2,0)*5)</f>
        <v>82.55</v>
      </c>
      <c r="D579" s="1">
        <f>AVERAGE(VLOOKUP(Table7[[#This Row],[Student_ID]],student_skills[],3,0),VLOOKUP(Table7[[#This Row],[Student_ID]],student_skills[],4,0),VLOOKUP(Table7[[#This Row],[Student_ID]],student_skills[],5,0),VLOOKUP(Table7[[#This Row],[Student_ID]],student_skills[],6,0))</f>
        <v>5.75</v>
      </c>
      <c r="E579" s="1" t="str">
        <f>IF(VLOOKUP(Table7[[#This Row],[Student_ID]],student_internships[#All],2,0)&gt;1,"EXPERIENCED",IF(VLOOKUP(Table7[[#This Row],[Student_ID]],student_internships[#All],2,0)=1,"BEGINNER","NOT EXPERIENCED"))</f>
        <v>EXPERIENCED</v>
      </c>
      <c r="F579" s="1">
        <f>VLOOKUP(Table7[[#This Row],[Student_ID]],student_data[],5,0)</f>
        <v>9.91</v>
      </c>
      <c r="G579" s="1">
        <f>VLOOKUP(Table7[[#This Row],[Student_ID]],student_data[#All],6,0)</f>
        <v>2</v>
      </c>
      <c r="H579" s="1">
        <f>VLOOKUP(Table7[[#This Row],[Student_ID]],student_internships[],2,0)</f>
        <v>3</v>
      </c>
      <c r="I579" s="1">
        <f>VLOOKUP(Table7[[#This Row],[Student_ID]],Placements!A579:E1578,5,0)</f>
        <v>5.49</v>
      </c>
      <c r="J579" s="1" t="str">
        <f>IF(VLOOKUP(Table7[[#This Row],[Student_ID]],student_data[#All],5,0)&gt;8,"HIGH",IF(VLOOKUP(Table7[[#This Row],[Student_ID]],student_data[#All],5,0)&lt;6.5,"LOW","MEDIUM"))</f>
        <v>HIGH</v>
      </c>
    </row>
    <row r="580" spans="1:10" x14ac:dyDescent="0.2">
      <c r="A580" s="1" t="s">
        <v>589</v>
      </c>
      <c r="B580" s="1" t="str">
        <f>VLOOKUP(Table7[[#This Row],[Student_ID]],student_data[#All],2,0)</f>
        <v>Electronics</v>
      </c>
      <c r="C580" s="1">
        <f>(VLOOKUP(Table7[[#This Row],[Student_ID]],student_data[],5,0)*5)+(VLOOKUP(Table7[[#This Row],[Student_ID]],student_data[],6,0)*3)+(VLOOKUP(Table7[[#This Row],[Student_ID]],student_skills[],6,0)*2)+(VLOOKUP(Table7[[#This Row],[Student_ID]],student_internships[],2,0)*5)</f>
        <v>63.6</v>
      </c>
      <c r="D580" s="1">
        <f>AVERAGE(VLOOKUP(Table7[[#This Row],[Student_ID]],student_skills[],3,0),VLOOKUP(Table7[[#This Row],[Student_ID]],student_skills[],4,0),VLOOKUP(Table7[[#This Row],[Student_ID]],student_skills[],5,0),VLOOKUP(Table7[[#This Row],[Student_ID]],student_skills[],6,0))</f>
        <v>4.5</v>
      </c>
      <c r="E580" s="1" t="str">
        <f>IF(VLOOKUP(Table7[[#This Row],[Student_ID]],student_internships[#All],2,0)&gt;1,"EXPERIENCED",IF(VLOOKUP(Table7[[#This Row],[Student_ID]],student_internships[#All],2,0)=1,"BEGINNER","NOT EXPERIENCED"))</f>
        <v>NOT EXPERIENCED</v>
      </c>
      <c r="F580" s="1">
        <f>VLOOKUP(Table7[[#This Row],[Student_ID]],student_data[],5,0)</f>
        <v>8.92</v>
      </c>
      <c r="G580" s="1">
        <f>VLOOKUP(Table7[[#This Row],[Student_ID]],student_data[#All],6,0)</f>
        <v>1</v>
      </c>
      <c r="H580" s="1">
        <f>VLOOKUP(Table7[[#This Row],[Student_ID]],student_internships[],2,0)</f>
        <v>0</v>
      </c>
      <c r="I580" s="1">
        <f>VLOOKUP(Table7[[#This Row],[Student_ID]],Placements!A580:E1579,5,0)</f>
        <v>4.4000000000000004</v>
      </c>
      <c r="J580" s="1" t="str">
        <f>IF(VLOOKUP(Table7[[#This Row],[Student_ID]],student_data[#All],5,0)&gt;8,"HIGH",IF(VLOOKUP(Table7[[#This Row],[Student_ID]],student_data[#All],5,0)&lt;6.5,"LOW","MEDIUM"))</f>
        <v>HIGH</v>
      </c>
    </row>
    <row r="581" spans="1:10" x14ac:dyDescent="0.2">
      <c r="A581" s="1" t="s">
        <v>590</v>
      </c>
      <c r="B581" s="1" t="str">
        <f>VLOOKUP(Table7[[#This Row],[Student_ID]],student_data[#All],2,0)</f>
        <v>Civil</v>
      </c>
      <c r="C581" s="1">
        <f>(VLOOKUP(Table7[[#This Row],[Student_ID]],student_data[],5,0)*5)+(VLOOKUP(Table7[[#This Row],[Student_ID]],student_data[],6,0)*3)+(VLOOKUP(Table7[[#This Row],[Student_ID]],student_skills[],6,0)*2)+(VLOOKUP(Table7[[#This Row],[Student_ID]],student_internships[],2,0)*5)</f>
        <v>81.349999999999994</v>
      </c>
      <c r="D581" s="1">
        <f>AVERAGE(VLOOKUP(Table7[[#This Row],[Student_ID]],student_skills[],3,0),VLOOKUP(Table7[[#This Row],[Student_ID]],student_skills[],4,0),VLOOKUP(Table7[[#This Row],[Student_ID]],student_skills[],5,0),VLOOKUP(Table7[[#This Row],[Student_ID]],student_skills[],6,0))</f>
        <v>5.75</v>
      </c>
      <c r="E581" s="1" t="str">
        <f>IF(VLOOKUP(Table7[[#This Row],[Student_ID]],student_internships[#All],2,0)&gt;1,"EXPERIENCED",IF(VLOOKUP(Table7[[#This Row],[Student_ID]],student_internships[#All],2,0)=1,"BEGINNER","NOT EXPERIENCED"))</f>
        <v>EXPERIENCED</v>
      </c>
      <c r="F581" s="1">
        <f>VLOOKUP(Table7[[#This Row],[Student_ID]],student_data[],5,0)</f>
        <v>8.67</v>
      </c>
      <c r="G581" s="1">
        <f>VLOOKUP(Table7[[#This Row],[Student_ID]],student_data[#All],6,0)</f>
        <v>3</v>
      </c>
      <c r="H581" s="1">
        <f>VLOOKUP(Table7[[#This Row],[Student_ID]],student_internships[],2,0)</f>
        <v>3</v>
      </c>
      <c r="I581" s="1">
        <f>VLOOKUP(Table7[[#This Row],[Student_ID]],Placements!A581:E1580,5,0)</f>
        <v>0</v>
      </c>
      <c r="J581" s="1" t="str">
        <f>IF(VLOOKUP(Table7[[#This Row],[Student_ID]],student_data[#All],5,0)&gt;8,"HIGH",IF(VLOOKUP(Table7[[#This Row],[Student_ID]],student_data[#All],5,0)&lt;6.5,"LOW","MEDIUM"))</f>
        <v>HIGH</v>
      </c>
    </row>
    <row r="582" spans="1:10" x14ac:dyDescent="0.2">
      <c r="A582" s="1" t="s">
        <v>591</v>
      </c>
      <c r="B582" s="1" t="str">
        <f>VLOOKUP(Table7[[#This Row],[Student_ID]],student_data[#All],2,0)</f>
        <v>Electronics</v>
      </c>
      <c r="C582" s="1">
        <f>(VLOOKUP(Table7[[#This Row],[Student_ID]],student_data[],5,0)*5)+(VLOOKUP(Table7[[#This Row],[Student_ID]],student_data[],6,0)*3)+(VLOOKUP(Table7[[#This Row],[Student_ID]],student_skills[],6,0)*2)+(VLOOKUP(Table7[[#This Row],[Student_ID]],student_internships[],2,0)*5)</f>
        <v>48.9</v>
      </c>
      <c r="D582" s="1">
        <f>AVERAGE(VLOOKUP(Table7[[#This Row],[Student_ID]],student_skills[],3,0),VLOOKUP(Table7[[#This Row],[Student_ID]],student_skills[],4,0),VLOOKUP(Table7[[#This Row],[Student_ID]],student_skills[],5,0),VLOOKUP(Table7[[#This Row],[Student_ID]],student_skills[],6,0))</f>
        <v>7.25</v>
      </c>
      <c r="E582" s="1" t="str">
        <f>IF(VLOOKUP(Table7[[#This Row],[Student_ID]],student_internships[#All],2,0)&gt;1,"EXPERIENCED",IF(VLOOKUP(Table7[[#This Row],[Student_ID]],student_internships[#All],2,0)=1,"BEGINNER","NOT EXPERIENCED"))</f>
        <v>BEGINNER</v>
      </c>
      <c r="F582" s="1">
        <f>VLOOKUP(Table7[[#This Row],[Student_ID]],student_data[],5,0)</f>
        <v>5.58</v>
      </c>
      <c r="G582" s="1">
        <f>VLOOKUP(Table7[[#This Row],[Student_ID]],student_data[#All],6,0)</f>
        <v>4</v>
      </c>
      <c r="H582" s="1">
        <f>VLOOKUP(Table7[[#This Row],[Student_ID]],student_internships[],2,0)</f>
        <v>1</v>
      </c>
      <c r="I582" s="1">
        <f>VLOOKUP(Table7[[#This Row],[Student_ID]],Placements!A582:E1581,5,0)</f>
        <v>0</v>
      </c>
      <c r="J582" s="1" t="str">
        <f>IF(VLOOKUP(Table7[[#This Row],[Student_ID]],student_data[#All],5,0)&gt;8,"HIGH",IF(VLOOKUP(Table7[[#This Row],[Student_ID]],student_data[#All],5,0)&lt;6.5,"LOW","MEDIUM"))</f>
        <v>LOW</v>
      </c>
    </row>
    <row r="583" spans="1:10" x14ac:dyDescent="0.2">
      <c r="A583" s="1" t="s">
        <v>592</v>
      </c>
      <c r="B583" s="1" t="str">
        <f>VLOOKUP(Table7[[#This Row],[Student_ID]],student_data[#All],2,0)</f>
        <v>Civil</v>
      </c>
      <c r="C583" s="1">
        <f>(VLOOKUP(Table7[[#This Row],[Student_ID]],student_data[],5,0)*5)+(VLOOKUP(Table7[[#This Row],[Student_ID]],student_data[],6,0)*3)+(VLOOKUP(Table7[[#This Row],[Student_ID]],student_skills[],6,0)*2)+(VLOOKUP(Table7[[#This Row],[Student_ID]],student_internships[],2,0)*5)</f>
        <v>62.5</v>
      </c>
      <c r="D583" s="1">
        <f>AVERAGE(VLOOKUP(Table7[[#This Row],[Student_ID]],student_skills[],3,0),VLOOKUP(Table7[[#This Row],[Student_ID]],student_skills[],4,0),VLOOKUP(Table7[[#This Row],[Student_ID]],student_skills[],5,0),VLOOKUP(Table7[[#This Row],[Student_ID]],student_skills[],6,0))</f>
        <v>2.75</v>
      </c>
      <c r="E583" s="1" t="str">
        <f>IF(VLOOKUP(Table7[[#This Row],[Student_ID]],student_internships[#All],2,0)&gt;1,"EXPERIENCED",IF(VLOOKUP(Table7[[#This Row],[Student_ID]],student_internships[#All],2,0)=1,"BEGINNER","NOT EXPERIENCED"))</f>
        <v>NOT EXPERIENCED</v>
      </c>
      <c r="F583" s="1">
        <f>VLOOKUP(Table7[[#This Row],[Student_ID]],student_data[],5,0)</f>
        <v>8.9</v>
      </c>
      <c r="G583" s="1">
        <f>VLOOKUP(Table7[[#This Row],[Student_ID]],student_data[#All],6,0)</f>
        <v>4</v>
      </c>
      <c r="H583" s="1">
        <f>VLOOKUP(Table7[[#This Row],[Student_ID]],student_internships[],2,0)</f>
        <v>0</v>
      </c>
      <c r="I583" s="1">
        <f>VLOOKUP(Table7[[#This Row],[Student_ID]],Placements!A583:E1582,5,0)</f>
        <v>4.8600000000000003</v>
      </c>
      <c r="J583" s="1" t="str">
        <f>IF(VLOOKUP(Table7[[#This Row],[Student_ID]],student_data[#All],5,0)&gt;8,"HIGH",IF(VLOOKUP(Table7[[#This Row],[Student_ID]],student_data[#All],5,0)&lt;6.5,"LOW","MEDIUM"))</f>
        <v>HIGH</v>
      </c>
    </row>
    <row r="584" spans="1:10" x14ac:dyDescent="0.2">
      <c r="A584" s="1" t="s">
        <v>593</v>
      </c>
      <c r="B584" s="1" t="str">
        <f>VLOOKUP(Table7[[#This Row],[Student_ID]],student_data[#All],2,0)</f>
        <v>Civil</v>
      </c>
      <c r="C584" s="1">
        <f>(VLOOKUP(Table7[[#This Row],[Student_ID]],student_data[],5,0)*5)+(VLOOKUP(Table7[[#This Row],[Student_ID]],student_data[],6,0)*3)+(VLOOKUP(Table7[[#This Row],[Student_ID]],student_skills[],6,0)*2)+(VLOOKUP(Table7[[#This Row],[Student_ID]],student_internships[],2,0)*5)</f>
        <v>51.65</v>
      </c>
      <c r="D584" s="1">
        <f>AVERAGE(VLOOKUP(Table7[[#This Row],[Student_ID]],student_skills[],3,0),VLOOKUP(Table7[[#This Row],[Student_ID]],student_skills[],4,0),VLOOKUP(Table7[[#This Row],[Student_ID]],student_skills[],5,0),VLOOKUP(Table7[[#This Row],[Student_ID]],student_skills[],6,0))</f>
        <v>5.25</v>
      </c>
      <c r="E584" s="1" t="str">
        <f>IF(VLOOKUP(Table7[[#This Row],[Student_ID]],student_internships[#All],2,0)&gt;1,"EXPERIENCED",IF(VLOOKUP(Table7[[#This Row],[Student_ID]],student_internships[#All],2,0)=1,"BEGINNER","NOT EXPERIENCED"))</f>
        <v>BEGINNER</v>
      </c>
      <c r="F584" s="1">
        <f>VLOOKUP(Table7[[#This Row],[Student_ID]],student_data[],5,0)</f>
        <v>8.93</v>
      </c>
      <c r="G584" s="1">
        <f>VLOOKUP(Table7[[#This Row],[Student_ID]],student_data[#All],6,0)</f>
        <v>0</v>
      </c>
      <c r="H584" s="1">
        <f>VLOOKUP(Table7[[#This Row],[Student_ID]],student_internships[],2,0)</f>
        <v>1</v>
      </c>
      <c r="I584" s="1">
        <f>VLOOKUP(Table7[[#This Row],[Student_ID]],Placements!A584:E1583,5,0)</f>
        <v>6.86</v>
      </c>
      <c r="J584" s="1" t="str">
        <f>IF(VLOOKUP(Table7[[#This Row],[Student_ID]],student_data[#All],5,0)&gt;8,"HIGH",IF(VLOOKUP(Table7[[#This Row],[Student_ID]],student_data[#All],5,0)&lt;6.5,"LOW","MEDIUM"))</f>
        <v>HIGH</v>
      </c>
    </row>
    <row r="585" spans="1:10" x14ac:dyDescent="0.2">
      <c r="A585" s="1" t="s">
        <v>594</v>
      </c>
      <c r="B585" s="1" t="str">
        <f>VLOOKUP(Table7[[#This Row],[Student_ID]],student_data[#All],2,0)</f>
        <v>Information Technology</v>
      </c>
      <c r="C585" s="1">
        <f>(VLOOKUP(Table7[[#This Row],[Student_ID]],student_data[],5,0)*5)+(VLOOKUP(Table7[[#This Row],[Student_ID]],student_data[],6,0)*3)+(VLOOKUP(Table7[[#This Row],[Student_ID]],student_skills[],6,0)*2)+(VLOOKUP(Table7[[#This Row],[Student_ID]],student_internships[],2,0)*5)</f>
        <v>79.05</v>
      </c>
      <c r="D585" s="1">
        <f>AVERAGE(VLOOKUP(Table7[[#This Row],[Student_ID]],student_skills[],3,0),VLOOKUP(Table7[[#This Row],[Student_ID]],student_skills[],4,0),VLOOKUP(Table7[[#This Row],[Student_ID]],student_skills[],5,0),VLOOKUP(Table7[[#This Row],[Student_ID]],student_skills[],6,0))</f>
        <v>7</v>
      </c>
      <c r="E585" s="1" t="str">
        <f>IF(VLOOKUP(Table7[[#This Row],[Student_ID]],student_internships[#All],2,0)&gt;1,"EXPERIENCED",IF(VLOOKUP(Table7[[#This Row],[Student_ID]],student_internships[#All],2,0)=1,"BEGINNER","NOT EXPERIENCED"))</f>
        <v>EXPERIENCED</v>
      </c>
      <c r="F585" s="1">
        <f>VLOOKUP(Table7[[#This Row],[Student_ID]],student_data[],5,0)</f>
        <v>8.01</v>
      </c>
      <c r="G585" s="1">
        <f>VLOOKUP(Table7[[#This Row],[Student_ID]],student_data[#All],6,0)</f>
        <v>2</v>
      </c>
      <c r="H585" s="1">
        <f>VLOOKUP(Table7[[#This Row],[Student_ID]],student_internships[],2,0)</f>
        <v>3</v>
      </c>
      <c r="I585" s="1">
        <f>VLOOKUP(Table7[[#This Row],[Student_ID]],Placements!A585:E1584,5,0)</f>
        <v>5.13</v>
      </c>
      <c r="J585" s="1" t="str">
        <f>IF(VLOOKUP(Table7[[#This Row],[Student_ID]],student_data[#All],5,0)&gt;8,"HIGH",IF(VLOOKUP(Table7[[#This Row],[Student_ID]],student_data[#All],5,0)&lt;6.5,"LOW","MEDIUM"))</f>
        <v>HIGH</v>
      </c>
    </row>
    <row r="586" spans="1:10" x14ac:dyDescent="0.2">
      <c r="A586" s="1" t="s">
        <v>595</v>
      </c>
      <c r="B586" s="1" t="str">
        <f>VLOOKUP(Table7[[#This Row],[Student_ID]],student_data[#All],2,0)</f>
        <v>Computer Science</v>
      </c>
      <c r="C586" s="1">
        <f>(VLOOKUP(Table7[[#This Row],[Student_ID]],student_data[],5,0)*5)+(VLOOKUP(Table7[[#This Row],[Student_ID]],student_data[],6,0)*3)+(VLOOKUP(Table7[[#This Row],[Student_ID]],student_skills[],6,0)*2)+(VLOOKUP(Table7[[#This Row],[Student_ID]],student_internships[],2,0)*5)</f>
        <v>71.75</v>
      </c>
      <c r="D586" s="1">
        <f>AVERAGE(VLOOKUP(Table7[[#This Row],[Student_ID]],student_skills[],3,0),VLOOKUP(Table7[[#This Row],[Student_ID]],student_skills[],4,0),VLOOKUP(Table7[[#This Row],[Student_ID]],student_skills[],5,0),VLOOKUP(Table7[[#This Row],[Student_ID]],student_skills[],6,0))</f>
        <v>4.5</v>
      </c>
      <c r="E586" s="1" t="str">
        <f>IF(VLOOKUP(Table7[[#This Row],[Student_ID]],student_internships[#All],2,0)&gt;1,"EXPERIENCED",IF(VLOOKUP(Table7[[#This Row],[Student_ID]],student_internships[#All],2,0)=1,"BEGINNER","NOT EXPERIENCED"))</f>
        <v>BEGINNER</v>
      </c>
      <c r="F586" s="1">
        <f>VLOOKUP(Table7[[#This Row],[Student_ID]],student_data[],5,0)</f>
        <v>9.9499999999999993</v>
      </c>
      <c r="G586" s="1">
        <f>VLOOKUP(Table7[[#This Row],[Student_ID]],student_data[#All],6,0)</f>
        <v>1</v>
      </c>
      <c r="H586" s="1">
        <f>VLOOKUP(Table7[[#This Row],[Student_ID]],student_internships[],2,0)</f>
        <v>1</v>
      </c>
      <c r="I586" s="1">
        <f>VLOOKUP(Table7[[#This Row],[Student_ID]],Placements!A586:E1585,5,0)</f>
        <v>4.3499999999999996</v>
      </c>
      <c r="J586" s="1" t="str">
        <f>IF(VLOOKUP(Table7[[#This Row],[Student_ID]],student_data[#All],5,0)&gt;8,"HIGH",IF(VLOOKUP(Table7[[#This Row],[Student_ID]],student_data[#All],5,0)&lt;6.5,"LOW","MEDIUM"))</f>
        <v>HIGH</v>
      </c>
    </row>
    <row r="587" spans="1:10" x14ac:dyDescent="0.2">
      <c r="A587" s="1" t="s">
        <v>596</v>
      </c>
      <c r="B587" s="1" t="str">
        <f>VLOOKUP(Table7[[#This Row],[Student_ID]],student_data[#All],2,0)</f>
        <v>Computer Science</v>
      </c>
      <c r="C587" s="1">
        <f>(VLOOKUP(Table7[[#This Row],[Student_ID]],student_data[],5,0)*5)+(VLOOKUP(Table7[[#This Row],[Student_ID]],student_data[],6,0)*3)+(VLOOKUP(Table7[[#This Row],[Student_ID]],student_skills[],6,0)*2)+(VLOOKUP(Table7[[#This Row],[Student_ID]],student_internships[],2,0)*5)</f>
        <v>40.15</v>
      </c>
      <c r="D587" s="1">
        <f>AVERAGE(VLOOKUP(Table7[[#This Row],[Student_ID]],student_skills[],3,0),VLOOKUP(Table7[[#This Row],[Student_ID]],student_skills[],4,0),VLOOKUP(Table7[[#This Row],[Student_ID]],student_skills[],5,0),VLOOKUP(Table7[[#This Row],[Student_ID]],student_skills[],6,0))</f>
        <v>5.5</v>
      </c>
      <c r="E587" s="1" t="str">
        <f>IF(VLOOKUP(Table7[[#This Row],[Student_ID]],student_internships[#All],2,0)&gt;1,"EXPERIENCED",IF(VLOOKUP(Table7[[#This Row],[Student_ID]],student_internships[#All],2,0)=1,"BEGINNER","NOT EXPERIENCED"))</f>
        <v>BEGINNER</v>
      </c>
      <c r="F587" s="1">
        <f>VLOOKUP(Table7[[#This Row],[Student_ID]],student_data[],5,0)</f>
        <v>6.63</v>
      </c>
      <c r="G587" s="1">
        <f>VLOOKUP(Table7[[#This Row],[Student_ID]],student_data[#All],6,0)</f>
        <v>0</v>
      </c>
      <c r="H587" s="1">
        <f>VLOOKUP(Table7[[#This Row],[Student_ID]],student_internships[],2,0)</f>
        <v>1</v>
      </c>
      <c r="I587" s="1">
        <f>VLOOKUP(Table7[[#This Row],[Student_ID]],Placements!A587:E1586,5,0)</f>
        <v>4.8600000000000003</v>
      </c>
      <c r="J587" s="1" t="str">
        <f>IF(VLOOKUP(Table7[[#This Row],[Student_ID]],student_data[#All],5,0)&gt;8,"HIGH",IF(VLOOKUP(Table7[[#This Row],[Student_ID]],student_data[#All],5,0)&lt;6.5,"LOW","MEDIUM"))</f>
        <v>MEDIUM</v>
      </c>
    </row>
    <row r="588" spans="1:10" x14ac:dyDescent="0.2">
      <c r="A588" s="1" t="s">
        <v>597</v>
      </c>
      <c r="B588" s="1" t="str">
        <f>VLOOKUP(Table7[[#This Row],[Student_ID]],student_data[#All],2,0)</f>
        <v>Mechanical</v>
      </c>
      <c r="C588" s="1">
        <f>(VLOOKUP(Table7[[#This Row],[Student_ID]],student_data[],5,0)*5)+(VLOOKUP(Table7[[#This Row],[Student_ID]],student_data[],6,0)*3)+(VLOOKUP(Table7[[#This Row],[Student_ID]],student_skills[],6,0)*2)+(VLOOKUP(Table7[[#This Row],[Student_ID]],student_internships[],2,0)*5)</f>
        <v>65.550000000000011</v>
      </c>
      <c r="D588" s="1">
        <f>AVERAGE(VLOOKUP(Table7[[#This Row],[Student_ID]],student_skills[],3,0),VLOOKUP(Table7[[#This Row],[Student_ID]],student_skills[],4,0),VLOOKUP(Table7[[#This Row],[Student_ID]],student_skills[],5,0),VLOOKUP(Table7[[#This Row],[Student_ID]],student_skills[],6,0))</f>
        <v>5.5</v>
      </c>
      <c r="E588" s="1" t="str">
        <f>IF(VLOOKUP(Table7[[#This Row],[Student_ID]],student_internships[#All],2,0)&gt;1,"EXPERIENCED",IF(VLOOKUP(Table7[[#This Row],[Student_ID]],student_internships[#All],2,0)=1,"BEGINNER","NOT EXPERIENCED"))</f>
        <v>BEGINNER</v>
      </c>
      <c r="F588" s="1">
        <f>VLOOKUP(Table7[[#This Row],[Student_ID]],student_data[],5,0)</f>
        <v>9.7100000000000009</v>
      </c>
      <c r="G588" s="1">
        <f>VLOOKUP(Table7[[#This Row],[Student_ID]],student_data[#All],6,0)</f>
        <v>2</v>
      </c>
      <c r="H588" s="1">
        <f>VLOOKUP(Table7[[#This Row],[Student_ID]],student_internships[],2,0)</f>
        <v>1</v>
      </c>
      <c r="I588" s="1">
        <f>VLOOKUP(Table7[[#This Row],[Student_ID]],Placements!A588:E1587,5,0)</f>
        <v>6.01</v>
      </c>
      <c r="J588" s="1" t="str">
        <f>IF(VLOOKUP(Table7[[#This Row],[Student_ID]],student_data[#All],5,0)&gt;8,"HIGH",IF(VLOOKUP(Table7[[#This Row],[Student_ID]],student_data[#All],5,0)&lt;6.5,"LOW","MEDIUM"))</f>
        <v>HIGH</v>
      </c>
    </row>
    <row r="589" spans="1:10" x14ac:dyDescent="0.2">
      <c r="A589" s="1" t="s">
        <v>598</v>
      </c>
      <c r="B589" s="1" t="str">
        <f>VLOOKUP(Table7[[#This Row],[Student_ID]],student_data[#All],2,0)</f>
        <v>Information Technology</v>
      </c>
      <c r="C589" s="1">
        <f>(VLOOKUP(Table7[[#This Row],[Student_ID]],student_data[],5,0)*5)+(VLOOKUP(Table7[[#This Row],[Student_ID]],student_data[],6,0)*3)+(VLOOKUP(Table7[[#This Row],[Student_ID]],student_skills[],6,0)*2)+(VLOOKUP(Table7[[#This Row],[Student_ID]],student_internships[],2,0)*5)</f>
        <v>64.849999999999994</v>
      </c>
      <c r="D589" s="1">
        <f>AVERAGE(VLOOKUP(Table7[[#This Row],[Student_ID]],student_skills[],3,0),VLOOKUP(Table7[[#This Row],[Student_ID]],student_skills[],4,0),VLOOKUP(Table7[[#This Row],[Student_ID]],student_skills[],5,0),VLOOKUP(Table7[[#This Row],[Student_ID]],student_skills[],6,0))</f>
        <v>4.75</v>
      </c>
      <c r="E589" s="1" t="str">
        <f>IF(VLOOKUP(Table7[[#This Row],[Student_ID]],student_internships[#All],2,0)&gt;1,"EXPERIENCED",IF(VLOOKUP(Table7[[#This Row],[Student_ID]],student_internships[#All],2,0)=1,"BEGINNER","NOT EXPERIENCED"))</f>
        <v>NOT EXPERIENCED</v>
      </c>
      <c r="F589" s="1">
        <f>VLOOKUP(Table7[[#This Row],[Student_ID]],student_data[],5,0)</f>
        <v>9.57</v>
      </c>
      <c r="G589" s="1">
        <f>VLOOKUP(Table7[[#This Row],[Student_ID]],student_data[#All],6,0)</f>
        <v>3</v>
      </c>
      <c r="H589" s="1">
        <f>VLOOKUP(Table7[[#This Row],[Student_ID]],student_internships[],2,0)</f>
        <v>0</v>
      </c>
      <c r="I589" s="1">
        <f>VLOOKUP(Table7[[#This Row],[Student_ID]],Placements!A589:E1588,5,0)</f>
        <v>4.5</v>
      </c>
      <c r="J589" s="1" t="str">
        <f>IF(VLOOKUP(Table7[[#This Row],[Student_ID]],student_data[#All],5,0)&gt;8,"HIGH",IF(VLOOKUP(Table7[[#This Row],[Student_ID]],student_data[#All],5,0)&lt;6.5,"LOW","MEDIUM"))</f>
        <v>HIGH</v>
      </c>
    </row>
    <row r="590" spans="1:10" x14ac:dyDescent="0.2">
      <c r="A590" s="1" t="s">
        <v>599</v>
      </c>
      <c r="B590" s="1" t="str">
        <f>VLOOKUP(Table7[[#This Row],[Student_ID]],student_data[#All],2,0)</f>
        <v>Civil</v>
      </c>
      <c r="C590" s="1">
        <f>(VLOOKUP(Table7[[#This Row],[Student_ID]],student_data[],5,0)*5)+(VLOOKUP(Table7[[#This Row],[Student_ID]],student_data[],6,0)*3)+(VLOOKUP(Table7[[#This Row],[Student_ID]],student_skills[],6,0)*2)+(VLOOKUP(Table7[[#This Row],[Student_ID]],student_internships[],2,0)*5)</f>
        <v>45.3</v>
      </c>
      <c r="D590" s="1">
        <f>AVERAGE(VLOOKUP(Table7[[#This Row],[Student_ID]],student_skills[],3,0),VLOOKUP(Table7[[#This Row],[Student_ID]],student_skills[],4,0),VLOOKUP(Table7[[#This Row],[Student_ID]],student_skills[],5,0),VLOOKUP(Table7[[#This Row],[Student_ID]],student_skills[],6,0))</f>
        <v>7</v>
      </c>
      <c r="E590" s="1" t="str">
        <f>IF(VLOOKUP(Table7[[#This Row],[Student_ID]],student_internships[#All],2,0)&gt;1,"EXPERIENCED",IF(VLOOKUP(Table7[[#This Row],[Student_ID]],student_internships[#All],2,0)=1,"BEGINNER","NOT EXPERIENCED"))</f>
        <v>NOT EXPERIENCED</v>
      </c>
      <c r="F590" s="1">
        <f>VLOOKUP(Table7[[#This Row],[Student_ID]],student_data[],5,0)</f>
        <v>5.0599999999999996</v>
      </c>
      <c r="G590" s="1">
        <f>VLOOKUP(Table7[[#This Row],[Student_ID]],student_data[#All],6,0)</f>
        <v>4</v>
      </c>
      <c r="H590" s="1">
        <f>VLOOKUP(Table7[[#This Row],[Student_ID]],student_internships[],2,0)</f>
        <v>0</v>
      </c>
      <c r="I590" s="1">
        <f>VLOOKUP(Table7[[#This Row],[Student_ID]],Placements!A590:E1589,5,0)</f>
        <v>4.5999999999999996</v>
      </c>
      <c r="J590" s="1" t="str">
        <f>IF(VLOOKUP(Table7[[#This Row],[Student_ID]],student_data[#All],5,0)&gt;8,"HIGH",IF(VLOOKUP(Table7[[#This Row],[Student_ID]],student_data[#All],5,0)&lt;6.5,"LOW","MEDIUM"))</f>
        <v>LOW</v>
      </c>
    </row>
    <row r="591" spans="1:10" x14ac:dyDescent="0.2">
      <c r="A591" s="1" t="s">
        <v>600</v>
      </c>
      <c r="B591" s="1" t="str">
        <f>VLOOKUP(Table7[[#This Row],[Student_ID]],student_data[#All],2,0)</f>
        <v>Computer Science</v>
      </c>
      <c r="C591" s="1">
        <f>(VLOOKUP(Table7[[#This Row],[Student_ID]],student_data[],5,0)*5)+(VLOOKUP(Table7[[#This Row],[Student_ID]],student_data[],6,0)*3)+(VLOOKUP(Table7[[#This Row],[Student_ID]],student_skills[],6,0)*2)+(VLOOKUP(Table7[[#This Row],[Student_ID]],student_internships[],2,0)*5)</f>
        <v>61.25</v>
      </c>
      <c r="D591" s="1">
        <f>AVERAGE(VLOOKUP(Table7[[#This Row],[Student_ID]],student_skills[],3,0),VLOOKUP(Table7[[#This Row],[Student_ID]],student_skills[],4,0),VLOOKUP(Table7[[#This Row],[Student_ID]],student_skills[],5,0),VLOOKUP(Table7[[#This Row],[Student_ID]],student_skills[],6,0))</f>
        <v>6.25</v>
      </c>
      <c r="E591" s="1" t="str">
        <f>IF(VLOOKUP(Table7[[#This Row],[Student_ID]],student_internships[#All],2,0)&gt;1,"EXPERIENCED",IF(VLOOKUP(Table7[[#This Row],[Student_ID]],student_internships[#All],2,0)=1,"BEGINNER","NOT EXPERIENCED"))</f>
        <v>NOT EXPERIENCED</v>
      </c>
      <c r="F591" s="1">
        <f>VLOOKUP(Table7[[#This Row],[Student_ID]],student_data[],5,0)</f>
        <v>7.25</v>
      </c>
      <c r="G591" s="1">
        <f>VLOOKUP(Table7[[#This Row],[Student_ID]],student_data[#All],6,0)</f>
        <v>5</v>
      </c>
      <c r="H591" s="1">
        <f>VLOOKUP(Table7[[#This Row],[Student_ID]],student_internships[],2,0)</f>
        <v>0</v>
      </c>
      <c r="I591" s="1">
        <f>VLOOKUP(Table7[[#This Row],[Student_ID]],Placements!A591:E1590,5,0)</f>
        <v>4.1100000000000003</v>
      </c>
      <c r="J591" s="1" t="str">
        <f>IF(VLOOKUP(Table7[[#This Row],[Student_ID]],student_data[#All],5,0)&gt;8,"HIGH",IF(VLOOKUP(Table7[[#This Row],[Student_ID]],student_data[#All],5,0)&lt;6.5,"LOW","MEDIUM"))</f>
        <v>MEDIUM</v>
      </c>
    </row>
    <row r="592" spans="1:10" x14ac:dyDescent="0.2">
      <c r="A592" s="1" t="s">
        <v>601</v>
      </c>
      <c r="B592" s="1" t="str">
        <f>VLOOKUP(Table7[[#This Row],[Student_ID]],student_data[#All],2,0)</f>
        <v>Civil</v>
      </c>
      <c r="C592" s="1">
        <f>(VLOOKUP(Table7[[#This Row],[Student_ID]],student_data[],5,0)*5)+(VLOOKUP(Table7[[#This Row],[Student_ID]],student_data[],6,0)*3)+(VLOOKUP(Table7[[#This Row],[Student_ID]],student_skills[],6,0)*2)+(VLOOKUP(Table7[[#This Row],[Student_ID]],student_internships[],2,0)*5)</f>
        <v>58.45</v>
      </c>
      <c r="D592" s="1">
        <f>AVERAGE(VLOOKUP(Table7[[#This Row],[Student_ID]],student_skills[],3,0),VLOOKUP(Table7[[#This Row],[Student_ID]],student_skills[],4,0),VLOOKUP(Table7[[#This Row],[Student_ID]],student_skills[],5,0),VLOOKUP(Table7[[#This Row],[Student_ID]],student_skills[],6,0))</f>
        <v>2.75</v>
      </c>
      <c r="E592" s="1" t="str">
        <f>IF(VLOOKUP(Table7[[#This Row],[Student_ID]],student_internships[#All],2,0)&gt;1,"EXPERIENCED",IF(VLOOKUP(Table7[[#This Row],[Student_ID]],student_internships[#All],2,0)=1,"BEGINNER","NOT EXPERIENCED"))</f>
        <v>NOT EXPERIENCED</v>
      </c>
      <c r="F592" s="1">
        <f>VLOOKUP(Table7[[#This Row],[Student_ID]],student_data[],5,0)</f>
        <v>9.89</v>
      </c>
      <c r="G592" s="1">
        <f>VLOOKUP(Table7[[#This Row],[Student_ID]],student_data[#All],6,0)</f>
        <v>1</v>
      </c>
      <c r="H592" s="1">
        <f>VLOOKUP(Table7[[#This Row],[Student_ID]],student_internships[],2,0)</f>
        <v>0</v>
      </c>
      <c r="I592" s="1">
        <f>VLOOKUP(Table7[[#This Row],[Student_ID]],Placements!A592:E1591,5,0)</f>
        <v>4.3</v>
      </c>
      <c r="J592" s="1" t="str">
        <f>IF(VLOOKUP(Table7[[#This Row],[Student_ID]],student_data[#All],5,0)&gt;8,"HIGH",IF(VLOOKUP(Table7[[#This Row],[Student_ID]],student_data[#All],5,0)&lt;6.5,"LOW","MEDIUM"))</f>
        <v>HIGH</v>
      </c>
    </row>
    <row r="593" spans="1:10" x14ac:dyDescent="0.2">
      <c r="A593" s="1" t="s">
        <v>602</v>
      </c>
      <c r="B593" s="1" t="str">
        <f>VLOOKUP(Table7[[#This Row],[Student_ID]],student_data[#All],2,0)</f>
        <v>Computer Science</v>
      </c>
      <c r="C593" s="1">
        <f>(VLOOKUP(Table7[[#This Row],[Student_ID]],student_data[],5,0)*5)+(VLOOKUP(Table7[[#This Row],[Student_ID]],student_data[],6,0)*3)+(VLOOKUP(Table7[[#This Row],[Student_ID]],student_skills[],6,0)*2)+(VLOOKUP(Table7[[#This Row],[Student_ID]],student_internships[],2,0)*5)</f>
        <v>48.599999999999994</v>
      </c>
      <c r="D593" s="1">
        <f>AVERAGE(VLOOKUP(Table7[[#This Row],[Student_ID]],student_skills[],3,0),VLOOKUP(Table7[[#This Row],[Student_ID]],student_skills[],4,0),VLOOKUP(Table7[[#This Row],[Student_ID]],student_skills[],5,0),VLOOKUP(Table7[[#This Row],[Student_ID]],student_skills[],6,0))</f>
        <v>4.25</v>
      </c>
      <c r="E593" s="1" t="str">
        <f>IF(VLOOKUP(Table7[[#This Row],[Student_ID]],student_internships[#All],2,0)&gt;1,"EXPERIENCED",IF(VLOOKUP(Table7[[#This Row],[Student_ID]],student_internships[#All],2,0)=1,"BEGINNER","NOT EXPERIENCED"))</f>
        <v>NOT EXPERIENCED</v>
      </c>
      <c r="F593" s="1">
        <f>VLOOKUP(Table7[[#This Row],[Student_ID]],student_data[],5,0)</f>
        <v>5.52</v>
      </c>
      <c r="G593" s="1">
        <f>VLOOKUP(Table7[[#This Row],[Student_ID]],student_data[#All],6,0)</f>
        <v>5</v>
      </c>
      <c r="H593" s="1">
        <f>VLOOKUP(Table7[[#This Row],[Student_ID]],student_internships[],2,0)</f>
        <v>0</v>
      </c>
      <c r="I593" s="1">
        <f>VLOOKUP(Table7[[#This Row],[Student_ID]],Placements!A593:E1592,5,0)</f>
        <v>0</v>
      </c>
      <c r="J593" s="1" t="str">
        <f>IF(VLOOKUP(Table7[[#This Row],[Student_ID]],student_data[#All],5,0)&gt;8,"HIGH",IF(VLOOKUP(Table7[[#This Row],[Student_ID]],student_data[#All],5,0)&lt;6.5,"LOW","MEDIUM"))</f>
        <v>LOW</v>
      </c>
    </row>
    <row r="594" spans="1:10" x14ac:dyDescent="0.2">
      <c r="A594" s="1" t="s">
        <v>603</v>
      </c>
      <c r="B594" s="1" t="str">
        <f>VLOOKUP(Table7[[#This Row],[Student_ID]],student_data[#All],2,0)</f>
        <v>Computer Science</v>
      </c>
      <c r="C594" s="1">
        <f>(VLOOKUP(Table7[[#This Row],[Student_ID]],student_data[],5,0)*5)+(VLOOKUP(Table7[[#This Row],[Student_ID]],student_data[],6,0)*3)+(VLOOKUP(Table7[[#This Row],[Student_ID]],student_skills[],6,0)*2)+(VLOOKUP(Table7[[#This Row],[Student_ID]],student_internships[],2,0)*5)</f>
        <v>52.7</v>
      </c>
      <c r="D594" s="1">
        <f>AVERAGE(VLOOKUP(Table7[[#This Row],[Student_ID]],student_skills[],3,0),VLOOKUP(Table7[[#This Row],[Student_ID]],student_skills[],4,0),VLOOKUP(Table7[[#This Row],[Student_ID]],student_skills[],5,0),VLOOKUP(Table7[[#This Row],[Student_ID]],student_skills[],6,0))</f>
        <v>4.75</v>
      </c>
      <c r="E594" s="1" t="str">
        <f>IF(VLOOKUP(Table7[[#This Row],[Student_ID]],student_internships[#All],2,0)&gt;1,"EXPERIENCED",IF(VLOOKUP(Table7[[#This Row],[Student_ID]],student_internships[#All],2,0)=1,"BEGINNER","NOT EXPERIENCED"))</f>
        <v>NOT EXPERIENCED</v>
      </c>
      <c r="F594" s="1">
        <f>VLOOKUP(Table7[[#This Row],[Student_ID]],student_data[],5,0)</f>
        <v>7.74</v>
      </c>
      <c r="G594" s="1">
        <f>VLOOKUP(Table7[[#This Row],[Student_ID]],student_data[#All],6,0)</f>
        <v>4</v>
      </c>
      <c r="H594" s="1">
        <f>VLOOKUP(Table7[[#This Row],[Student_ID]],student_internships[],2,0)</f>
        <v>0</v>
      </c>
      <c r="I594" s="1">
        <f>VLOOKUP(Table7[[#This Row],[Student_ID]],Placements!A594:E1593,5,0)</f>
        <v>5.15</v>
      </c>
      <c r="J594" s="1" t="str">
        <f>IF(VLOOKUP(Table7[[#This Row],[Student_ID]],student_data[#All],5,0)&gt;8,"HIGH",IF(VLOOKUP(Table7[[#This Row],[Student_ID]],student_data[#All],5,0)&lt;6.5,"LOW","MEDIUM"))</f>
        <v>MEDIUM</v>
      </c>
    </row>
    <row r="595" spans="1:10" x14ac:dyDescent="0.2">
      <c r="A595" s="1" t="s">
        <v>604</v>
      </c>
      <c r="B595" s="1" t="str">
        <f>VLOOKUP(Table7[[#This Row],[Student_ID]],student_data[#All],2,0)</f>
        <v>Computer Science</v>
      </c>
      <c r="C595" s="1">
        <f>(VLOOKUP(Table7[[#This Row],[Student_ID]],student_data[],5,0)*5)+(VLOOKUP(Table7[[#This Row],[Student_ID]],student_data[],6,0)*3)+(VLOOKUP(Table7[[#This Row],[Student_ID]],student_skills[],6,0)*2)+(VLOOKUP(Table7[[#This Row],[Student_ID]],student_internships[],2,0)*5)</f>
        <v>83.45</v>
      </c>
      <c r="D595" s="1">
        <f>AVERAGE(VLOOKUP(Table7[[#This Row],[Student_ID]],student_skills[],3,0),VLOOKUP(Table7[[#This Row],[Student_ID]],student_skills[],4,0),VLOOKUP(Table7[[#This Row],[Student_ID]],student_skills[],5,0),VLOOKUP(Table7[[#This Row],[Student_ID]],student_skills[],6,0))</f>
        <v>3.75</v>
      </c>
      <c r="E595" s="1" t="str">
        <f>IF(VLOOKUP(Table7[[#This Row],[Student_ID]],student_internships[#All],2,0)&gt;1,"EXPERIENCED",IF(VLOOKUP(Table7[[#This Row],[Student_ID]],student_internships[#All],2,0)=1,"BEGINNER","NOT EXPERIENCED"))</f>
        <v>BEGINNER</v>
      </c>
      <c r="F595" s="1">
        <f>VLOOKUP(Table7[[#This Row],[Student_ID]],student_data[],5,0)</f>
        <v>9.89</v>
      </c>
      <c r="G595" s="1">
        <f>VLOOKUP(Table7[[#This Row],[Student_ID]],student_data[#All],6,0)</f>
        <v>5</v>
      </c>
      <c r="H595" s="1">
        <f>VLOOKUP(Table7[[#This Row],[Student_ID]],student_internships[],2,0)</f>
        <v>1</v>
      </c>
      <c r="I595" s="1">
        <f>VLOOKUP(Table7[[#This Row],[Student_ID]],Placements!A595:E1594,5,0)</f>
        <v>0</v>
      </c>
      <c r="J595" s="1" t="str">
        <f>IF(VLOOKUP(Table7[[#This Row],[Student_ID]],student_data[#All],5,0)&gt;8,"HIGH",IF(VLOOKUP(Table7[[#This Row],[Student_ID]],student_data[#All],5,0)&lt;6.5,"LOW","MEDIUM"))</f>
        <v>HIGH</v>
      </c>
    </row>
    <row r="596" spans="1:10" x14ac:dyDescent="0.2">
      <c r="A596" s="1" t="s">
        <v>605</v>
      </c>
      <c r="B596" s="1" t="str">
        <f>VLOOKUP(Table7[[#This Row],[Student_ID]],student_data[#All],2,0)</f>
        <v>Information Technology</v>
      </c>
      <c r="C596" s="1">
        <f>(VLOOKUP(Table7[[#This Row],[Student_ID]],student_data[],5,0)*5)+(VLOOKUP(Table7[[#This Row],[Student_ID]],student_data[],6,0)*3)+(VLOOKUP(Table7[[#This Row],[Student_ID]],student_skills[],6,0)*2)+(VLOOKUP(Table7[[#This Row],[Student_ID]],student_internships[],2,0)*5)</f>
        <v>67.900000000000006</v>
      </c>
      <c r="D596" s="1">
        <f>AVERAGE(VLOOKUP(Table7[[#This Row],[Student_ID]],student_skills[],3,0),VLOOKUP(Table7[[#This Row],[Student_ID]],student_skills[],4,0),VLOOKUP(Table7[[#This Row],[Student_ID]],student_skills[],5,0),VLOOKUP(Table7[[#This Row],[Student_ID]],student_skills[],6,0))</f>
        <v>6.25</v>
      </c>
      <c r="E596" s="1" t="str">
        <f>IF(VLOOKUP(Table7[[#This Row],[Student_ID]],student_internships[#All],2,0)&gt;1,"EXPERIENCED",IF(VLOOKUP(Table7[[#This Row],[Student_ID]],student_internships[#All],2,0)=1,"BEGINNER","NOT EXPERIENCED"))</f>
        <v>NOT EXPERIENCED</v>
      </c>
      <c r="F596" s="1">
        <f>VLOOKUP(Table7[[#This Row],[Student_ID]],student_data[],5,0)</f>
        <v>7.78</v>
      </c>
      <c r="G596" s="1">
        <f>VLOOKUP(Table7[[#This Row],[Student_ID]],student_data[#All],6,0)</f>
        <v>3</v>
      </c>
      <c r="H596" s="1">
        <f>VLOOKUP(Table7[[#This Row],[Student_ID]],student_internships[],2,0)</f>
        <v>0</v>
      </c>
      <c r="I596" s="1">
        <f>VLOOKUP(Table7[[#This Row],[Student_ID]],Placements!A596:E1595,5,0)</f>
        <v>4.32</v>
      </c>
      <c r="J596" s="1" t="str">
        <f>IF(VLOOKUP(Table7[[#This Row],[Student_ID]],student_data[#All],5,0)&gt;8,"HIGH",IF(VLOOKUP(Table7[[#This Row],[Student_ID]],student_data[#All],5,0)&lt;6.5,"LOW","MEDIUM"))</f>
        <v>MEDIUM</v>
      </c>
    </row>
    <row r="597" spans="1:10" x14ac:dyDescent="0.2">
      <c r="A597" s="1" t="s">
        <v>606</v>
      </c>
      <c r="B597" s="1" t="str">
        <f>VLOOKUP(Table7[[#This Row],[Student_ID]],student_data[#All],2,0)</f>
        <v>Electronics</v>
      </c>
      <c r="C597" s="1">
        <f>(VLOOKUP(Table7[[#This Row],[Student_ID]],student_data[],5,0)*5)+(VLOOKUP(Table7[[#This Row],[Student_ID]],student_data[],6,0)*3)+(VLOOKUP(Table7[[#This Row],[Student_ID]],student_skills[],6,0)*2)+(VLOOKUP(Table7[[#This Row],[Student_ID]],student_internships[],2,0)*5)</f>
        <v>42.75</v>
      </c>
      <c r="D597" s="1">
        <f>AVERAGE(VLOOKUP(Table7[[#This Row],[Student_ID]],student_skills[],3,0),VLOOKUP(Table7[[#This Row],[Student_ID]],student_skills[],4,0),VLOOKUP(Table7[[#This Row],[Student_ID]],student_skills[],5,0),VLOOKUP(Table7[[#This Row],[Student_ID]],student_skills[],6,0))</f>
        <v>4.75</v>
      </c>
      <c r="E597" s="1" t="str">
        <f>IF(VLOOKUP(Table7[[#This Row],[Student_ID]],student_internships[#All],2,0)&gt;1,"EXPERIENCED",IF(VLOOKUP(Table7[[#This Row],[Student_ID]],student_internships[#All],2,0)=1,"BEGINNER","NOT EXPERIENCED"))</f>
        <v>BEGINNER</v>
      </c>
      <c r="F597" s="1">
        <f>VLOOKUP(Table7[[#This Row],[Student_ID]],student_data[],5,0)</f>
        <v>5.95</v>
      </c>
      <c r="G597" s="1">
        <f>VLOOKUP(Table7[[#This Row],[Student_ID]],student_data[#All],6,0)</f>
        <v>2</v>
      </c>
      <c r="H597" s="1">
        <f>VLOOKUP(Table7[[#This Row],[Student_ID]],student_internships[],2,0)</f>
        <v>1</v>
      </c>
      <c r="I597" s="1">
        <f>VLOOKUP(Table7[[#This Row],[Student_ID]],Placements!A597:E1596,5,0)</f>
        <v>3.95</v>
      </c>
      <c r="J597" s="1" t="str">
        <f>IF(VLOOKUP(Table7[[#This Row],[Student_ID]],student_data[#All],5,0)&gt;8,"HIGH",IF(VLOOKUP(Table7[[#This Row],[Student_ID]],student_data[#All],5,0)&lt;6.5,"LOW","MEDIUM"))</f>
        <v>LOW</v>
      </c>
    </row>
    <row r="598" spans="1:10" x14ac:dyDescent="0.2">
      <c r="A598" s="1" t="s">
        <v>607</v>
      </c>
      <c r="B598" s="1" t="str">
        <f>VLOOKUP(Table7[[#This Row],[Student_ID]],student_data[#All],2,0)</f>
        <v>Civil</v>
      </c>
      <c r="C598" s="1">
        <f>(VLOOKUP(Table7[[#This Row],[Student_ID]],student_data[],5,0)*5)+(VLOOKUP(Table7[[#This Row],[Student_ID]],student_data[],6,0)*3)+(VLOOKUP(Table7[[#This Row],[Student_ID]],student_skills[],6,0)*2)+(VLOOKUP(Table7[[#This Row],[Student_ID]],student_internships[],2,0)*5)</f>
        <v>62.55</v>
      </c>
      <c r="D598" s="1">
        <f>AVERAGE(VLOOKUP(Table7[[#This Row],[Student_ID]],student_skills[],3,0),VLOOKUP(Table7[[#This Row],[Student_ID]],student_skills[],4,0),VLOOKUP(Table7[[#This Row],[Student_ID]],student_skills[],5,0),VLOOKUP(Table7[[#This Row],[Student_ID]],student_skills[],6,0))</f>
        <v>5.5</v>
      </c>
      <c r="E598" s="1" t="str">
        <f>IF(VLOOKUP(Table7[[#This Row],[Student_ID]],student_internships[#All],2,0)&gt;1,"EXPERIENCED",IF(VLOOKUP(Table7[[#This Row],[Student_ID]],student_internships[#All],2,0)=1,"BEGINNER","NOT EXPERIENCED"))</f>
        <v>EXPERIENCED</v>
      </c>
      <c r="F598" s="1">
        <f>VLOOKUP(Table7[[#This Row],[Student_ID]],student_data[],5,0)</f>
        <v>7.91</v>
      </c>
      <c r="G598" s="1">
        <f>VLOOKUP(Table7[[#This Row],[Student_ID]],student_data[#All],6,0)</f>
        <v>3</v>
      </c>
      <c r="H598" s="1">
        <f>VLOOKUP(Table7[[#This Row],[Student_ID]],student_internships[],2,0)</f>
        <v>2</v>
      </c>
      <c r="I598" s="1">
        <f>VLOOKUP(Table7[[#This Row],[Student_ID]],Placements!A598:E1597,5,0)</f>
        <v>5.33</v>
      </c>
      <c r="J598" s="1" t="str">
        <f>IF(VLOOKUP(Table7[[#This Row],[Student_ID]],student_data[#All],5,0)&gt;8,"HIGH",IF(VLOOKUP(Table7[[#This Row],[Student_ID]],student_data[#All],5,0)&lt;6.5,"LOW","MEDIUM"))</f>
        <v>MEDIUM</v>
      </c>
    </row>
    <row r="599" spans="1:10" x14ac:dyDescent="0.2">
      <c r="A599" s="1" t="s">
        <v>608</v>
      </c>
      <c r="B599" s="1" t="str">
        <f>VLOOKUP(Table7[[#This Row],[Student_ID]],student_data[#All],2,0)</f>
        <v>Information Technology</v>
      </c>
      <c r="C599" s="1">
        <f>(VLOOKUP(Table7[[#This Row],[Student_ID]],student_data[],5,0)*5)+(VLOOKUP(Table7[[#This Row],[Student_ID]],student_data[],6,0)*3)+(VLOOKUP(Table7[[#This Row],[Student_ID]],student_skills[],6,0)*2)+(VLOOKUP(Table7[[#This Row],[Student_ID]],student_internships[],2,0)*5)</f>
        <v>58.099999999999994</v>
      </c>
      <c r="D599" s="1">
        <f>AVERAGE(VLOOKUP(Table7[[#This Row],[Student_ID]],student_skills[],3,0),VLOOKUP(Table7[[#This Row],[Student_ID]],student_skills[],4,0),VLOOKUP(Table7[[#This Row],[Student_ID]],student_skills[],5,0),VLOOKUP(Table7[[#This Row],[Student_ID]],student_skills[],6,0))</f>
        <v>5</v>
      </c>
      <c r="E599" s="1" t="str">
        <f>IF(VLOOKUP(Table7[[#This Row],[Student_ID]],student_internships[#All],2,0)&gt;1,"EXPERIENCED",IF(VLOOKUP(Table7[[#This Row],[Student_ID]],student_internships[#All],2,0)=1,"BEGINNER","NOT EXPERIENCED"))</f>
        <v>BEGINNER</v>
      </c>
      <c r="F599" s="1">
        <f>VLOOKUP(Table7[[#This Row],[Student_ID]],student_data[],5,0)</f>
        <v>6.02</v>
      </c>
      <c r="G599" s="1">
        <f>VLOOKUP(Table7[[#This Row],[Student_ID]],student_data[#All],6,0)</f>
        <v>5</v>
      </c>
      <c r="H599" s="1">
        <f>VLOOKUP(Table7[[#This Row],[Student_ID]],student_internships[],2,0)</f>
        <v>1</v>
      </c>
      <c r="I599" s="1">
        <f>VLOOKUP(Table7[[#This Row],[Student_ID]],Placements!A599:E1598,5,0)</f>
        <v>4.12</v>
      </c>
      <c r="J599" s="1" t="str">
        <f>IF(VLOOKUP(Table7[[#This Row],[Student_ID]],student_data[#All],5,0)&gt;8,"HIGH",IF(VLOOKUP(Table7[[#This Row],[Student_ID]],student_data[#All],5,0)&lt;6.5,"LOW","MEDIUM"))</f>
        <v>LOW</v>
      </c>
    </row>
    <row r="600" spans="1:10" x14ac:dyDescent="0.2">
      <c r="A600" s="1" t="s">
        <v>609</v>
      </c>
      <c r="B600" s="1" t="str">
        <f>VLOOKUP(Table7[[#This Row],[Student_ID]],student_data[#All],2,0)</f>
        <v>Information Technology</v>
      </c>
      <c r="C600" s="1">
        <f>(VLOOKUP(Table7[[#This Row],[Student_ID]],student_data[],5,0)*5)+(VLOOKUP(Table7[[#This Row],[Student_ID]],student_data[],6,0)*3)+(VLOOKUP(Table7[[#This Row],[Student_ID]],student_skills[],6,0)*2)+(VLOOKUP(Table7[[#This Row],[Student_ID]],student_internships[],2,0)*5)</f>
        <v>60</v>
      </c>
      <c r="D600" s="1">
        <f>AVERAGE(VLOOKUP(Table7[[#This Row],[Student_ID]],student_skills[],3,0),VLOOKUP(Table7[[#This Row],[Student_ID]],student_skills[],4,0),VLOOKUP(Table7[[#This Row],[Student_ID]],student_skills[],5,0),VLOOKUP(Table7[[#This Row],[Student_ID]],student_skills[],6,0))</f>
        <v>3.25</v>
      </c>
      <c r="E600" s="1" t="str">
        <f>IF(VLOOKUP(Table7[[#This Row],[Student_ID]],student_internships[#All],2,0)&gt;1,"EXPERIENCED",IF(VLOOKUP(Table7[[#This Row],[Student_ID]],student_internships[#All],2,0)=1,"BEGINNER","NOT EXPERIENCED"))</f>
        <v>BEGINNER</v>
      </c>
      <c r="F600" s="1">
        <f>VLOOKUP(Table7[[#This Row],[Student_ID]],student_data[],5,0)</f>
        <v>7.6</v>
      </c>
      <c r="G600" s="1">
        <f>VLOOKUP(Table7[[#This Row],[Student_ID]],student_data[#All],6,0)</f>
        <v>3</v>
      </c>
      <c r="H600" s="1">
        <f>VLOOKUP(Table7[[#This Row],[Student_ID]],student_internships[],2,0)</f>
        <v>1</v>
      </c>
      <c r="I600" s="1">
        <f>VLOOKUP(Table7[[#This Row],[Student_ID]],Placements!A600:E1599,5,0)</f>
        <v>13.25</v>
      </c>
      <c r="J600" s="1" t="str">
        <f>IF(VLOOKUP(Table7[[#This Row],[Student_ID]],student_data[#All],5,0)&gt;8,"HIGH",IF(VLOOKUP(Table7[[#This Row],[Student_ID]],student_data[#All],5,0)&lt;6.5,"LOW","MEDIUM"))</f>
        <v>MEDIUM</v>
      </c>
    </row>
    <row r="601" spans="1:10" x14ac:dyDescent="0.2">
      <c r="A601" s="1" t="s">
        <v>610</v>
      </c>
      <c r="B601" s="1" t="str">
        <f>VLOOKUP(Table7[[#This Row],[Student_ID]],student_data[#All],2,0)</f>
        <v>Information Technology</v>
      </c>
      <c r="C601" s="1">
        <f>(VLOOKUP(Table7[[#This Row],[Student_ID]],student_data[],5,0)*5)+(VLOOKUP(Table7[[#This Row],[Student_ID]],student_data[],6,0)*3)+(VLOOKUP(Table7[[#This Row],[Student_ID]],student_skills[],6,0)*2)+(VLOOKUP(Table7[[#This Row],[Student_ID]],student_internships[],2,0)*5)</f>
        <v>48.85</v>
      </c>
      <c r="D601" s="1">
        <f>AVERAGE(VLOOKUP(Table7[[#This Row],[Student_ID]],student_skills[],3,0),VLOOKUP(Table7[[#This Row],[Student_ID]],student_skills[],4,0),VLOOKUP(Table7[[#This Row],[Student_ID]],student_skills[],5,0),VLOOKUP(Table7[[#This Row],[Student_ID]],student_skills[],6,0))</f>
        <v>6</v>
      </c>
      <c r="E601" s="1" t="str">
        <f>IF(VLOOKUP(Table7[[#This Row],[Student_ID]],student_internships[#All],2,0)&gt;1,"EXPERIENCED",IF(VLOOKUP(Table7[[#This Row],[Student_ID]],student_internships[#All],2,0)=1,"BEGINNER","NOT EXPERIENCED"))</f>
        <v>NOT EXPERIENCED</v>
      </c>
      <c r="F601" s="1">
        <f>VLOOKUP(Table7[[#This Row],[Student_ID]],student_data[],5,0)</f>
        <v>5.37</v>
      </c>
      <c r="G601" s="1">
        <f>VLOOKUP(Table7[[#This Row],[Student_ID]],student_data[#All],6,0)</f>
        <v>4</v>
      </c>
      <c r="H601" s="1">
        <f>VLOOKUP(Table7[[#This Row],[Student_ID]],student_internships[],2,0)</f>
        <v>0</v>
      </c>
      <c r="I601" s="1">
        <f>VLOOKUP(Table7[[#This Row],[Student_ID]],Placements!A601:E1600,5,0)</f>
        <v>6.84</v>
      </c>
      <c r="J601" s="1" t="str">
        <f>IF(VLOOKUP(Table7[[#This Row],[Student_ID]],student_data[#All],5,0)&gt;8,"HIGH",IF(VLOOKUP(Table7[[#This Row],[Student_ID]],student_data[#All],5,0)&lt;6.5,"LOW","MEDIUM"))</f>
        <v>LOW</v>
      </c>
    </row>
    <row r="602" spans="1:10" x14ac:dyDescent="0.2">
      <c r="A602" s="1" t="s">
        <v>611</v>
      </c>
      <c r="B602" s="1" t="str">
        <f>VLOOKUP(Table7[[#This Row],[Student_ID]],student_data[#All],2,0)</f>
        <v>Information Technology</v>
      </c>
      <c r="C602" s="1">
        <f>(VLOOKUP(Table7[[#This Row],[Student_ID]],student_data[],5,0)*5)+(VLOOKUP(Table7[[#This Row],[Student_ID]],student_data[],6,0)*3)+(VLOOKUP(Table7[[#This Row],[Student_ID]],student_skills[],6,0)*2)+(VLOOKUP(Table7[[#This Row],[Student_ID]],student_internships[],2,0)*5)</f>
        <v>47.15</v>
      </c>
      <c r="D602" s="1">
        <f>AVERAGE(VLOOKUP(Table7[[#This Row],[Student_ID]],student_skills[],3,0),VLOOKUP(Table7[[#This Row],[Student_ID]],student_skills[],4,0),VLOOKUP(Table7[[#This Row],[Student_ID]],student_skills[],5,0),VLOOKUP(Table7[[#This Row],[Student_ID]],student_skills[],6,0))</f>
        <v>3.25</v>
      </c>
      <c r="E602" s="1" t="str">
        <f>IF(VLOOKUP(Table7[[#This Row],[Student_ID]],student_internships[#All],2,0)&gt;1,"EXPERIENCED",IF(VLOOKUP(Table7[[#This Row],[Student_ID]],student_internships[#All],2,0)=1,"BEGINNER","NOT EXPERIENCED"))</f>
        <v>NOT EXPERIENCED</v>
      </c>
      <c r="F602" s="1">
        <f>VLOOKUP(Table7[[#This Row],[Student_ID]],student_data[],5,0)</f>
        <v>8.0299999999999994</v>
      </c>
      <c r="G602" s="1">
        <f>VLOOKUP(Table7[[#This Row],[Student_ID]],student_data[#All],6,0)</f>
        <v>1</v>
      </c>
      <c r="H602" s="1">
        <f>VLOOKUP(Table7[[#This Row],[Student_ID]],student_internships[],2,0)</f>
        <v>0</v>
      </c>
      <c r="I602" s="1">
        <f>VLOOKUP(Table7[[#This Row],[Student_ID]],Placements!A602:E1601,5,0)</f>
        <v>3.95</v>
      </c>
      <c r="J602" s="1" t="str">
        <f>IF(VLOOKUP(Table7[[#This Row],[Student_ID]],student_data[#All],5,0)&gt;8,"HIGH",IF(VLOOKUP(Table7[[#This Row],[Student_ID]],student_data[#All],5,0)&lt;6.5,"LOW","MEDIUM"))</f>
        <v>HIGH</v>
      </c>
    </row>
    <row r="603" spans="1:10" x14ac:dyDescent="0.2">
      <c r="A603" s="1" t="s">
        <v>612</v>
      </c>
      <c r="B603" s="1" t="str">
        <f>VLOOKUP(Table7[[#This Row],[Student_ID]],student_data[#All],2,0)</f>
        <v>Information Technology</v>
      </c>
      <c r="C603" s="1">
        <f>(VLOOKUP(Table7[[#This Row],[Student_ID]],student_data[],5,0)*5)+(VLOOKUP(Table7[[#This Row],[Student_ID]],student_data[],6,0)*3)+(VLOOKUP(Table7[[#This Row],[Student_ID]],student_skills[],6,0)*2)+(VLOOKUP(Table7[[#This Row],[Student_ID]],student_internships[],2,0)*5)</f>
        <v>54.9</v>
      </c>
      <c r="D603" s="1">
        <f>AVERAGE(VLOOKUP(Table7[[#This Row],[Student_ID]],student_skills[],3,0),VLOOKUP(Table7[[#This Row],[Student_ID]],student_skills[],4,0),VLOOKUP(Table7[[#This Row],[Student_ID]],student_skills[],5,0),VLOOKUP(Table7[[#This Row],[Student_ID]],student_skills[],6,0))</f>
        <v>4.25</v>
      </c>
      <c r="E603" s="1" t="str">
        <f>IF(VLOOKUP(Table7[[#This Row],[Student_ID]],student_internships[#All],2,0)&gt;1,"EXPERIENCED",IF(VLOOKUP(Table7[[#This Row],[Student_ID]],student_internships[#All],2,0)=1,"BEGINNER","NOT EXPERIENCED"))</f>
        <v>NOT EXPERIENCED</v>
      </c>
      <c r="F603" s="1">
        <f>VLOOKUP(Table7[[#This Row],[Student_ID]],student_data[],5,0)</f>
        <v>7.58</v>
      </c>
      <c r="G603" s="1">
        <f>VLOOKUP(Table7[[#This Row],[Student_ID]],student_data[#All],6,0)</f>
        <v>3</v>
      </c>
      <c r="H603" s="1">
        <f>VLOOKUP(Table7[[#This Row],[Student_ID]],student_internships[],2,0)</f>
        <v>0</v>
      </c>
      <c r="I603" s="1">
        <f>VLOOKUP(Table7[[#This Row],[Student_ID]],Placements!A603:E1602,5,0)</f>
        <v>0</v>
      </c>
      <c r="J603" s="1" t="str">
        <f>IF(VLOOKUP(Table7[[#This Row],[Student_ID]],student_data[#All],5,0)&gt;8,"HIGH",IF(VLOOKUP(Table7[[#This Row],[Student_ID]],student_data[#All],5,0)&lt;6.5,"LOW","MEDIUM"))</f>
        <v>MEDIUM</v>
      </c>
    </row>
    <row r="604" spans="1:10" x14ac:dyDescent="0.2">
      <c r="A604" s="1" t="s">
        <v>613</v>
      </c>
      <c r="B604" s="1" t="str">
        <f>VLOOKUP(Table7[[#This Row],[Student_ID]],student_data[#All],2,0)</f>
        <v>Mechanical</v>
      </c>
      <c r="C604" s="1">
        <f>(VLOOKUP(Table7[[#This Row],[Student_ID]],student_data[],5,0)*5)+(VLOOKUP(Table7[[#This Row],[Student_ID]],student_data[],6,0)*3)+(VLOOKUP(Table7[[#This Row],[Student_ID]],student_skills[],6,0)*2)+(VLOOKUP(Table7[[#This Row],[Student_ID]],student_internships[],2,0)*5)</f>
        <v>57.5</v>
      </c>
      <c r="D604" s="1">
        <f>AVERAGE(VLOOKUP(Table7[[#This Row],[Student_ID]],student_skills[],3,0),VLOOKUP(Table7[[#This Row],[Student_ID]],student_skills[],4,0),VLOOKUP(Table7[[#This Row],[Student_ID]],student_skills[],5,0),VLOOKUP(Table7[[#This Row],[Student_ID]],student_skills[],6,0))</f>
        <v>3.75</v>
      </c>
      <c r="E604" s="1" t="str">
        <f>IF(VLOOKUP(Table7[[#This Row],[Student_ID]],student_internships[#All],2,0)&gt;1,"EXPERIENCED",IF(VLOOKUP(Table7[[#This Row],[Student_ID]],student_internships[#All],2,0)=1,"BEGINNER","NOT EXPERIENCED"))</f>
        <v>NOT EXPERIENCED</v>
      </c>
      <c r="F604" s="1">
        <f>VLOOKUP(Table7[[#This Row],[Student_ID]],student_data[],5,0)</f>
        <v>8.6999999999999993</v>
      </c>
      <c r="G604" s="1">
        <f>VLOOKUP(Table7[[#This Row],[Student_ID]],student_data[#All],6,0)</f>
        <v>4</v>
      </c>
      <c r="H604" s="1">
        <f>VLOOKUP(Table7[[#This Row],[Student_ID]],student_internships[],2,0)</f>
        <v>0</v>
      </c>
      <c r="I604" s="1">
        <f>VLOOKUP(Table7[[#This Row],[Student_ID]],Placements!A604:E1603,5,0)</f>
        <v>13.62</v>
      </c>
      <c r="J604" s="1" t="str">
        <f>IF(VLOOKUP(Table7[[#This Row],[Student_ID]],student_data[#All],5,0)&gt;8,"HIGH",IF(VLOOKUP(Table7[[#This Row],[Student_ID]],student_data[#All],5,0)&lt;6.5,"LOW","MEDIUM"))</f>
        <v>HIGH</v>
      </c>
    </row>
    <row r="605" spans="1:10" x14ac:dyDescent="0.2">
      <c r="A605" s="1" t="s">
        <v>614</v>
      </c>
      <c r="B605" s="1" t="str">
        <f>VLOOKUP(Table7[[#This Row],[Student_ID]],student_data[#All],2,0)</f>
        <v>Civil</v>
      </c>
      <c r="C605" s="1">
        <f>(VLOOKUP(Table7[[#This Row],[Student_ID]],student_data[],5,0)*5)+(VLOOKUP(Table7[[#This Row],[Student_ID]],student_data[],6,0)*3)+(VLOOKUP(Table7[[#This Row],[Student_ID]],student_skills[],6,0)*2)+(VLOOKUP(Table7[[#This Row],[Student_ID]],student_internships[],2,0)*5)</f>
        <v>47.75</v>
      </c>
      <c r="D605" s="1">
        <f>AVERAGE(VLOOKUP(Table7[[#This Row],[Student_ID]],student_skills[],3,0),VLOOKUP(Table7[[#This Row],[Student_ID]],student_skills[],4,0),VLOOKUP(Table7[[#This Row],[Student_ID]],student_skills[],5,0),VLOOKUP(Table7[[#This Row],[Student_ID]],student_skills[],6,0))</f>
        <v>4.5</v>
      </c>
      <c r="E605" s="1" t="str">
        <f>IF(VLOOKUP(Table7[[#This Row],[Student_ID]],student_internships[#All],2,0)&gt;1,"EXPERIENCED",IF(VLOOKUP(Table7[[#This Row],[Student_ID]],student_internships[#All],2,0)=1,"BEGINNER","NOT EXPERIENCED"))</f>
        <v>NOT EXPERIENCED</v>
      </c>
      <c r="F605" s="1">
        <f>VLOOKUP(Table7[[#This Row],[Student_ID]],student_data[],5,0)</f>
        <v>8.15</v>
      </c>
      <c r="G605" s="1">
        <f>VLOOKUP(Table7[[#This Row],[Student_ID]],student_data[#All],6,0)</f>
        <v>1</v>
      </c>
      <c r="H605" s="1">
        <f>VLOOKUP(Table7[[#This Row],[Student_ID]],student_internships[],2,0)</f>
        <v>0</v>
      </c>
      <c r="I605" s="1">
        <f>VLOOKUP(Table7[[#This Row],[Student_ID]],Placements!A605:E1604,5,0)</f>
        <v>4.5599999999999996</v>
      </c>
      <c r="J605" s="1" t="str">
        <f>IF(VLOOKUP(Table7[[#This Row],[Student_ID]],student_data[#All],5,0)&gt;8,"HIGH",IF(VLOOKUP(Table7[[#This Row],[Student_ID]],student_data[#All],5,0)&lt;6.5,"LOW","MEDIUM"))</f>
        <v>HIGH</v>
      </c>
    </row>
    <row r="606" spans="1:10" x14ac:dyDescent="0.2">
      <c r="A606" s="1" t="s">
        <v>615</v>
      </c>
      <c r="B606" s="1" t="str">
        <f>VLOOKUP(Table7[[#This Row],[Student_ID]],student_data[#All],2,0)</f>
        <v>Information Technology</v>
      </c>
      <c r="C606" s="1">
        <f>(VLOOKUP(Table7[[#This Row],[Student_ID]],student_data[],5,0)*5)+(VLOOKUP(Table7[[#This Row],[Student_ID]],student_data[],6,0)*3)+(VLOOKUP(Table7[[#This Row],[Student_ID]],student_skills[],6,0)*2)+(VLOOKUP(Table7[[#This Row],[Student_ID]],student_internships[],2,0)*5)</f>
        <v>46.75</v>
      </c>
      <c r="D606" s="1">
        <f>AVERAGE(VLOOKUP(Table7[[#This Row],[Student_ID]],student_skills[],3,0),VLOOKUP(Table7[[#This Row],[Student_ID]],student_skills[],4,0),VLOOKUP(Table7[[#This Row],[Student_ID]],student_skills[],5,0),VLOOKUP(Table7[[#This Row],[Student_ID]],student_skills[],6,0))</f>
        <v>4.25</v>
      </c>
      <c r="E606" s="1" t="str">
        <f>IF(VLOOKUP(Table7[[#This Row],[Student_ID]],student_internships[#All],2,0)&gt;1,"EXPERIENCED",IF(VLOOKUP(Table7[[#This Row],[Student_ID]],student_internships[#All],2,0)=1,"BEGINNER","NOT EXPERIENCED"))</f>
        <v>NOT EXPERIENCED</v>
      </c>
      <c r="F606" s="1">
        <f>VLOOKUP(Table7[[#This Row],[Student_ID]],student_data[],5,0)</f>
        <v>7.75</v>
      </c>
      <c r="G606" s="1">
        <f>VLOOKUP(Table7[[#This Row],[Student_ID]],student_data[#All],6,0)</f>
        <v>2</v>
      </c>
      <c r="H606" s="1">
        <f>VLOOKUP(Table7[[#This Row],[Student_ID]],student_internships[],2,0)</f>
        <v>0</v>
      </c>
      <c r="I606" s="1">
        <f>VLOOKUP(Table7[[#This Row],[Student_ID]],Placements!A606:E1605,5,0)</f>
        <v>0</v>
      </c>
      <c r="J606" s="1" t="str">
        <f>IF(VLOOKUP(Table7[[#This Row],[Student_ID]],student_data[#All],5,0)&gt;8,"HIGH",IF(VLOOKUP(Table7[[#This Row],[Student_ID]],student_data[#All],5,0)&lt;6.5,"LOW","MEDIUM"))</f>
        <v>MEDIUM</v>
      </c>
    </row>
    <row r="607" spans="1:10" x14ac:dyDescent="0.2">
      <c r="A607" s="1" t="s">
        <v>616</v>
      </c>
      <c r="B607" s="1" t="str">
        <f>VLOOKUP(Table7[[#This Row],[Student_ID]],student_data[#All],2,0)</f>
        <v>Civil</v>
      </c>
      <c r="C607" s="1">
        <f>(VLOOKUP(Table7[[#This Row],[Student_ID]],student_data[],5,0)*5)+(VLOOKUP(Table7[[#This Row],[Student_ID]],student_data[],6,0)*3)+(VLOOKUP(Table7[[#This Row],[Student_ID]],student_skills[],6,0)*2)+(VLOOKUP(Table7[[#This Row],[Student_ID]],student_internships[],2,0)*5)</f>
        <v>77.25</v>
      </c>
      <c r="D607" s="1">
        <f>AVERAGE(VLOOKUP(Table7[[#This Row],[Student_ID]],student_skills[],3,0),VLOOKUP(Table7[[#This Row],[Student_ID]],student_skills[],4,0),VLOOKUP(Table7[[#This Row],[Student_ID]],student_skills[],5,0),VLOOKUP(Table7[[#This Row],[Student_ID]],student_skills[],6,0))</f>
        <v>6</v>
      </c>
      <c r="E607" s="1" t="str">
        <f>IF(VLOOKUP(Table7[[#This Row],[Student_ID]],student_internships[#All],2,0)&gt;1,"EXPERIENCED",IF(VLOOKUP(Table7[[#This Row],[Student_ID]],student_internships[#All],2,0)=1,"BEGINNER","NOT EXPERIENCED"))</f>
        <v>NOT EXPERIENCED</v>
      </c>
      <c r="F607" s="1">
        <f>VLOOKUP(Table7[[#This Row],[Student_ID]],student_data[],5,0)</f>
        <v>8.4499999999999993</v>
      </c>
      <c r="G607" s="1">
        <f>VLOOKUP(Table7[[#This Row],[Student_ID]],student_data[#All],6,0)</f>
        <v>5</v>
      </c>
      <c r="H607" s="1">
        <f>VLOOKUP(Table7[[#This Row],[Student_ID]],student_internships[],2,0)</f>
        <v>0</v>
      </c>
      <c r="I607" s="1">
        <f>VLOOKUP(Table7[[#This Row],[Student_ID]],Placements!A607:E1606,5,0)</f>
        <v>5.13</v>
      </c>
      <c r="J607" s="1" t="str">
        <f>IF(VLOOKUP(Table7[[#This Row],[Student_ID]],student_data[#All],5,0)&gt;8,"HIGH",IF(VLOOKUP(Table7[[#This Row],[Student_ID]],student_data[#All],5,0)&lt;6.5,"LOW","MEDIUM"))</f>
        <v>HIGH</v>
      </c>
    </row>
    <row r="608" spans="1:10" x14ac:dyDescent="0.2">
      <c r="A608" s="1" t="s">
        <v>617</v>
      </c>
      <c r="B608" s="1" t="str">
        <f>VLOOKUP(Table7[[#This Row],[Student_ID]],student_data[#All],2,0)</f>
        <v>Mechanical</v>
      </c>
      <c r="C608" s="1">
        <f>(VLOOKUP(Table7[[#This Row],[Student_ID]],student_data[],5,0)*5)+(VLOOKUP(Table7[[#This Row],[Student_ID]],student_data[],6,0)*3)+(VLOOKUP(Table7[[#This Row],[Student_ID]],student_skills[],6,0)*2)+(VLOOKUP(Table7[[#This Row],[Student_ID]],student_internships[],2,0)*5)</f>
        <v>54.599999999999994</v>
      </c>
      <c r="D608" s="1">
        <f>AVERAGE(VLOOKUP(Table7[[#This Row],[Student_ID]],student_skills[],3,0),VLOOKUP(Table7[[#This Row],[Student_ID]],student_skills[],4,0),VLOOKUP(Table7[[#This Row],[Student_ID]],student_skills[],5,0),VLOOKUP(Table7[[#This Row],[Student_ID]],student_skills[],6,0))</f>
        <v>7.75</v>
      </c>
      <c r="E608" s="1" t="str">
        <f>IF(VLOOKUP(Table7[[#This Row],[Student_ID]],student_internships[#All],2,0)&gt;1,"EXPERIENCED",IF(VLOOKUP(Table7[[#This Row],[Student_ID]],student_internships[#All],2,0)=1,"BEGINNER","NOT EXPERIENCED"))</f>
        <v>NOT EXPERIENCED</v>
      </c>
      <c r="F608" s="1">
        <f>VLOOKUP(Table7[[#This Row],[Student_ID]],student_data[],5,0)</f>
        <v>5.72</v>
      </c>
      <c r="G608" s="1">
        <f>VLOOKUP(Table7[[#This Row],[Student_ID]],student_data[#All],6,0)</f>
        <v>2</v>
      </c>
      <c r="H608" s="1">
        <f>VLOOKUP(Table7[[#This Row],[Student_ID]],student_internships[],2,0)</f>
        <v>0</v>
      </c>
      <c r="I608" s="1">
        <f>VLOOKUP(Table7[[#This Row],[Student_ID]],Placements!A608:E1607,5,0)</f>
        <v>0</v>
      </c>
      <c r="J608" s="1" t="str">
        <f>IF(VLOOKUP(Table7[[#This Row],[Student_ID]],student_data[#All],5,0)&gt;8,"HIGH",IF(VLOOKUP(Table7[[#This Row],[Student_ID]],student_data[#All],5,0)&lt;6.5,"LOW","MEDIUM"))</f>
        <v>LOW</v>
      </c>
    </row>
    <row r="609" spans="1:10" x14ac:dyDescent="0.2">
      <c r="A609" s="1" t="s">
        <v>618</v>
      </c>
      <c r="B609" s="1" t="str">
        <f>VLOOKUP(Table7[[#This Row],[Student_ID]],student_data[#All],2,0)</f>
        <v>Mechanical</v>
      </c>
      <c r="C609" s="1">
        <f>(VLOOKUP(Table7[[#This Row],[Student_ID]],student_data[],5,0)*5)+(VLOOKUP(Table7[[#This Row],[Student_ID]],student_data[],6,0)*3)+(VLOOKUP(Table7[[#This Row],[Student_ID]],student_skills[],6,0)*2)+(VLOOKUP(Table7[[#This Row],[Student_ID]],student_internships[],2,0)*5)</f>
        <v>52.900000000000006</v>
      </c>
      <c r="D609" s="1">
        <f>AVERAGE(VLOOKUP(Table7[[#This Row],[Student_ID]],student_skills[],3,0),VLOOKUP(Table7[[#This Row],[Student_ID]],student_skills[],4,0),VLOOKUP(Table7[[#This Row],[Student_ID]],student_skills[],5,0),VLOOKUP(Table7[[#This Row],[Student_ID]],student_skills[],6,0))</f>
        <v>6</v>
      </c>
      <c r="E609" s="1" t="str">
        <f>IF(VLOOKUP(Table7[[#This Row],[Student_ID]],student_internships[#All],2,0)&gt;1,"EXPERIENCED",IF(VLOOKUP(Table7[[#This Row],[Student_ID]],student_internships[#All],2,0)=1,"BEGINNER","NOT EXPERIENCED"))</f>
        <v>BEGINNER</v>
      </c>
      <c r="F609" s="1">
        <f>VLOOKUP(Table7[[#This Row],[Student_ID]],student_data[],5,0)</f>
        <v>7.98</v>
      </c>
      <c r="G609" s="1">
        <f>VLOOKUP(Table7[[#This Row],[Student_ID]],student_data[#All],6,0)</f>
        <v>0</v>
      </c>
      <c r="H609" s="1">
        <f>VLOOKUP(Table7[[#This Row],[Student_ID]],student_internships[],2,0)</f>
        <v>1</v>
      </c>
      <c r="I609" s="1">
        <f>VLOOKUP(Table7[[#This Row],[Student_ID]],Placements!A609:E1608,5,0)</f>
        <v>5.03</v>
      </c>
      <c r="J609" s="1" t="str">
        <f>IF(VLOOKUP(Table7[[#This Row],[Student_ID]],student_data[#All],5,0)&gt;8,"HIGH",IF(VLOOKUP(Table7[[#This Row],[Student_ID]],student_data[#All],5,0)&lt;6.5,"LOW","MEDIUM"))</f>
        <v>MEDIUM</v>
      </c>
    </row>
    <row r="610" spans="1:10" x14ac:dyDescent="0.2">
      <c r="A610" s="1" t="s">
        <v>619</v>
      </c>
      <c r="B610" s="1" t="str">
        <f>VLOOKUP(Table7[[#This Row],[Student_ID]],student_data[#All],2,0)</f>
        <v>Civil</v>
      </c>
      <c r="C610" s="1">
        <f>(VLOOKUP(Table7[[#This Row],[Student_ID]],student_data[],5,0)*5)+(VLOOKUP(Table7[[#This Row],[Student_ID]],student_data[],6,0)*3)+(VLOOKUP(Table7[[#This Row],[Student_ID]],student_skills[],6,0)*2)+(VLOOKUP(Table7[[#This Row],[Student_ID]],student_internships[],2,0)*5)</f>
        <v>49.3</v>
      </c>
      <c r="D610" s="1">
        <f>AVERAGE(VLOOKUP(Table7[[#This Row],[Student_ID]],student_skills[],3,0),VLOOKUP(Table7[[#This Row],[Student_ID]],student_skills[],4,0),VLOOKUP(Table7[[#This Row],[Student_ID]],student_skills[],5,0),VLOOKUP(Table7[[#This Row],[Student_ID]],student_skills[],6,0))</f>
        <v>5.5</v>
      </c>
      <c r="E610" s="1" t="str">
        <f>IF(VLOOKUP(Table7[[#This Row],[Student_ID]],student_internships[#All],2,0)&gt;1,"EXPERIENCED",IF(VLOOKUP(Table7[[#This Row],[Student_ID]],student_internships[#All],2,0)=1,"BEGINNER","NOT EXPERIENCED"))</f>
        <v>NOT EXPERIENCED</v>
      </c>
      <c r="F610" s="1">
        <f>VLOOKUP(Table7[[#This Row],[Student_ID]],student_data[],5,0)</f>
        <v>5.86</v>
      </c>
      <c r="G610" s="1">
        <f>VLOOKUP(Table7[[#This Row],[Student_ID]],student_data[#All],6,0)</f>
        <v>4</v>
      </c>
      <c r="H610" s="1">
        <f>VLOOKUP(Table7[[#This Row],[Student_ID]],student_internships[],2,0)</f>
        <v>0</v>
      </c>
      <c r="I610" s="1">
        <f>VLOOKUP(Table7[[#This Row],[Student_ID]],Placements!A610:E1609,5,0)</f>
        <v>4.3</v>
      </c>
      <c r="J610" s="1" t="str">
        <f>IF(VLOOKUP(Table7[[#This Row],[Student_ID]],student_data[#All],5,0)&gt;8,"HIGH",IF(VLOOKUP(Table7[[#This Row],[Student_ID]],student_data[#All],5,0)&lt;6.5,"LOW","MEDIUM"))</f>
        <v>LOW</v>
      </c>
    </row>
    <row r="611" spans="1:10" x14ac:dyDescent="0.2">
      <c r="A611" s="1" t="s">
        <v>620</v>
      </c>
      <c r="B611" s="1" t="str">
        <f>VLOOKUP(Table7[[#This Row],[Student_ID]],student_data[#All],2,0)</f>
        <v>Computer Science</v>
      </c>
      <c r="C611" s="1">
        <f>(VLOOKUP(Table7[[#This Row],[Student_ID]],student_data[],5,0)*5)+(VLOOKUP(Table7[[#This Row],[Student_ID]],student_data[],6,0)*3)+(VLOOKUP(Table7[[#This Row],[Student_ID]],student_skills[],6,0)*2)+(VLOOKUP(Table7[[#This Row],[Student_ID]],student_internships[],2,0)*5)</f>
        <v>70.150000000000006</v>
      </c>
      <c r="D611" s="1">
        <f>AVERAGE(VLOOKUP(Table7[[#This Row],[Student_ID]],student_skills[],3,0),VLOOKUP(Table7[[#This Row],[Student_ID]],student_skills[],4,0),VLOOKUP(Table7[[#This Row],[Student_ID]],student_skills[],5,0),VLOOKUP(Table7[[#This Row],[Student_ID]],student_skills[],6,0))</f>
        <v>6.25</v>
      </c>
      <c r="E611" s="1" t="str">
        <f>IF(VLOOKUP(Table7[[#This Row],[Student_ID]],student_internships[#All],2,0)&gt;1,"EXPERIENCED",IF(VLOOKUP(Table7[[#This Row],[Student_ID]],student_internships[#All],2,0)=1,"BEGINNER","NOT EXPERIENCED"))</f>
        <v>BEGINNER</v>
      </c>
      <c r="F611" s="1">
        <f>VLOOKUP(Table7[[#This Row],[Student_ID]],student_data[],5,0)</f>
        <v>9.6300000000000008</v>
      </c>
      <c r="G611" s="1">
        <f>VLOOKUP(Table7[[#This Row],[Student_ID]],student_data[#All],6,0)</f>
        <v>1</v>
      </c>
      <c r="H611" s="1">
        <f>VLOOKUP(Table7[[#This Row],[Student_ID]],student_internships[],2,0)</f>
        <v>1</v>
      </c>
      <c r="I611" s="1">
        <f>VLOOKUP(Table7[[#This Row],[Student_ID]],Placements!A611:E1610,5,0)</f>
        <v>0</v>
      </c>
      <c r="J611" s="1" t="str">
        <f>IF(VLOOKUP(Table7[[#This Row],[Student_ID]],student_data[#All],5,0)&gt;8,"HIGH",IF(VLOOKUP(Table7[[#This Row],[Student_ID]],student_data[#All],5,0)&lt;6.5,"LOW","MEDIUM"))</f>
        <v>HIGH</v>
      </c>
    </row>
    <row r="612" spans="1:10" x14ac:dyDescent="0.2">
      <c r="A612" s="1" t="s">
        <v>621</v>
      </c>
      <c r="B612" s="1" t="str">
        <f>VLOOKUP(Table7[[#This Row],[Student_ID]],student_data[#All],2,0)</f>
        <v>Electronics</v>
      </c>
      <c r="C612" s="1">
        <f>(VLOOKUP(Table7[[#This Row],[Student_ID]],student_data[],5,0)*5)+(VLOOKUP(Table7[[#This Row],[Student_ID]],student_data[],6,0)*3)+(VLOOKUP(Table7[[#This Row],[Student_ID]],student_skills[],6,0)*2)+(VLOOKUP(Table7[[#This Row],[Student_ID]],student_internships[],2,0)*5)</f>
        <v>60.7</v>
      </c>
      <c r="D612" s="1">
        <f>AVERAGE(VLOOKUP(Table7[[#This Row],[Student_ID]],student_skills[],3,0),VLOOKUP(Table7[[#This Row],[Student_ID]],student_skills[],4,0),VLOOKUP(Table7[[#This Row],[Student_ID]],student_skills[],5,0),VLOOKUP(Table7[[#This Row],[Student_ID]],student_skills[],6,0))</f>
        <v>6.5</v>
      </c>
      <c r="E612" s="1" t="str">
        <f>IF(VLOOKUP(Table7[[#This Row],[Student_ID]],student_internships[#All],2,0)&gt;1,"EXPERIENCED",IF(VLOOKUP(Table7[[#This Row],[Student_ID]],student_internships[#All],2,0)=1,"BEGINNER","NOT EXPERIENCED"))</f>
        <v>BEGINNER</v>
      </c>
      <c r="F612" s="1">
        <f>VLOOKUP(Table7[[#This Row],[Student_ID]],student_data[],5,0)</f>
        <v>5.34</v>
      </c>
      <c r="G612" s="1">
        <f>VLOOKUP(Table7[[#This Row],[Student_ID]],student_data[#All],6,0)</f>
        <v>3</v>
      </c>
      <c r="H612" s="1">
        <f>VLOOKUP(Table7[[#This Row],[Student_ID]],student_internships[],2,0)</f>
        <v>1</v>
      </c>
      <c r="I612" s="1">
        <f>VLOOKUP(Table7[[#This Row],[Student_ID]],Placements!A612:E1611,5,0)</f>
        <v>5.65</v>
      </c>
      <c r="J612" s="1" t="str">
        <f>IF(VLOOKUP(Table7[[#This Row],[Student_ID]],student_data[#All],5,0)&gt;8,"HIGH",IF(VLOOKUP(Table7[[#This Row],[Student_ID]],student_data[#All],5,0)&lt;6.5,"LOW","MEDIUM"))</f>
        <v>LOW</v>
      </c>
    </row>
    <row r="613" spans="1:10" x14ac:dyDescent="0.2">
      <c r="A613" s="1" t="s">
        <v>622</v>
      </c>
      <c r="B613" s="1" t="str">
        <f>VLOOKUP(Table7[[#This Row],[Student_ID]],student_data[#All],2,0)</f>
        <v>Computer Science</v>
      </c>
      <c r="C613" s="1">
        <f>(VLOOKUP(Table7[[#This Row],[Student_ID]],student_data[],5,0)*5)+(VLOOKUP(Table7[[#This Row],[Student_ID]],student_data[],6,0)*3)+(VLOOKUP(Table7[[#This Row],[Student_ID]],student_skills[],6,0)*2)+(VLOOKUP(Table7[[#This Row],[Student_ID]],student_internships[],2,0)*5)</f>
        <v>64.75</v>
      </c>
      <c r="D613" s="1">
        <f>AVERAGE(VLOOKUP(Table7[[#This Row],[Student_ID]],student_skills[],3,0),VLOOKUP(Table7[[#This Row],[Student_ID]],student_skills[],4,0),VLOOKUP(Table7[[#This Row],[Student_ID]],student_skills[],5,0),VLOOKUP(Table7[[#This Row],[Student_ID]],student_skills[],6,0))</f>
        <v>7.25</v>
      </c>
      <c r="E613" s="1" t="str">
        <f>IF(VLOOKUP(Table7[[#This Row],[Student_ID]],student_internships[#All],2,0)&gt;1,"EXPERIENCED",IF(VLOOKUP(Table7[[#This Row],[Student_ID]],student_internships[#All],2,0)=1,"BEGINNER","NOT EXPERIENCED"))</f>
        <v>BEGINNER</v>
      </c>
      <c r="F613" s="1">
        <f>VLOOKUP(Table7[[#This Row],[Student_ID]],student_data[],5,0)</f>
        <v>7.15</v>
      </c>
      <c r="G613" s="1">
        <f>VLOOKUP(Table7[[#This Row],[Student_ID]],student_data[#All],6,0)</f>
        <v>2</v>
      </c>
      <c r="H613" s="1">
        <f>VLOOKUP(Table7[[#This Row],[Student_ID]],student_internships[],2,0)</f>
        <v>1</v>
      </c>
      <c r="I613" s="1">
        <f>VLOOKUP(Table7[[#This Row],[Student_ID]],Placements!A613:E1612,5,0)</f>
        <v>5.43</v>
      </c>
      <c r="J613" s="1" t="str">
        <f>IF(VLOOKUP(Table7[[#This Row],[Student_ID]],student_data[#All],5,0)&gt;8,"HIGH",IF(VLOOKUP(Table7[[#This Row],[Student_ID]],student_data[#All],5,0)&lt;6.5,"LOW","MEDIUM"))</f>
        <v>MEDIUM</v>
      </c>
    </row>
    <row r="614" spans="1:10" x14ac:dyDescent="0.2">
      <c r="A614" s="1" t="s">
        <v>623</v>
      </c>
      <c r="B614" s="1" t="str">
        <f>VLOOKUP(Table7[[#This Row],[Student_ID]],student_data[#All],2,0)</f>
        <v>Computer Science</v>
      </c>
      <c r="C614" s="1">
        <f>(VLOOKUP(Table7[[#This Row],[Student_ID]],student_data[],5,0)*5)+(VLOOKUP(Table7[[#This Row],[Student_ID]],student_data[],6,0)*3)+(VLOOKUP(Table7[[#This Row],[Student_ID]],student_skills[],6,0)*2)+(VLOOKUP(Table7[[#This Row],[Student_ID]],student_internships[],2,0)*5)</f>
        <v>63.400000000000006</v>
      </c>
      <c r="D614" s="1">
        <f>AVERAGE(VLOOKUP(Table7[[#This Row],[Student_ID]],student_skills[],3,0),VLOOKUP(Table7[[#This Row],[Student_ID]],student_skills[],4,0),VLOOKUP(Table7[[#This Row],[Student_ID]],student_skills[],5,0),VLOOKUP(Table7[[#This Row],[Student_ID]],student_skills[],6,0))</f>
        <v>8</v>
      </c>
      <c r="E614" s="1" t="str">
        <f>IF(VLOOKUP(Table7[[#This Row],[Student_ID]],student_internships[#All],2,0)&gt;1,"EXPERIENCED",IF(VLOOKUP(Table7[[#This Row],[Student_ID]],student_internships[#All],2,0)=1,"BEGINNER","NOT EXPERIENCED"))</f>
        <v>NOT EXPERIENCED</v>
      </c>
      <c r="F614" s="1">
        <f>VLOOKUP(Table7[[#This Row],[Student_ID]],student_data[],5,0)</f>
        <v>8.48</v>
      </c>
      <c r="G614" s="1">
        <f>VLOOKUP(Table7[[#This Row],[Student_ID]],student_data[#All],6,0)</f>
        <v>1</v>
      </c>
      <c r="H614" s="1">
        <f>VLOOKUP(Table7[[#This Row],[Student_ID]],student_internships[],2,0)</f>
        <v>0</v>
      </c>
      <c r="I614" s="1">
        <f>VLOOKUP(Table7[[#This Row],[Student_ID]],Placements!A614:E1613,5,0)</f>
        <v>4.5599999999999996</v>
      </c>
      <c r="J614" s="1" t="str">
        <f>IF(VLOOKUP(Table7[[#This Row],[Student_ID]],student_data[#All],5,0)&gt;8,"HIGH",IF(VLOOKUP(Table7[[#This Row],[Student_ID]],student_data[#All],5,0)&lt;6.5,"LOW","MEDIUM"))</f>
        <v>HIGH</v>
      </c>
    </row>
    <row r="615" spans="1:10" x14ac:dyDescent="0.2">
      <c r="A615" s="1" t="s">
        <v>624</v>
      </c>
      <c r="B615" s="1" t="str">
        <f>VLOOKUP(Table7[[#This Row],[Student_ID]],student_data[#All],2,0)</f>
        <v>Computer Science</v>
      </c>
      <c r="C615" s="1">
        <f>(VLOOKUP(Table7[[#This Row],[Student_ID]],student_data[],5,0)*5)+(VLOOKUP(Table7[[#This Row],[Student_ID]],student_data[],6,0)*3)+(VLOOKUP(Table7[[#This Row],[Student_ID]],student_skills[],6,0)*2)+(VLOOKUP(Table7[[#This Row],[Student_ID]],student_internships[],2,0)*5)</f>
        <v>68.45</v>
      </c>
      <c r="D615" s="1">
        <f>AVERAGE(VLOOKUP(Table7[[#This Row],[Student_ID]],student_skills[],3,0),VLOOKUP(Table7[[#This Row],[Student_ID]],student_skills[],4,0),VLOOKUP(Table7[[#This Row],[Student_ID]],student_skills[],5,0),VLOOKUP(Table7[[#This Row],[Student_ID]],student_skills[],6,0))</f>
        <v>4.25</v>
      </c>
      <c r="E615" s="1" t="str">
        <f>IF(VLOOKUP(Table7[[#This Row],[Student_ID]],student_internships[#All],2,0)&gt;1,"EXPERIENCED",IF(VLOOKUP(Table7[[#This Row],[Student_ID]],student_internships[#All],2,0)=1,"BEGINNER","NOT EXPERIENCED"))</f>
        <v>EXPERIENCED</v>
      </c>
      <c r="F615" s="1">
        <f>VLOOKUP(Table7[[#This Row],[Student_ID]],student_data[],5,0)</f>
        <v>7.29</v>
      </c>
      <c r="G615" s="1">
        <f>VLOOKUP(Table7[[#This Row],[Student_ID]],student_data[#All],6,0)</f>
        <v>4</v>
      </c>
      <c r="H615" s="1">
        <f>VLOOKUP(Table7[[#This Row],[Student_ID]],student_internships[],2,0)</f>
        <v>2</v>
      </c>
      <c r="I615" s="1">
        <f>VLOOKUP(Table7[[#This Row],[Student_ID]],Placements!A615:E1614,5,0)</f>
        <v>4.3499999999999996</v>
      </c>
      <c r="J615" s="1" t="str">
        <f>IF(VLOOKUP(Table7[[#This Row],[Student_ID]],student_data[#All],5,0)&gt;8,"HIGH",IF(VLOOKUP(Table7[[#This Row],[Student_ID]],student_data[#All],5,0)&lt;6.5,"LOW","MEDIUM"))</f>
        <v>MEDIUM</v>
      </c>
    </row>
    <row r="616" spans="1:10" x14ac:dyDescent="0.2">
      <c r="A616" s="1" t="s">
        <v>625</v>
      </c>
      <c r="B616" s="1" t="str">
        <f>VLOOKUP(Table7[[#This Row],[Student_ID]],student_data[#All],2,0)</f>
        <v>Information Technology</v>
      </c>
      <c r="C616" s="1">
        <f>(VLOOKUP(Table7[[#This Row],[Student_ID]],student_data[],5,0)*5)+(VLOOKUP(Table7[[#This Row],[Student_ID]],student_data[],6,0)*3)+(VLOOKUP(Table7[[#This Row],[Student_ID]],student_skills[],6,0)*2)+(VLOOKUP(Table7[[#This Row],[Student_ID]],student_internships[],2,0)*5)</f>
        <v>52.3</v>
      </c>
      <c r="D616" s="1">
        <f>AVERAGE(VLOOKUP(Table7[[#This Row],[Student_ID]],student_skills[],3,0),VLOOKUP(Table7[[#This Row],[Student_ID]],student_skills[],4,0),VLOOKUP(Table7[[#This Row],[Student_ID]],student_skills[],5,0),VLOOKUP(Table7[[#This Row],[Student_ID]],student_skills[],6,0))</f>
        <v>6</v>
      </c>
      <c r="E616" s="1" t="str">
        <f>IF(VLOOKUP(Table7[[#This Row],[Student_ID]],student_internships[#All],2,0)&gt;1,"EXPERIENCED",IF(VLOOKUP(Table7[[#This Row],[Student_ID]],student_internships[#All],2,0)=1,"BEGINNER","NOT EXPERIENCED"))</f>
        <v>BEGINNER</v>
      </c>
      <c r="F616" s="1">
        <f>VLOOKUP(Table7[[#This Row],[Student_ID]],student_data[],5,0)</f>
        <v>5.46</v>
      </c>
      <c r="G616" s="1">
        <f>VLOOKUP(Table7[[#This Row],[Student_ID]],student_data[#All],6,0)</f>
        <v>0</v>
      </c>
      <c r="H616" s="1">
        <f>VLOOKUP(Table7[[#This Row],[Student_ID]],student_internships[],2,0)</f>
        <v>1</v>
      </c>
      <c r="I616" s="1">
        <f>VLOOKUP(Table7[[#This Row],[Student_ID]],Placements!A616:E1615,5,0)</f>
        <v>4.59</v>
      </c>
      <c r="J616" s="1" t="str">
        <f>IF(VLOOKUP(Table7[[#This Row],[Student_ID]],student_data[#All],5,0)&gt;8,"HIGH",IF(VLOOKUP(Table7[[#This Row],[Student_ID]],student_data[#All],5,0)&lt;6.5,"LOW","MEDIUM"))</f>
        <v>LOW</v>
      </c>
    </row>
    <row r="617" spans="1:10" x14ac:dyDescent="0.2">
      <c r="A617" s="1" t="s">
        <v>626</v>
      </c>
      <c r="B617" s="1" t="str">
        <f>VLOOKUP(Table7[[#This Row],[Student_ID]],student_data[#All],2,0)</f>
        <v>Mechanical</v>
      </c>
      <c r="C617" s="1">
        <f>(VLOOKUP(Table7[[#This Row],[Student_ID]],student_data[],5,0)*5)+(VLOOKUP(Table7[[#This Row],[Student_ID]],student_data[],6,0)*3)+(VLOOKUP(Table7[[#This Row],[Student_ID]],student_skills[],6,0)*2)+(VLOOKUP(Table7[[#This Row],[Student_ID]],student_internships[],2,0)*5)</f>
        <v>46.849999999999994</v>
      </c>
      <c r="D617" s="1">
        <f>AVERAGE(VLOOKUP(Table7[[#This Row],[Student_ID]],student_skills[],3,0),VLOOKUP(Table7[[#This Row],[Student_ID]],student_skills[],4,0),VLOOKUP(Table7[[#This Row],[Student_ID]],student_skills[],5,0),VLOOKUP(Table7[[#This Row],[Student_ID]],student_skills[],6,0))</f>
        <v>3.5</v>
      </c>
      <c r="E617" s="1" t="str">
        <f>IF(VLOOKUP(Table7[[#This Row],[Student_ID]],student_internships[#All],2,0)&gt;1,"EXPERIENCED",IF(VLOOKUP(Table7[[#This Row],[Student_ID]],student_internships[#All],2,0)=1,"BEGINNER","NOT EXPERIENCED"))</f>
        <v>NOT EXPERIENCED</v>
      </c>
      <c r="F617" s="1">
        <f>VLOOKUP(Table7[[#This Row],[Student_ID]],student_data[],5,0)</f>
        <v>7.77</v>
      </c>
      <c r="G617" s="1">
        <f>VLOOKUP(Table7[[#This Row],[Student_ID]],student_data[#All],6,0)</f>
        <v>2</v>
      </c>
      <c r="H617" s="1">
        <f>VLOOKUP(Table7[[#This Row],[Student_ID]],student_internships[],2,0)</f>
        <v>0</v>
      </c>
      <c r="I617" s="1">
        <f>VLOOKUP(Table7[[#This Row],[Student_ID]],Placements!A617:E1616,5,0)</f>
        <v>4.1900000000000004</v>
      </c>
      <c r="J617" s="1" t="str">
        <f>IF(VLOOKUP(Table7[[#This Row],[Student_ID]],student_data[#All],5,0)&gt;8,"HIGH",IF(VLOOKUP(Table7[[#This Row],[Student_ID]],student_data[#All],5,0)&lt;6.5,"LOW","MEDIUM"))</f>
        <v>MEDIUM</v>
      </c>
    </row>
    <row r="618" spans="1:10" x14ac:dyDescent="0.2">
      <c r="A618" s="1" t="s">
        <v>627</v>
      </c>
      <c r="B618" s="1" t="str">
        <f>VLOOKUP(Table7[[#This Row],[Student_ID]],student_data[#All],2,0)</f>
        <v>Computer Science</v>
      </c>
      <c r="C618" s="1">
        <f>(VLOOKUP(Table7[[#This Row],[Student_ID]],student_data[],5,0)*5)+(VLOOKUP(Table7[[#This Row],[Student_ID]],student_data[],6,0)*3)+(VLOOKUP(Table7[[#This Row],[Student_ID]],student_skills[],6,0)*2)+(VLOOKUP(Table7[[#This Row],[Student_ID]],student_internships[],2,0)*5)</f>
        <v>68.050000000000011</v>
      </c>
      <c r="D618" s="1">
        <f>AVERAGE(VLOOKUP(Table7[[#This Row],[Student_ID]],student_skills[],3,0),VLOOKUP(Table7[[#This Row],[Student_ID]],student_skills[],4,0),VLOOKUP(Table7[[#This Row],[Student_ID]],student_skills[],5,0),VLOOKUP(Table7[[#This Row],[Student_ID]],student_skills[],6,0))</f>
        <v>4.5</v>
      </c>
      <c r="E618" s="1" t="str">
        <f>IF(VLOOKUP(Table7[[#This Row],[Student_ID]],student_internships[#All],2,0)&gt;1,"EXPERIENCED",IF(VLOOKUP(Table7[[#This Row],[Student_ID]],student_internships[#All],2,0)=1,"BEGINNER","NOT EXPERIENCED"))</f>
        <v>EXPERIENCED</v>
      </c>
      <c r="F618" s="1">
        <f>VLOOKUP(Table7[[#This Row],[Student_ID]],student_data[],5,0)</f>
        <v>8.2100000000000009</v>
      </c>
      <c r="G618" s="1">
        <f>VLOOKUP(Table7[[#This Row],[Student_ID]],student_data[#All],6,0)</f>
        <v>5</v>
      </c>
      <c r="H618" s="1">
        <f>VLOOKUP(Table7[[#This Row],[Student_ID]],student_internships[],2,0)</f>
        <v>2</v>
      </c>
      <c r="I618" s="1">
        <f>VLOOKUP(Table7[[#This Row],[Student_ID]],Placements!A618:E1617,5,0)</f>
        <v>0</v>
      </c>
      <c r="J618" s="1" t="str">
        <f>IF(VLOOKUP(Table7[[#This Row],[Student_ID]],student_data[#All],5,0)&gt;8,"HIGH",IF(VLOOKUP(Table7[[#This Row],[Student_ID]],student_data[#All],5,0)&lt;6.5,"LOW","MEDIUM"))</f>
        <v>HIGH</v>
      </c>
    </row>
    <row r="619" spans="1:10" x14ac:dyDescent="0.2">
      <c r="A619" s="1" t="s">
        <v>628</v>
      </c>
      <c r="B619" s="1" t="str">
        <f>VLOOKUP(Table7[[#This Row],[Student_ID]],student_data[#All],2,0)</f>
        <v>Mechanical</v>
      </c>
      <c r="C619" s="1">
        <f>(VLOOKUP(Table7[[#This Row],[Student_ID]],student_data[],5,0)*5)+(VLOOKUP(Table7[[#This Row],[Student_ID]],student_data[],6,0)*3)+(VLOOKUP(Table7[[#This Row],[Student_ID]],student_skills[],6,0)*2)+(VLOOKUP(Table7[[#This Row],[Student_ID]],student_internships[],2,0)*5)</f>
        <v>72.599999999999994</v>
      </c>
      <c r="D619" s="1">
        <f>AVERAGE(VLOOKUP(Table7[[#This Row],[Student_ID]],student_skills[],3,0),VLOOKUP(Table7[[#This Row],[Student_ID]],student_skills[],4,0),VLOOKUP(Table7[[#This Row],[Student_ID]],student_skills[],5,0),VLOOKUP(Table7[[#This Row],[Student_ID]],student_skills[],6,0))</f>
        <v>5.75</v>
      </c>
      <c r="E619" s="1" t="str">
        <f>IF(VLOOKUP(Table7[[#This Row],[Student_ID]],student_internships[#All],2,0)&gt;1,"EXPERIENCED",IF(VLOOKUP(Table7[[#This Row],[Student_ID]],student_internships[#All],2,0)=1,"BEGINNER","NOT EXPERIENCED"))</f>
        <v>EXPERIENCED</v>
      </c>
      <c r="F619" s="1">
        <f>VLOOKUP(Table7[[#This Row],[Student_ID]],student_data[],5,0)</f>
        <v>8.52</v>
      </c>
      <c r="G619" s="1">
        <f>VLOOKUP(Table7[[#This Row],[Student_ID]],student_data[#All],6,0)</f>
        <v>1</v>
      </c>
      <c r="H619" s="1">
        <f>VLOOKUP(Table7[[#This Row],[Student_ID]],student_internships[],2,0)</f>
        <v>3</v>
      </c>
      <c r="I619" s="1">
        <f>VLOOKUP(Table7[[#This Row],[Student_ID]],Placements!A619:E1618,5,0)</f>
        <v>5.2</v>
      </c>
      <c r="J619" s="1" t="str">
        <f>IF(VLOOKUP(Table7[[#This Row],[Student_ID]],student_data[#All],5,0)&gt;8,"HIGH",IF(VLOOKUP(Table7[[#This Row],[Student_ID]],student_data[#All],5,0)&lt;6.5,"LOW","MEDIUM"))</f>
        <v>HIGH</v>
      </c>
    </row>
    <row r="620" spans="1:10" x14ac:dyDescent="0.2">
      <c r="A620" s="1" t="s">
        <v>629</v>
      </c>
      <c r="B620" s="1" t="str">
        <f>VLOOKUP(Table7[[#This Row],[Student_ID]],student_data[#All],2,0)</f>
        <v>Civil</v>
      </c>
      <c r="C620" s="1">
        <f>(VLOOKUP(Table7[[#This Row],[Student_ID]],student_data[],5,0)*5)+(VLOOKUP(Table7[[#This Row],[Student_ID]],student_data[],6,0)*3)+(VLOOKUP(Table7[[#This Row],[Student_ID]],student_skills[],6,0)*2)+(VLOOKUP(Table7[[#This Row],[Student_ID]],student_internships[],2,0)*5)</f>
        <v>53.35</v>
      </c>
      <c r="D620" s="1">
        <f>AVERAGE(VLOOKUP(Table7[[#This Row],[Student_ID]],student_skills[],3,0),VLOOKUP(Table7[[#This Row],[Student_ID]],student_skills[],4,0),VLOOKUP(Table7[[#This Row],[Student_ID]],student_skills[],5,0),VLOOKUP(Table7[[#This Row],[Student_ID]],student_skills[],6,0))</f>
        <v>7.25</v>
      </c>
      <c r="E620" s="1" t="str">
        <f>IF(VLOOKUP(Table7[[#This Row],[Student_ID]],student_internships[#All],2,0)&gt;1,"EXPERIENCED",IF(VLOOKUP(Table7[[#This Row],[Student_ID]],student_internships[#All],2,0)=1,"BEGINNER","NOT EXPERIENCED"))</f>
        <v>NOT EXPERIENCED</v>
      </c>
      <c r="F620" s="1">
        <f>VLOOKUP(Table7[[#This Row],[Student_ID]],student_data[],5,0)</f>
        <v>6.87</v>
      </c>
      <c r="G620" s="1">
        <f>VLOOKUP(Table7[[#This Row],[Student_ID]],student_data[#All],6,0)</f>
        <v>5</v>
      </c>
      <c r="H620" s="1">
        <f>VLOOKUP(Table7[[#This Row],[Student_ID]],student_internships[],2,0)</f>
        <v>0</v>
      </c>
      <c r="I620" s="1">
        <f>VLOOKUP(Table7[[#This Row],[Student_ID]],Placements!A620:E1619,5,0)</f>
        <v>0</v>
      </c>
      <c r="J620" s="1" t="str">
        <f>IF(VLOOKUP(Table7[[#This Row],[Student_ID]],student_data[#All],5,0)&gt;8,"HIGH",IF(VLOOKUP(Table7[[#This Row],[Student_ID]],student_data[#All],5,0)&lt;6.5,"LOW","MEDIUM"))</f>
        <v>MEDIUM</v>
      </c>
    </row>
    <row r="621" spans="1:10" x14ac:dyDescent="0.2">
      <c r="A621" s="1" t="s">
        <v>630</v>
      </c>
      <c r="B621" s="1" t="str">
        <f>VLOOKUP(Table7[[#This Row],[Student_ID]],student_data[#All],2,0)</f>
        <v>Electronics</v>
      </c>
      <c r="C621" s="1">
        <f>(VLOOKUP(Table7[[#This Row],[Student_ID]],student_data[],5,0)*5)+(VLOOKUP(Table7[[#This Row],[Student_ID]],student_data[],6,0)*3)+(VLOOKUP(Table7[[#This Row],[Student_ID]],student_skills[],6,0)*2)+(VLOOKUP(Table7[[#This Row],[Student_ID]],student_internships[],2,0)*5)</f>
        <v>58.1</v>
      </c>
      <c r="D621" s="1">
        <f>AVERAGE(VLOOKUP(Table7[[#This Row],[Student_ID]],student_skills[],3,0),VLOOKUP(Table7[[#This Row],[Student_ID]],student_skills[],4,0),VLOOKUP(Table7[[#This Row],[Student_ID]],student_skills[],5,0),VLOOKUP(Table7[[#This Row],[Student_ID]],student_skills[],6,0))</f>
        <v>4.25</v>
      </c>
      <c r="E621" s="1" t="str">
        <f>IF(VLOOKUP(Table7[[#This Row],[Student_ID]],student_internships[#All],2,0)&gt;1,"EXPERIENCED",IF(VLOOKUP(Table7[[#This Row],[Student_ID]],student_internships[#All],2,0)=1,"BEGINNER","NOT EXPERIENCED"))</f>
        <v>NOT EXPERIENCED</v>
      </c>
      <c r="F621" s="1">
        <f>VLOOKUP(Table7[[#This Row],[Student_ID]],student_data[],5,0)</f>
        <v>7.82</v>
      </c>
      <c r="G621" s="1">
        <f>VLOOKUP(Table7[[#This Row],[Student_ID]],student_data[#All],6,0)</f>
        <v>1</v>
      </c>
      <c r="H621" s="1">
        <f>VLOOKUP(Table7[[#This Row],[Student_ID]],student_internships[],2,0)</f>
        <v>0</v>
      </c>
      <c r="I621" s="1">
        <f>VLOOKUP(Table7[[#This Row],[Student_ID]],Placements!A621:E1620,5,0)</f>
        <v>3.92</v>
      </c>
      <c r="J621" s="1" t="str">
        <f>IF(VLOOKUP(Table7[[#This Row],[Student_ID]],student_data[#All],5,0)&gt;8,"HIGH",IF(VLOOKUP(Table7[[#This Row],[Student_ID]],student_data[#All],5,0)&lt;6.5,"LOW","MEDIUM"))</f>
        <v>MEDIUM</v>
      </c>
    </row>
    <row r="622" spans="1:10" x14ac:dyDescent="0.2">
      <c r="A622" s="1" t="s">
        <v>631</v>
      </c>
      <c r="B622" s="1" t="str">
        <f>VLOOKUP(Table7[[#This Row],[Student_ID]],student_data[#All],2,0)</f>
        <v>Civil</v>
      </c>
      <c r="C622" s="1">
        <f>(VLOOKUP(Table7[[#This Row],[Student_ID]],student_data[],5,0)*5)+(VLOOKUP(Table7[[#This Row],[Student_ID]],student_data[],6,0)*3)+(VLOOKUP(Table7[[#This Row],[Student_ID]],student_skills[],6,0)*2)+(VLOOKUP(Table7[[#This Row],[Student_ID]],student_internships[],2,0)*5)</f>
        <v>67.25</v>
      </c>
      <c r="D622" s="1">
        <f>AVERAGE(VLOOKUP(Table7[[#This Row],[Student_ID]],student_skills[],3,0),VLOOKUP(Table7[[#This Row],[Student_ID]],student_skills[],4,0),VLOOKUP(Table7[[#This Row],[Student_ID]],student_skills[],5,0),VLOOKUP(Table7[[#This Row],[Student_ID]],student_skills[],6,0))</f>
        <v>7</v>
      </c>
      <c r="E622" s="1" t="str">
        <f>IF(VLOOKUP(Table7[[#This Row],[Student_ID]],student_internships[#All],2,0)&gt;1,"EXPERIENCED",IF(VLOOKUP(Table7[[#This Row],[Student_ID]],student_internships[#All],2,0)=1,"BEGINNER","NOT EXPERIENCED"))</f>
        <v>EXPERIENCED</v>
      </c>
      <c r="F622" s="1">
        <f>VLOOKUP(Table7[[#This Row],[Student_ID]],student_data[],5,0)</f>
        <v>7.25</v>
      </c>
      <c r="G622" s="1">
        <f>VLOOKUP(Table7[[#This Row],[Student_ID]],student_data[#All],6,0)</f>
        <v>1</v>
      </c>
      <c r="H622" s="1">
        <f>VLOOKUP(Table7[[#This Row],[Student_ID]],student_internships[],2,0)</f>
        <v>2</v>
      </c>
      <c r="I622" s="1">
        <f>VLOOKUP(Table7[[#This Row],[Student_ID]],Placements!A622:E1621,5,0)</f>
        <v>0</v>
      </c>
      <c r="J622" s="1" t="str">
        <f>IF(VLOOKUP(Table7[[#This Row],[Student_ID]],student_data[#All],5,0)&gt;8,"HIGH",IF(VLOOKUP(Table7[[#This Row],[Student_ID]],student_data[#All],5,0)&lt;6.5,"LOW","MEDIUM"))</f>
        <v>MEDIUM</v>
      </c>
    </row>
    <row r="623" spans="1:10" x14ac:dyDescent="0.2">
      <c r="A623" s="1" t="s">
        <v>632</v>
      </c>
      <c r="B623" s="1" t="str">
        <f>VLOOKUP(Table7[[#This Row],[Student_ID]],student_data[#All],2,0)</f>
        <v>Civil</v>
      </c>
      <c r="C623" s="1">
        <f>(VLOOKUP(Table7[[#This Row],[Student_ID]],student_data[],5,0)*5)+(VLOOKUP(Table7[[#This Row],[Student_ID]],student_data[],6,0)*3)+(VLOOKUP(Table7[[#This Row],[Student_ID]],student_skills[],6,0)*2)+(VLOOKUP(Table7[[#This Row],[Student_ID]],student_internships[],2,0)*5)</f>
        <v>71.8</v>
      </c>
      <c r="D623" s="1">
        <f>AVERAGE(VLOOKUP(Table7[[#This Row],[Student_ID]],student_skills[],3,0),VLOOKUP(Table7[[#This Row],[Student_ID]],student_skills[],4,0),VLOOKUP(Table7[[#This Row],[Student_ID]],student_skills[],5,0),VLOOKUP(Table7[[#This Row],[Student_ID]],student_skills[],6,0))</f>
        <v>6.5</v>
      </c>
      <c r="E623" s="1" t="str">
        <f>IF(VLOOKUP(Table7[[#This Row],[Student_ID]],student_internships[#All],2,0)&gt;1,"EXPERIENCED",IF(VLOOKUP(Table7[[#This Row],[Student_ID]],student_internships[#All],2,0)=1,"BEGINNER","NOT EXPERIENCED"))</f>
        <v>EXPERIENCED</v>
      </c>
      <c r="F623" s="1">
        <f>VLOOKUP(Table7[[#This Row],[Student_ID]],student_data[],5,0)</f>
        <v>8.36</v>
      </c>
      <c r="G623" s="1">
        <f>VLOOKUP(Table7[[#This Row],[Student_ID]],student_data[#All],6,0)</f>
        <v>4</v>
      </c>
      <c r="H623" s="1">
        <f>VLOOKUP(Table7[[#This Row],[Student_ID]],student_internships[],2,0)</f>
        <v>2</v>
      </c>
      <c r="I623" s="1">
        <f>VLOOKUP(Table7[[#This Row],[Student_ID]],Placements!A623:E1622,5,0)</f>
        <v>6.88</v>
      </c>
      <c r="J623" s="1" t="str">
        <f>IF(VLOOKUP(Table7[[#This Row],[Student_ID]],student_data[#All],5,0)&gt;8,"HIGH",IF(VLOOKUP(Table7[[#This Row],[Student_ID]],student_data[#All],5,0)&lt;6.5,"LOW","MEDIUM"))</f>
        <v>HIGH</v>
      </c>
    </row>
    <row r="624" spans="1:10" x14ac:dyDescent="0.2">
      <c r="A624" s="1" t="s">
        <v>633</v>
      </c>
      <c r="B624" s="1" t="str">
        <f>VLOOKUP(Table7[[#This Row],[Student_ID]],student_data[#All],2,0)</f>
        <v>Information Technology</v>
      </c>
      <c r="C624" s="1">
        <f>(VLOOKUP(Table7[[#This Row],[Student_ID]],student_data[],5,0)*5)+(VLOOKUP(Table7[[#This Row],[Student_ID]],student_data[],6,0)*3)+(VLOOKUP(Table7[[#This Row],[Student_ID]],student_skills[],6,0)*2)+(VLOOKUP(Table7[[#This Row],[Student_ID]],student_internships[],2,0)*5)</f>
        <v>61.6</v>
      </c>
      <c r="D624" s="1">
        <f>AVERAGE(VLOOKUP(Table7[[#This Row],[Student_ID]],student_skills[],3,0),VLOOKUP(Table7[[#This Row],[Student_ID]],student_skills[],4,0),VLOOKUP(Table7[[#This Row],[Student_ID]],student_skills[],5,0),VLOOKUP(Table7[[#This Row],[Student_ID]],student_skills[],6,0))</f>
        <v>4.5</v>
      </c>
      <c r="E624" s="1" t="str">
        <f>IF(VLOOKUP(Table7[[#This Row],[Student_ID]],student_internships[#All],2,0)&gt;1,"EXPERIENCED",IF(VLOOKUP(Table7[[#This Row],[Student_ID]],student_internships[#All],2,0)=1,"BEGINNER","NOT EXPERIENCED"))</f>
        <v>NOT EXPERIENCED</v>
      </c>
      <c r="F624" s="1">
        <f>VLOOKUP(Table7[[#This Row],[Student_ID]],student_data[],5,0)</f>
        <v>7.92</v>
      </c>
      <c r="G624" s="1">
        <f>VLOOKUP(Table7[[#This Row],[Student_ID]],student_data[#All],6,0)</f>
        <v>4</v>
      </c>
      <c r="H624" s="1">
        <f>VLOOKUP(Table7[[#This Row],[Student_ID]],student_internships[],2,0)</f>
        <v>0</v>
      </c>
      <c r="I624" s="1">
        <f>VLOOKUP(Table7[[#This Row],[Student_ID]],Placements!A624:E1623,5,0)</f>
        <v>3.92</v>
      </c>
      <c r="J624" s="1" t="str">
        <f>IF(VLOOKUP(Table7[[#This Row],[Student_ID]],student_data[#All],5,0)&gt;8,"HIGH",IF(VLOOKUP(Table7[[#This Row],[Student_ID]],student_data[#All],5,0)&lt;6.5,"LOW","MEDIUM"))</f>
        <v>MEDIUM</v>
      </c>
    </row>
    <row r="625" spans="1:10" x14ac:dyDescent="0.2">
      <c r="A625" s="1" t="s">
        <v>634</v>
      </c>
      <c r="B625" s="1" t="str">
        <f>VLOOKUP(Table7[[#This Row],[Student_ID]],student_data[#All],2,0)</f>
        <v>Electronics</v>
      </c>
      <c r="C625" s="1">
        <f>(VLOOKUP(Table7[[#This Row],[Student_ID]],student_data[],5,0)*5)+(VLOOKUP(Table7[[#This Row],[Student_ID]],student_data[],6,0)*3)+(VLOOKUP(Table7[[#This Row],[Student_ID]],student_skills[],6,0)*2)+(VLOOKUP(Table7[[#This Row],[Student_ID]],student_internships[],2,0)*5)</f>
        <v>66.150000000000006</v>
      </c>
      <c r="D625" s="1">
        <f>AVERAGE(VLOOKUP(Table7[[#This Row],[Student_ID]],student_skills[],3,0),VLOOKUP(Table7[[#This Row],[Student_ID]],student_skills[],4,0),VLOOKUP(Table7[[#This Row],[Student_ID]],student_skills[],5,0),VLOOKUP(Table7[[#This Row],[Student_ID]],student_skills[],6,0))</f>
        <v>5.5</v>
      </c>
      <c r="E625" s="1" t="str">
        <f>IF(VLOOKUP(Table7[[#This Row],[Student_ID]],student_internships[#All],2,0)&gt;1,"EXPERIENCED",IF(VLOOKUP(Table7[[#This Row],[Student_ID]],student_internships[#All],2,0)=1,"BEGINNER","NOT EXPERIENCED"))</f>
        <v>NOT EXPERIENCED</v>
      </c>
      <c r="F625" s="1">
        <f>VLOOKUP(Table7[[#This Row],[Student_ID]],student_data[],5,0)</f>
        <v>7.63</v>
      </c>
      <c r="G625" s="1">
        <f>VLOOKUP(Table7[[#This Row],[Student_ID]],student_data[#All],6,0)</f>
        <v>4</v>
      </c>
      <c r="H625" s="1">
        <f>VLOOKUP(Table7[[#This Row],[Student_ID]],student_internships[],2,0)</f>
        <v>0</v>
      </c>
      <c r="I625" s="1">
        <f>VLOOKUP(Table7[[#This Row],[Student_ID]],Placements!A625:E1624,5,0)</f>
        <v>4.5</v>
      </c>
      <c r="J625" s="1" t="str">
        <f>IF(VLOOKUP(Table7[[#This Row],[Student_ID]],student_data[#All],5,0)&gt;8,"HIGH",IF(VLOOKUP(Table7[[#This Row],[Student_ID]],student_data[#All],5,0)&lt;6.5,"LOW","MEDIUM"))</f>
        <v>MEDIUM</v>
      </c>
    </row>
    <row r="626" spans="1:10" x14ac:dyDescent="0.2">
      <c r="A626" s="1" t="s">
        <v>635</v>
      </c>
      <c r="B626" s="1" t="str">
        <f>VLOOKUP(Table7[[#This Row],[Student_ID]],student_data[#All],2,0)</f>
        <v>Civil</v>
      </c>
      <c r="C626" s="1">
        <f>(VLOOKUP(Table7[[#This Row],[Student_ID]],student_data[],5,0)*5)+(VLOOKUP(Table7[[#This Row],[Student_ID]],student_data[],6,0)*3)+(VLOOKUP(Table7[[#This Row],[Student_ID]],student_skills[],6,0)*2)+(VLOOKUP(Table7[[#This Row],[Student_ID]],student_internships[],2,0)*5)</f>
        <v>51.25</v>
      </c>
      <c r="D626" s="1">
        <f>AVERAGE(VLOOKUP(Table7[[#This Row],[Student_ID]],student_skills[],3,0),VLOOKUP(Table7[[#This Row],[Student_ID]],student_skills[],4,0),VLOOKUP(Table7[[#This Row],[Student_ID]],student_skills[],5,0),VLOOKUP(Table7[[#This Row],[Student_ID]],student_skills[],6,0))</f>
        <v>3.25</v>
      </c>
      <c r="E626" s="1" t="str">
        <f>IF(VLOOKUP(Table7[[#This Row],[Student_ID]],student_internships[#All],2,0)&gt;1,"EXPERIENCED",IF(VLOOKUP(Table7[[#This Row],[Student_ID]],student_internships[#All],2,0)=1,"BEGINNER","NOT EXPERIENCED"))</f>
        <v>BEGINNER</v>
      </c>
      <c r="F626" s="1">
        <f>VLOOKUP(Table7[[#This Row],[Student_ID]],student_data[],5,0)</f>
        <v>6.25</v>
      </c>
      <c r="G626" s="1">
        <f>VLOOKUP(Table7[[#This Row],[Student_ID]],student_data[#All],6,0)</f>
        <v>3</v>
      </c>
      <c r="H626" s="1">
        <f>VLOOKUP(Table7[[#This Row],[Student_ID]],student_internships[],2,0)</f>
        <v>1</v>
      </c>
      <c r="I626" s="1">
        <f>VLOOKUP(Table7[[#This Row],[Student_ID]],Placements!A626:E1625,5,0)</f>
        <v>0</v>
      </c>
      <c r="J626" s="1" t="str">
        <f>IF(VLOOKUP(Table7[[#This Row],[Student_ID]],student_data[#All],5,0)&gt;8,"HIGH",IF(VLOOKUP(Table7[[#This Row],[Student_ID]],student_data[#All],5,0)&lt;6.5,"LOW","MEDIUM"))</f>
        <v>LOW</v>
      </c>
    </row>
    <row r="627" spans="1:10" x14ac:dyDescent="0.2">
      <c r="A627" s="1" t="s">
        <v>636</v>
      </c>
      <c r="B627" s="1" t="str">
        <f>VLOOKUP(Table7[[#This Row],[Student_ID]],student_data[#All],2,0)</f>
        <v>Civil</v>
      </c>
      <c r="C627" s="1">
        <f>(VLOOKUP(Table7[[#This Row],[Student_ID]],student_data[],5,0)*5)+(VLOOKUP(Table7[[#This Row],[Student_ID]],student_data[],6,0)*3)+(VLOOKUP(Table7[[#This Row],[Student_ID]],student_skills[],6,0)*2)+(VLOOKUP(Table7[[#This Row],[Student_ID]],student_internships[],2,0)*5)</f>
        <v>43.05</v>
      </c>
      <c r="D627" s="1">
        <f>AVERAGE(VLOOKUP(Table7[[#This Row],[Student_ID]],student_skills[],3,0),VLOOKUP(Table7[[#This Row],[Student_ID]],student_skills[],4,0),VLOOKUP(Table7[[#This Row],[Student_ID]],student_skills[],5,0),VLOOKUP(Table7[[#This Row],[Student_ID]],student_skills[],6,0))</f>
        <v>6.25</v>
      </c>
      <c r="E627" s="1" t="str">
        <f>IF(VLOOKUP(Table7[[#This Row],[Student_ID]],student_internships[#All],2,0)&gt;1,"EXPERIENCED",IF(VLOOKUP(Table7[[#This Row],[Student_ID]],student_internships[#All],2,0)=1,"BEGINNER","NOT EXPERIENCED"))</f>
        <v>BEGINNER</v>
      </c>
      <c r="F627" s="1">
        <f>VLOOKUP(Table7[[#This Row],[Student_ID]],student_data[],5,0)</f>
        <v>5.01</v>
      </c>
      <c r="G627" s="1">
        <f>VLOOKUP(Table7[[#This Row],[Student_ID]],student_data[#All],6,0)</f>
        <v>1</v>
      </c>
      <c r="H627" s="1">
        <f>VLOOKUP(Table7[[#This Row],[Student_ID]],student_internships[],2,0)</f>
        <v>1</v>
      </c>
      <c r="I627" s="1">
        <f>VLOOKUP(Table7[[#This Row],[Student_ID]],Placements!A627:E1626,5,0)</f>
        <v>0</v>
      </c>
      <c r="J627" s="1" t="str">
        <f>IF(VLOOKUP(Table7[[#This Row],[Student_ID]],student_data[#All],5,0)&gt;8,"HIGH",IF(VLOOKUP(Table7[[#This Row],[Student_ID]],student_data[#All],5,0)&lt;6.5,"LOW","MEDIUM"))</f>
        <v>LOW</v>
      </c>
    </row>
    <row r="628" spans="1:10" x14ac:dyDescent="0.2">
      <c r="A628" s="1" t="s">
        <v>637</v>
      </c>
      <c r="B628" s="1" t="str">
        <f>VLOOKUP(Table7[[#This Row],[Student_ID]],student_data[#All],2,0)</f>
        <v>Electronics</v>
      </c>
      <c r="C628" s="1">
        <f>(VLOOKUP(Table7[[#This Row],[Student_ID]],student_data[],5,0)*5)+(VLOOKUP(Table7[[#This Row],[Student_ID]],student_data[],6,0)*3)+(VLOOKUP(Table7[[#This Row],[Student_ID]],student_skills[],6,0)*2)+(VLOOKUP(Table7[[#This Row],[Student_ID]],student_internships[],2,0)*5)</f>
        <v>46.35</v>
      </c>
      <c r="D628" s="1">
        <f>AVERAGE(VLOOKUP(Table7[[#This Row],[Student_ID]],student_skills[],3,0),VLOOKUP(Table7[[#This Row],[Student_ID]],student_skills[],4,0),VLOOKUP(Table7[[#This Row],[Student_ID]],student_skills[],5,0),VLOOKUP(Table7[[#This Row],[Student_ID]],student_skills[],6,0))</f>
        <v>3.75</v>
      </c>
      <c r="E628" s="1" t="str">
        <f>IF(VLOOKUP(Table7[[#This Row],[Student_ID]],student_internships[#All],2,0)&gt;1,"EXPERIENCED",IF(VLOOKUP(Table7[[#This Row],[Student_ID]],student_internships[#All],2,0)=1,"BEGINNER","NOT EXPERIENCED"))</f>
        <v>BEGINNER</v>
      </c>
      <c r="F628" s="1">
        <f>VLOOKUP(Table7[[#This Row],[Student_ID]],student_data[],5,0)</f>
        <v>5.87</v>
      </c>
      <c r="G628" s="1">
        <f>VLOOKUP(Table7[[#This Row],[Student_ID]],student_data[#All],6,0)</f>
        <v>2</v>
      </c>
      <c r="H628" s="1">
        <f>VLOOKUP(Table7[[#This Row],[Student_ID]],student_internships[],2,0)</f>
        <v>1</v>
      </c>
      <c r="I628" s="1">
        <f>VLOOKUP(Table7[[#This Row],[Student_ID]],Placements!A628:E1627,5,0)</f>
        <v>4.5</v>
      </c>
      <c r="J628" s="1" t="str">
        <f>IF(VLOOKUP(Table7[[#This Row],[Student_ID]],student_data[#All],5,0)&gt;8,"HIGH",IF(VLOOKUP(Table7[[#This Row],[Student_ID]],student_data[#All],5,0)&lt;6.5,"LOW","MEDIUM"))</f>
        <v>LOW</v>
      </c>
    </row>
    <row r="629" spans="1:10" x14ac:dyDescent="0.2">
      <c r="A629" s="1" t="s">
        <v>638</v>
      </c>
      <c r="B629" s="1" t="str">
        <f>VLOOKUP(Table7[[#This Row],[Student_ID]],student_data[#All],2,0)</f>
        <v>Electronics</v>
      </c>
      <c r="C629" s="1">
        <f>(VLOOKUP(Table7[[#This Row],[Student_ID]],student_data[],5,0)*5)+(VLOOKUP(Table7[[#This Row],[Student_ID]],student_data[],6,0)*3)+(VLOOKUP(Table7[[#This Row],[Student_ID]],student_skills[],6,0)*2)+(VLOOKUP(Table7[[#This Row],[Student_ID]],student_internships[],2,0)*5)</f>
        <v>67.95</v>
      </c>
      <c r="D629" s="1">
        <f>AVERAGE(VLOOKUP(Table7[[#This Row],[Student_ID]],student_skills[],3,0),VLOOKUP(Table7[[#This Row],[Student_ID]],student_skills[],4,0),VLOOKUP(Table7[[#This Row],[Student_ID]],student_skills[],5,0),VLOOKUP(Table7[[#This Row],[Student_ID]],student_skills[],6,0))</f>
        <v>8.75</v>
      </c>
      <c r="E629" s="1" t="str">
        <f>IF(VLOOKUP(Table7[[#This Row],[Student_ID]],student_internships[#All],2,0)&gt;1,"EXPERIENCED",IF(VLOOKUP(Table7[[#This Row],[Student_ID]],student_internships[#All],2,0)=1,"BEGINNER","NOT EXPERIENCED"))</f>
        <v>BEGINNER</v>
      </c>
      <c r="F629" s="1">
        <f>VLOOKUP(Table7[[#This Row],[Student_ID]],student_data[],5,0)</f>
        <v>5.59</v>
      </c>
      <c r="G629" s="1">
        <f>VLOOKUP(Table7[[#This Row],[Student_ID]],student_data[#All],6,0)</f>
        <v>5</v>
      </c>
      <c r="H629" s="1">
        <f>VLOOKUP(Table7[[#This Row],[Student_ID]],student_internships[],2,0)</f>
        <v>1</v>
      </c>
      <c r="I629" s="1">
        <f>VLOOKUP(Table7[[#This Row],[Student_ID]],Placements!A629:E1628,5,0)</f>
        <v>0</v>
      </c>
      <c r="J629" s="1" t="str">
        <f>IF(VLOOKUP(Table7[[#This Row],[Student_ID]],student_data[#All],5,0)&gt;8,"HIGH",IF(VLOOKUP(Table7[[#This Row],[Student_ID]],student_data[#All],5,0)&lt;6.5,"LOW","MEDIUM"))</f>
        <v>LOW</v>
      </c>
    </row>
    <row r="630" spans="1:10" x14ac:dyDescent="0.2">
      <c r="A630" s="1" t="s">
        <v>639</v>
      </c>
      <c r="B630" s="1" t="str">
        <f>VLOOKUP(Table7[[#This Row],[Student_ID]],student_data[#All],2,0)</f>
        <v>Civil</v>
      </c>
      <c r="C630" s="1">
        <f>(VLOOKUP(Table7[[#This Row],[Student_ID]],student_data[],5,0)*5)+(VLOOKUP(Table7[[#This Row],[Student_ID]],student_data[],6,0)*3)+(VLOOKUP(Table7[[#This Row],[Student_ID]],student_skills[],6,0)*2)+(VLOOKUP(Table7[[#This Row],[Student_ID]],student_internships[],2,0)*5)</f>
        <v>59.25</v>
      </c>
      <c r="D630" s="1">
        <f>AVERAGE(VLOOKUP(Table7[[#This Row],[Student_ID]],student_skills[],3,0),VLOOKUP(Table7[[#This Row],[Student_ID]],student_skills[],4,0),VLOOKUP(Table7[[#This Row],[Student_ID]],student_skills[],5,0),VLOOKUP(Table7[[#This Row],[Student_ID]],student_skills[],6,0))</f>
        <v>5.25</v>
      </c>
      <c r="E630" s="1" t="str">
        <f>IF(VLOOKUP(Table7[[#This Row],[Student_ID]],student_internships[#All],2,0)&gt;1,"EXPERIENCED",IF(VLOOKUP(Table7[[#This Row],[Student_ID]],student_internships[#All],2,0)=1,"BEGINNER","NOT EXPERIENCED"))</f>
        <v>BEGINNER</v>
      </c>
      <c r="F630" s="1">
        <f>VLOOKUP(Table7[[#This Row],[Student_ID]],student_data[],5,0)</f>
        <v>7.25</v>
      </c>
      <c r="G630" s="1">
        <f>VLOOKUP(Table7[[#This Row],[Student_ID]],student_data[#All],6,0)</f>
        <v>4</v>
      </c>
      <c r="H630" s="1">
        <f>VLOOKUP(Table7[[#This Row],[Student_ID]],student_internships[],2,0)</f>
        <v>1</v>
      </c>
      <c r="I630" s="1">
        <f>VLOOKUP(Table7[[#This Row],[Student_ID]],Placements!A630:E1629,5,0)</f>
        <v>5.33</v>
      </c>
      <c r="J630" s="1" t="str">
        <f>IF(VLOOKUP(Table7[[#This Row],[Student_ID]],student_data[#All],5,0)&gt;8,"HIGH",IF(VLOOKUP(Table7[[#This Row],[Student_ID]],student_data[#All],5,0)&lt;6.5,"LOW","MEDIUM"))</f>
        <v>MEDIUM</v>
      </c>
    </row>
    <row r="631" spans="1:10" x14ac:dyDescent="0.2">
      <c r="A631" s="1" t="s">
        <v>640</v>
      </c>
      <c r="B631" s="1" t="str">
        <f>VLOOKUP(Table7[[#This Row],[Student_ID]],student_data[#All],2,0)</f>
        <v>Electronics</v>
      </c>
      <c r="C631" s="1">
        <f>(VLOOKUP(Table7[[#This Row],[Student_ID]],student_data[],5,0)*5)+(VLOOKUP(Table7[[#This Row],[Student_ID]],student_data[],6,0)*3)+(VLOOKUP(Table7[[#This Row],[Student_ID]],student_skills[],6,0)*2)+(VLOOKUP(Table7[[#This Row],[Student_ID]],student_internships[],2,0)*5)</f>
        <v>68.300000000000011</v>
      </c>
      <c r="D631" s="1">
        <f>AVERAGE(VLOOKUP(Table7[[#This Row],[Student_ID]],student_skills[],3,0),VLOOKUP(Table7[[#This Row],[Student_ID]],student_skills[],4,0),VLOOKUP(Table7[[#This Row],[Student_ID]],student_skills[],5,0),VLOOKUP(Table7[[#This Row],[Student_ID]],student_skills[],6,0))</f>
        <v>3</v>
      </c>
      <c r="E631" s="1" t="str">
        <f>IF(VLOOKUP(Table7[[#This Row],[Student_ID]],student_internships[#All],2,0)&gt;1,"EXPERIENCED",IF(VLOOKUP(Table7[[#This Row],[Student_ID]],student_internships[#All],2,0)=1,"BEGINNER","NOT EXPERIENCED"))</f>
        <v>EXPERIENCED</v>
      </c>
      <c r="F631" s="1">
        <f>VLOOKUP(Table7[[#This Row],[Student_ID]],student_data[],5,0)</f>
        <v>8.06</v>
      </c>
      <c r="G631" s="1">
        <f>VLOOKUP(Table7[[#This Row],[Student_ID]],student_data[#All],6,0)</f>
        <v>4</v>
      </c>
      <c r="H631" s="1">
        <f>VLOOKUP(Table7[[#This Row],[Student_ID]],student_internships[],2,0)</f>
        <v>2</v>
      </c>
      <c r="I631" s="1">
        <f>VLOOKUP(Table7[[#This Row],[Student_ID]],Placements!A631:E1630,5,0)</f>
        <v>5.65</v>
      </c>
      <c r="J631" s="1" t="str">
        <f>IF(VLOOKUP(Table7[[#This Row],[Student_ID]],student_data[#All],5,0)&gt;8,"HIGH",IF(VLOOKUP(Table7[[#This Row],[Student_ID]],student_data[#All],5,0)&lt;6.5,"LOW","MEDIUM"))</f>
        <v>HIGH</v>
      </c>
    </row>
    <row r="632" spans="1:10" x14ac:dyDescent="0.2">
      <c r="A632" s="1" t="s">
        <v>641</v>
      </c>
      <c r="B632" s="1" t="str">
        <f>VLOOKUP(Table7[[#This Row],[Student_ID]],student_data[#All],2,0)</f>
        <v>Civil</v>
      </c>
      <c r="C632" s="1">
        <f>(VLOOKUP(Table7[[#This Row],[Student_ID]],student_data[],5,0)*5)+(VLOOKUP(Table7[[#This Row],[Student_ID]],student_data[],6,0)*3)+(VLOOKUP(Table7[[#This Row],[Student_ID]],student_skills[],6,0)*2)+(VLOOKUP(Table7[[#This Row],[Student_ID]],student_internships[],2,0)*5)</f>
        <v>59.35</v>
      </c>
      <c r="D632" s="1">
        <f>AVERAGE(VLOOKUP(Table7[[#This Row],[Student_ID]],student_skills[],3,0),VLOOKUP(Table7[[#This Row],[Student_ID]],student_skills[],4,0),VLOOKUP(Table7[[#This Row],[Student_ID]],student_skills[],5,0),VLOOKUP(Table7[[#This Row],[Student_ID]],student_skills[],6,0))</f>
        <v>5.25</v>
      </c>
      <c r="E632" s="1" t="str">
        <f>IF(VLOOKUP(Table7[[#This Row],[Student_ID]],student_internships[#All],2,0)&gt;1,"EXPERIENCED",IF(VLOOKUP(Table7[[#This Row],[Student_ID]],student_internships[#All],2,0)=1,"BEGINNER","NOT EXPERIENCED"))</f>
        <v>NOT EXPERIENCED</v>
      </c>
      <c r="F632" s="1">
        <f>VLOOKUP(Table7[[#This Row],[Student_ID]],student_data[],5,0)</f>
        <v>6.07</v>
      </c>
      <c r="G632" s="1">
        <f>VLOOKUP(Table7[[#This Row],[Student_ID]],student_data[#All],6,0)</f>
        <v>5</v>
      </c>
      <c r="H632" s="1">
        <f>VLOOKUP(Table7[[#This Row],[Student_ID]],student_internships[],2,0)</f>
        <v>0</v>
      </c>
      <c r="I632" s="1">
        <f>VLOOKUP(Table7[[#This Row],[Student_ID]],Placements!A632:E1631,5,0)</f>
        <v>5.03</v>
      </c>
      <c r="J632" s="1" t="str">
        <f>IF(VLOOKUP(Table7[[#This Row],[Student_ID]],student_data[#All],5,0)&gt;8,"HIGH",IF(VLOOKUP(Table7[[#This Row],[Student_ID]],student_data[#All],5,0)&lt;6.5,"LOW","MEDIUM"))</f>
        <v>LOW</v>
      </c>
    </row>
    <row r="633" spans="1:10" x14ac:dyDescent="0.2">
      <c r="A633" s="1" t="s">
        <v>642</v>
      </c>
      <c r="B633" s="1" t="str">
        <f>VLOOKUP(Table7[[#This Row],[Student_ID]],student_data[#All],2,0)</f>
        <v>Civil</v>
      </c>
      <c r="C633" s="1">
        <f>(VLOOKUP(Table7[[#This Row],[Student_ID]],student_data[],5,0)*5)+(VLOOKUP(Table7[[#This Row],[Student_ID]],student_data[],6,0)*3)+(VLOOKUP(Table7[[#This Row],[Student_ID]],student_skills[],6,0)*2)+(VLOOKUP(Table7[[#This Row],[Student_ID]],student_internships[],2,0)*5)</f>
        <v>77.5</v>
      </c>
      <c r="D633" s="1">
        <f>AVERAGE(VLOOKUP(Table7[[#This Row],[Student_ID]],student_skills[],3,0),VLOOKUP(Table7[[#This Row],[Student_ID]],student_skills[],4,0),VLOOKUP(Table7[[#This Row],[Student_ID]],student_skills[],5,0),VLOOKUP(Table7[[#This Row],[Student_ID]],student_skills[],6,0))</f>
        <v>6.75</v>
      </c>
      <c r="E633" s="1" t="str">
        <f>IF(VLOOKUP(Table7[[#This Row],[Student_ID]],student_internships[#All],2,0)&gt;1,"EXPERIENCED",IF(VLOOKUP(Table7[[#This Row],[Student_ID]],student_internships[#All],2,0)=1,"BEGINNER","NOT EXPERIENCED"))</f>
        <v>NOT EXPERIENCED</v>
      </c>
      <c r="F633" s="1">
        <f>VLOOKUP(Table7[[#This Row],[Student_ID]],student_data[],5,0)</f>
        <v>9.6999999999999993</v>
      </c>
      <c r="G633" s="1">
        <f>VLOOKUP(Table7[[#This Row],[Student_ID]],student_data[#All],6,0)</f>
        <v>5</v>
      </c>
      <c r="H633" s="1">
        <f>VLOOKUP(Table7[[#This Row],[Student_ID]],student_internships[],2,0)</f>
        <v>0</v>
      </c>
      <c r="I633" s="1">
        <f>VLOOKUP(Table7[[#This Row],[Student_ID]],Placements!A633:E1632,5,0)</f>
        <v>0</v>
      </c>
      <c r="J633" s="1" t="str">
        <f>IF(VLOOKUP(Table7[[#This Row],[Student_ID]],student_data[#All],5,0)&gt;8,"HIGH",IF(VLOOKUP(Table7[[#This Row],[Student_ID]],student_data[#All],5,0)&lt;6.5,"LOW","MEDIUM"))</f>
        <v>HIGH</v>
      </c>
    </row>
    <row r="634" spans="1:10" x14ac:dyDescent="0.2">
      <c r="A634" s="1" t="s">
        <v>643</v>
      </c>
      <c r="B634" s="1" t="str">
        <f>VLOOKUP(Table7[[#This Row],[Student_ID]],student_data[#All],2,0)</f>
        <v>Information Technology</v>
      </c>
      <c r="C634" s="1">
        <f>(VLOOKUP(Table7[[#This Row],[Student_ID]],student_data[],5,0)*5)+(VLOOKUP(Table7[[#This Row],[Student_ID]],student_data[],6,0)*3)+(VLOOKUP(Table7[[#This Row],[Student_ID]],student_skills[],6,0)*2)+(VLOOKUP(Table7[[#This Row],[Student_ID]],student_internships[],2,0)*5)</f>
        <v>52.150000000000006</v>
      </c>
      <c r="D634" s="1">
        <f>AVERAGE(VLOOKUP(Table7[[#This Row],[Student_ID]],student_skills[],3,0),VLOOKUP(Table7[[#This Row],[Student_ID]],student_skills[],4,0),VLOOKUP(Table7[[#This Row],[Student_ID]],student_skills[],5,0),VLOOKUP(Table7[[#This Row],[Student_ID]],student_skills[],6,0))</f>
        <v>6.25</v>
      </c>
      <c r="E634" s="1" t="str">
        <f>IF(VLOOKUP(Table7[[#This Row],[Student_ID]],student_internships[#All],2,0)&gt;1,"EXPERIENCED",IF(VLOOKUP(Table7[[#This Row],[Student_ID]],student_internships[#All],2,0)=1,"BEGINNER","NOT EXPERIENCED"))</f>
        <v>EXPERIENCED</v>
      </c>
      <c r="F634" s="1">
        <f>VLOOKUP(Table7[[#This Row],[Student_ID]],student_data[],5,0)</f>
        <v>5.03</v>
      </c>
      <c r="G634" s="1">
        <f>VLOOKUP(Table7[[#This Row],[Student_ID]],student_data[#All],6,0)</f>
        <v>1</v>
      </c>
      <c r="H634" s="1">
        <f>VLOOKUP(Table7[[#This Row],[Student_ID]],student_internships[],2,0)</f>
        <v>2</v>
      </c>
      <c r="I634" s="1">
        <f>VLOOKUP(Table7[[#This Row],[Student_ID]],Placements!A634:E1633,5,0)</f>
        <v>4.3499999999999996</v>
      </c>
      <c r="J634" s="1" t="str">
        <f>IF(VLOOKUP(Table7[[#This Row],[Student_ID]],student_data[#All],5,0)&gt;8,"HIGH",IF(VLOOKUP(Table7[[#This Row],[Student_ID]],student_data[#All],5,0)&lt;6.5,"LOW","MEDIUM"))</f>
        <v>LOW</v>
      </c>
    </row>
    <row r="635" spans="1:10" x14ac:dyDescent="0.2">
      <c r="A635" s="1" t="s">
        <v>644</v>
      </c>
      <c r="B635" s="1" t="str">
        <f>VLOOKUP(Table7[[#This Row],[Student_ID]],student_data[#All],2,0)</f>
        <v>Computer Science</v>
      </c>
      <c r="C635" s="1">
        <f>(VLOOKUP(Table7[[#This Row],[Student_ID]],student_data[],5,0)*5)+(VLOOKUP(Table7[[#This Row],[Student_ID]],student_data[],6,0)*3)+(VLOOKUP(Table7[[#This Row],[Student_ID]],student_skills[],6,0)*2)+(VLOOKUP(Table7[[#This Row],[Student_ID]],student_internships[],2,0)*5)</f>
        <v>86.3</v>
      </c>
      <c r="D635" s="1">
        <f>AVERAGE(VLOOKUP(Table7[[#This Row],[Student_ID]],student_skills[],3,0),VLOOKUP(Table7[[#This Row],[Student_ID]],student_skills[],4,0),VLOOKUP(Table7[[#This Row],[Student_ID]],student_skills[],5,0),VLOOKUP(Table7[[#This Row],[Student_ID]],student_skills[],6,0))</f>
        <v>5.25</v>
      </c>
      <c r="E635" s="1" t="str">
        <f>IF(VLOOKUP(Table7[[#This Row],[Student_ID]],student_internships[#All],2,0)&gt;1,"EXPERIENCED",IF(VLOOKUP(Table7[[#This Row],[Student_ID]],student_internships[#All],2,0)=1,"BEGINNER","NOT EXPERIENCED"))</f>
        <v>EXPERIENCED</v>
      </c>
      <c r="F635" s="1">
        <f>VLOOKUP(Table7[[#This Row],[Student_ID]],student_data[],5,0)</f>
        <v>8.86</v>
      </c>
      <c r="G635" s="1">
        <f>VLOOKUP(Table7[[#This Row],[Student_ID]],student_data[#All],6,0)</f>
        <v>4</v>
      </c>
      <c r="H635" s="1">
        <f>VLOOKUP(Table7[[#This Row],[Student_ID]],student_internships[],2,0)</f>
        <v>2</v>
      </c>
      <c r="I635" s="1">
        <f>VLOOKUP(Table7[[#This Row],[Student_ID]],Placements!A635:E1634,5,0)</f>
        <v>4.1900000000000004</v>
      </c>
      <c r="J635" s="1" t="str">
        <f>IF(VLOOKUP(Table7[[#This Row],[Student_ID]],student_data[#All],5,0)&gt;8,"HIGH",IF(VLOOKUP(Table7[[#This Row],[Student_ID]],student_data[#All],5,0)&lt;6.5,"LOW","MEDIUM"))</f>
        <v>HIGH</v>
      </c>
    </row>
    <row r="636" spans="1:10" x14ac:dyDescent="0.2">
      <c r="A636" s="1" t="s">
        <v>645</v>
      </c>
      <c r="B636" s="1" t="str">
        <f>VLOOKUP(Table7[[#This Row],[Student_ID]],student_data[#All],2,0)</f>
        <v>Civil</v>
      </c>
      <c r="C636" s="1">
        <f>(VLOOKUP(Table7[[#This Row],[Student_ID]],student_data[],5,0)*5)+(VLOOKUP(Table7[[#This Row],[Student_ID]],student_data[],6,0)*3)+(VLOOKUP(Table7[[#This Row],[Student_ID]],student_skills[],6,0)*2)+(VLOOKUP(Table7[[#This Row],[Student_ID]],student_internships[],2,0)*5)</f>
        <v>76.650000000000006</v>
      </c>
      <c r="D636" s="1">
        <f>AVERAGE(VLOOKUP(Table7[[#This Row],[Student_ID]],student_skills[],3,0),VLOOKUP(Table7[[#This Row],[Student_ID]],student_skills[],4,0),VLOOKUP(Table7[[#This Row],[Student_ID]],student_skills[],5,0),VLOOKUP(Table7[[#This Row],[Student_ID]],student_skills[],6,0))</f>
        <v>7.75</v>
      </c>
      <c r="E636" s="1" t="str">
        <f>IF(VLOOKUP(Table7[[#This Row],[Student_ID]],student_internships[#All],2,0)&gt;1,"EXPERIENCED",IF(VLOOKUP(Table7[[#This Row],[Student_ID]],student_internships[#All],2,0)=1,"BEGINNER","NOT EXPERIENCED"))</f>
        <v>BEGINNER</v>
      </c>
      <c r="F636" s="1">
        <f>VLOOKUP(Table7[[#This Row],[Student_ID]],student_data[],5,0)</f>
        <v>8.1300000000000008</v>
      </c>
      <c r="G636" s="1">
        <f>VLOOKUP(Table7[[#This Row],[Student_ID]],student_data[#All],6,0)</f>
        <v>5</v>
      </c>
      <c r="H636" s="1">
        <f>VLOOKUP(Table7[[#This Row],[Student_ID]],student_internships[],2,0)</f>
        <v>1</v>
      </c>
      <c r="I636" s="1">
        <f>VLOOKUP(Table7[[#This Row],[Student_ID]],Placements!A636:E1635,5,0)</f>
        <v>4.5599999999999996</v>
      </c>
      <c r="J636" s="1" t="str">
        <f>IF(VLOOKUP(Table7[[#This Row],[Student_ID]],student_data[#All],5,0)&gt;8,"HIGH",IF(VLOOKUP(Table7[[#This Row],[Student_ID]],student_data[#All],5,0)&lt;6.5,"LOW","MEDIUM"))</f>
        <v>HIGH</v>
      </c>
    </row>
    <row r="637" spans="1:10" x14ac:dyDescent="0.2">
      <c r="A637" s="1" t="s">
        <v>646</v>
      </c>
      <c r="B637" s="1" t="str">
        <f>VLOOKUP(Table7[[#This Row],[Student_ID]],student_data[#All],2,0)</f>
        <v>Mechanical</v>
      </c>
      <c r="C637" s="1">
        <f>(VLOOKUP(Table7[[#This Row],[Student_ID]],student_data[],5,0)*5)+(VLOOKUP(Table7[[#This Row],[Student_ID]],student_data[],6,0)*3)+(VLOOKUP(Table7[[#This Row],[Student_ID]],student_skills[],6,0)*2)+(VLOOKUP(Table7[[#This Row],[Student_ID]],student_internships[],2,0)*5)</f>
        <v>58.35</v>
      </c>
      <c r="D637" s="1">
        <f>AVERAGE(VLOOKUP(Table7[[#This Row],[Student_ID]],student_skills[],3,0),VLOOKUP(Table7[[#This Row],[Student_ID]],student_skills[],4,0),VLOOKUP(Table7[[#This Row],[Student_ID]],student_skills[],5,0),VLOOKUP(Table7[[#This Row],[Student_ID]],student_skills[],6,0))</f>
        <v>3.5</v>
      </c>
      <c r="E637" s="1" t="str">
        <f>IF(VLOOKUP(Table7[[#This Row],[Student_ID]],student_internships[#All],2,0)&gt;1,"EXPERIENCED",IF(VLOOKUP(Table7[[#This Row],[Student_ID]],student_internships[#All],2,0)=1,"BEGINNER","NOT EXPERIENCED"))</f>
        <v>BEGINNER</v>
      </c>
      <c r="F637" s="1">
        <f>VLOOKUP(Table7[[#This Row],[Student_ID]],student_data[],5,0)</f>
        <v>6.87</v>
      </c>
      <c r="G637" s="1">
        <f>VLOOKUP(Table7[[#This Row],[Student_ID]],student_data[#All],6,0)</f>
        <v>3</v>
      </c>
      <c r="H637" s="1">
        <f>VLOOKUP(Table7[[#This Row],[Student_ID]],student_internships[],2,0)</f>
        <v>1</v>
      </c>
      <c r="I637" s="1">
        <f>VLOOKUP(Table7[[#This Row],[Student_ID]],Placements!A637:E1636,5,0)</f>
        <v>5.13</v>
      </c>
      <c r="J637" s="1" t="str">
        <f>IF(VLOOKUP(Table7[[#This Row],[Student_ID]],student_data[#All],5,0)&gt;8,"HIGH",IF(VLOOKUP(Table7[[#This Row],[Student_ID]],student_data[#All],5,0)&lt;6.5,"LOW","MEDIUM"))</f>
        <v>MEDIUM</v>
      </c>
    </row>
    <row r="638" spans="1:10" x14ac:dyDescent="0.2">
      <c r="A638" s="1" t="s">
        <v>647</v>
      </c>
      <c r="B638" s="1" t="str">
        <f>VLOOKUP(Table7[[#This Row],[Student_ID]],student_data[#All],2,0)</f>
        <v>Computer Science</v>
      </c>
      <c r="C638" s="1">
        <f>(VLOOKUP(Table7[[#This Row],[Student_ID]],student_data[],5,0)*5)+(VLOOKUP(Table7[[#This Row],[Student_ID]],student_data[],6,0)*3)+(VLOOKUP(Table7[[#This Row],[Student_ID]],student_skills[],6,0)*2)+(VLOOKUP(Table7[[#This Row],[Student_ID]],student_internships[],2,0)*5)</f>
        <v>45.25</v>
      </c>
      <c r="D638" s="1">
        <f>AVERAGE(VLOOKUP(Table7[[#This Row],[Student_ID]],student_skills[],3,0),VLOOKUP(Table7[[#This Row],[Student_ID]],student_skills[],4,0),VLOOKUP(Table7[[#This Row],[Student_ID]],student_skills[],5,0),VLOOKUP(Table7[[#This Row],[Student_ID]],student_skills[],6,0))</f>
        <v>7.5</v>
      </c>
      <c r="E638" s="1" t="str">
        <f>IF(VLOOKUP(Table7[[#This Row],[Student_ID]],student_internships[#All],2,0)&gt;1,"EXPERIENCED",IF(VLOOKUP(Table7[[#This Row],[Student_ID]],student_internships[#All],2,0)=1,"BEGINNER","NOT EXPERIENCED"))</f>
        <v>NOT EXPERIENCED</v>
      </c>
      <c r="F638" s="1">
        <f>VLOOKUP(Table7[[#This Row],[Student_ID]],student_data[],5,0)</f>
        <v>5.25</v>
      </c>
      <c r="G638" s="1">
        <f>VLOOKUP(Table7[[#This Row],[Student_ID]],student_data[#All],6,0)</f>
        <v>3</v>
      </c>
      <c r="H638" s="1">
        <f>VLOOKUP(Table7[[#This Row],[Student_ID]],student_internships[],2,0)</f>
        <v>0</v>
      </c>
      <c r="I638" s="1">
        <f>VLOOKUP(Table7[[#This Row],[Student_ID]],Placements!A638:E1637,5,0)</f>
        <v>3.61</v>
      </c>
      <c r="J638" s="1" t="str">
        <f>IF(VLOOKUP(Table7[[#This Row],[Student_ID]],student_data[#All],5,0)&gt;8,"HIGH",IF(VLOOKUP(Table7[[#This Row],[Student_ID]],student_data[#All],5,0)&lt;6.5,"LOW","MEDIUM"))</f>
        <v>LOW</v>
      </c>
    </row>
    <row r="639" spans="1:10" x14ac:dyDescent="0.2">
      <c r="A639" s="1" t="s">
        <v>648</v>
      </c>
      <c r="B639" s="1" t="str">
        <f>VLOOKUP(Table7[[#This Row],[Student_ID]],student_data[#All],2,0)</f>
        <v>Computer Science</v>
      </c>
      <c r="C639" s="1">
        <f>(VLOOKUP(Table7[[#This Row],[Student_ID]],student_data[],5,0)*5)+(VLOOKUP(Table7[[#This Row],[Student_ID]],student_data[],6,0)*3)+(VLOOKUP(Table7[[#This Row],[Student_ID]],student_skills[],6,0)*2)+(VLOOKUP(Table7[[#This Row],[Student_ID]],student_internships[],2,0)*5)</f>
        <v>65.7</v>
      </c>
      <c r="D639" s="1">
        <f>AVERAGE(VLOOKUP(Table7[[#This Row],[Student_ID]],student_skills[],3,0),VLOOKUP(Table7[[#This Row],[Student_ID]],student_skills[],4,0),VLOOKUP(Table7[[#This Row],[Student_ID]],student_skills[],5,0),VLOOKUP(Table7[[#This Row],[Student_ID]],student_skills[],6,0))</f>
        <v>7.25</v>
      </c>
      <c r="E639" s="1" t="str">
        <f>IF(VLOOKUP(Table7[[#This Row],[Student_ID]],student_internships[#All],2,0)&gt;1,"EXPERIENCED",IF(VLOOKUP(Table7[[#This Row],[Student_ID]],student_internships[#All],2,0)=1,"BEGINNER","NOT EXPERIENCED"))</f>
        <v>BEGINNER</v>
      </c>
      <c r="F639" s="1">
        <f>VLOOKUP(Table7[[#This Row],[Student_ID]],student_data[],5,0)</f>
        <v>8.14</v>
      </c>
      <c r="G639" s="1">
        <f>VLOOKUP(Table7[[#This Row],[Student_ID]],student_data[#All],6,0)</f>
        <v>4</v>
      </c>
      <c r="H639" s="1">
        <f>VLOOKUP(Table7[[#This Row],[Student_ID]],student_internships[],2,0)</f>
        <v>1</v>
      </c>
      <c r="I639" s="1">
        <f>VLOOKUP(Table7[[#This Row],[Student_ID]],Placements!A639:E1638,5,0)</f>
        <v>4.1900000000000004</v>
      </c>
      <c r="J639" s="1" t="str">
        <f>IF(VLOOKUP(Table7[[#This Row],[Student_ID]],student_data[#All],5,0)&gt;8,"HIGH",IF(VLOOKUP(Table7[[#This Row],[Student_ID]],student_data[#All],5,0)&lt;6.5,"LOW","MEDIUM"))</f>
        <v>HIGH</v>
      </c>
    </row>
    <row r="640" spans="1:10" x14ac:dyDescent="0.2">
      <c r="A640" s="1" t="s">
        <v>649</v>
      </c>
      <c r="B640" s="1" t="str">
        <f>VLOOKUP(Table7[[#This Row],[Student_ID]],student_data[#All],2,0)</f>
        <v>Computer Science</v>
      </c>
      <c r="C640" s="1">
        <f>(VLOOKUP(Table7[[#This Row],[Student_ID]],student_data[],5,0)*5)+(VLOOKUP(Table7[[#This Row],[Student_ID]],student_data[],6,0)*3)+(VLOOKUP(Table7[[#This Row],[Student_ID]],student_skills[],6,0)*2)+(VLOOKUP(Table7[[#This Row],[Student_ID]],student_internships[],2,0)*5)</f>
        <v>68.650000000000006</v>
      </c>
      <c r="D640" s="1">
        <f>AVERAGE(VLOOKUP(Table7[[#This Row],[Student_ID]],student_skills[],3,0),VLOOKUP(Table7[[#This Row],[Student_ID]],student_skills[],4,0),VLOOKUP(Table7[[#This Row],[Student_ID]],student_skills[],5,0),VLOOKUP(Table7[[#This Row],[Student_ID]],student_skills[],6,0))</f>
        <v>6.25</v>
      </c>
      <c r="E640" s="1" t="str">
        <f>IF(VLOOKUP(Table7[[#This Row],[Student_ID]],student_internships[#All],2,0)&gt;1,"EXPERIENCED",IF(VLOOKUP(Table7[[#This Row],[Student_ID]],student_internships[#All],2,0)=1,"BEGINNER","NOT EXPERIENCED"))</f>
        <v>BEGINNER</v>
      </c>
      <c r="F640" s="1">
        <f>VLOOKUP(Table7[[#This Row],[Student_ID]],student_data[],5,0)</f>
        <v>6.93</v>
      </c>
      <c r="G640" s="1">
        <f>VLOOKUP(Table7[[#This Row],[Student_ID]],student_data[#All],6,0)</f>
        <v>5</v>
      </c>
      <c r="H640" s="1">
        <f>VLOOKUP(Table7[[#This Row],[Student_ID]],student_internships[],2,0)</f>
        <v>1</v>
      </c>
      <c r="I640" s="1">
        <f>VLOOKUP(Table7[[#This Row],[Student_ID]],Placements!A640:E1639,5,0)</f>
        <v>5.19</v>
      </c>
      <c r="J640" s="1" t="str">
        <f>IF(VLOOKUP(Table7[[#This Row],[Student_ID]],student_data[#All],5,0)&gt;8,"HIGH",IF(VLOOKUP(Table7[[#This Row],[Student_ID]],student_data[#All],5,0)&lt;6.5,"LOW","MEDIUM"))</f>
        <v>MEDIUM</v>
      </c>
    </row>
    <row r="641" spans="1:10" x14ac:dyDescent="0.2">
      <c r="A641" s="1" t="s">
        <v>650</v>
      </c>
      <c r="B641" s="1" t="str">
        <f>VLOOKUP(Table7[[#This Row],[Student_ID]],student_data[#All],2,0)</f>
        <v>Information Technology</v>
      </c>
      <c r="C641" s="1">
        <f>(VLOOKUP(Table7[[#This Row],[Student_ID]],student_data[],5,0)*5)+(VLOOKUP(Table7[[#This Row],[Student_ID]],student_data[],6,0)*3)+(VLOOKUP(Table7[[#This Row],[Student_ID]],student_skills[],6,0)*2)+(VLOOKUP(Table7[[#This Row],[Student_ID]],student_internships[],2,0)*5)</f>
        <v>71.400000000000006</v>
      </c>
      <c r="D641" s="1">
        <f>AVERAGE(VLOOKUP(Table7[[#This Row],[Student_ID]],student_skills[],3,0),VLOOKUP(Table7[[#This Row],[Student_ID]],student_skills[],4,0),VLOOKUP(Table7[[#This Row],[Student_ID]],student_skills[],5,0),VLOOKUP(Table7[[#This Row],[Student_ID]],student_skills[],6,0))</f>
        <v>8.5</v>
      </c>
      <c r="E641" s="1" t="str">
        <f>IF(VLOOKUP(Table7[[#This Row],[Student_ID]],student_internships[#All],2,0)&gt;1,"EXPERIENCED",IF(VLOOKUP(Table7[[#This Row],[Student_ID]],student_internships[#All],2,0)=1,"BEGINNER","NOT EXPERIENCED"))</f>
        <v>NOT EXPERIENCED</v>
      </c>
      <c r="F641" s="1">
        <f>VLOOKUP(Table7[[#This Row],[Student_ID]],student_data[],5,0)</f>
        <v>9.68</v>
      </c>
      <c r="G641" s="1">
        <f>VLOOKUP(Table7[[#This Row],[Student_ID]],student_data[#All],6,0)</f>
        <v>1</v>
      </c>
      <c r="H641" s="1">
        <f>VLOOKUP(Table7[[#This Row],[Student_ID]],student_internships[],2,0)</f>
        <v>0</v>
      </c>
      <c r="I641" s="1">
        <f>VLOOKUP(Table7[[#This Row],[Student_ID]],Placements!A641:E1640,5,0)</f>
        <v>0</v>
      </c>
      <c r="J641" s="1" t="str">
        <f>IF(VLOOKUP(Table7[[#This Row],[Student_ID]],student_data[#All],5,0)&gt;8,"HIGH",IF(VLOOKUP(Table7[[#This Row],[Student_ID]],student_data[#All],5,0)&lt;6.5,"LOW","MEDIUM"))</f>
        <v>HIGH</v>
      </c>
    </row>
    <row r="642" spans="1:10" x14ac:dyDescent="0.2">
      <c r="A642" s="1" t="s">
        <v>651</v>
      </c>
      <c r="B642" s="1" t="str">
        <f>VLOOKUP(Table7[[#This Row],[Student_ID]],student_data[#All],2,0)</f>
        <v>Civil</v>
      </c>
      <c r="C642" s="1">
        <f>(VLOOKUP(Table7[[#This Row],[Student_ID]],student_data[],5,0)*5)+(VLOOKUP(Table7[[#This Row],[Student_ID]],student_data[],6,0)*3)+(VLOOKUP(Table7[[#This Row],[Student_ID]],student_skills[],6,0)*2)+(VLOOKUP(Table7[[#This Row],[Student_ID]],student_internships[],2,0)*5)</f>
        <v>49.55</v>
      </c>
      <c r="D642" s="1">
        <f>AVERAGE(VLOOKUP(Table7[[#This Row],[Student_ID]],student_skills[],3,0),VLOOKUP(Table7[[#This Row],[Student_ID]],student_skills[],4,0),VLOOKUP(Table7[[#This Row],[Student_ID]],student_skills[],5,0),VLOOKUP(Table7[[#This Row],[Student_ID]],student_skills[],6,0))</f>
        <v>4.75</v>
      </c>
      <c r="E642" s="1" t="str">
        <f>IF(VLOOKUP(Table7[[#This Row],[Student_ID]],student_internships[#All],2,0)&gt;1,"EXPERIENCED",IF(VLOOKUP(Table7[[#This Row],[Student_ID]],student_internships[#All],2,0)=1,"BEGINNER","NOT EXPERIENCED"))</f>
        <v>NOT EXPERIENCED</v>
      </c>
      <c r="F642" s="1">
        <f>VLOOKUP(Table7[[#This Row],[Student_ID]],student_data[],5,0)</f>
        <v>7.71</v>
      </c>
      <c r="G642" s="1">
        <f>VLOOKUP(Table7[[#This Row],[Student_ID]],student_data[#All],6,0)</f>
        <v>1</v>
      </c>
      <c r="H642" s="1">
        <f>VLOOKUP(Table7[[#This Row],[Student_ID]],student_internships[],2,0)</f>
        <v>0</v>
      </c>
      <c r="I642" s="1">
        <f>VLOOKUP(Table7[[#This Row],[Student_ID]],Placements!A642:E1641,5,0)</f>
        <v>4.5</v>
      </c>
      <c r="J642" s="1" t="str">
        <f>IF(VLOOKUP(Table7[[#This Row],[Student_ID]],student_data[#All],5,0)&gt;8,"HIGH",IF(VLOOKUP(Table7[[#This Row],[Student_ID]],student_data[#All],5,0)&lt;6.5,"LOW","MEDIUM"))</f>
        <v>MEDIUM</v>
      </c>
    </row>
    <row r="643" spans="1:10" x14ac:dyDescent="0.2">
      <c r="A643" s="1" t="s">
        <v>652</v>
      </c>
      <c r="B643" s="1" t="str">
        <f>VLOOKUP(Table7[[#This Row],[Student_ID]],student_data[#All],2,0)</f>
        <v>Information Technology</v>
      </c>
      <c r="C643" s="1">
        <f>(VLOOKUP(Table7[[#This Row],[Student_ID]],student_data[],5,0)*5)+(VLOOKUP(Table7[[#This Row],[Student_ID]],student_data[],6,0)*3)+(VLOOKUP(Table7[[#This Row],[Student_ID]],student_skills[],6,0)*2)+(VLOOKUP(Table7[[#This Row],[Student_ID]],student_internships[],2,0)*5)</f>
        <v>60.5</v>
      </c>
      <c r="D643" s="1">
        <f>AVERAGE(VLOOKUP(Table7[[#This Row],[Student_ID]],student_skills[],3,0),VLOOKUP(Table7[[#This Row],[Student_ID]],student_skills[],4,0),VLOOKUP(Table7[[#This Row],[Student_ID]],student_skills[],5,0),VLOOKUP(Table7[[#This Row],[Student_ID]],student_skills[],6,0))</f>
        <v>5.25</v>
      </c>
      <c r="E643" s="1" t="str">
        <f>IF(VLOOKUP(Table7[[#This Row],[Student_ID]],student_internships[#All],2,0)&gt;1,"EXPERIENCED",IF(VLOOKUP(Table7[[#This Row],[Student_ID]],student_internships[#All],2,0)=1,"BEGINNER","NOT EXPERIENCED"))</f>
        <v>BEGINNER</v>
      </c>
      <c r="F643" s="1">
        <f>VLOOKUP(Table7[[#This Row],[Student_ID]],student_data[],5,0)</f>
        <v>9.6999999999999993</v>
      </c>
      <c r="G643" s="1">
        <f>VLOOKUP(Table7[[#This Row],[Student_ID]],student_data[#All],6,0)</f>
        <v>1</v>
      </c>
      <c r="H643" s="1">
        <f>VLOOKUP(Table7[[#This Row],[Student_ID]],student_internships[],2,0)</f>
        <v>1</v>
      </c>
      <c r="I643" s="1">
        <f>VLOOKUP(Table7[[#This Row],[Student_ID]],Placements!A643:E1642,5,0)</f>
        <v>5.03</v>
      </c>
      <c r="J643" s="1" t="str">
        <f>IF(VLOOKUP(Table7[[#This Row],[Student_ID]],student_data[#All],5,0)&gt;8,"HIGH",IF(VLOOKUP(Table7[[#This Row],[Student_ID]],student_data[#All],5,0)&lt;6.5,"LOW","MEDIUM"))</f>
        <v>HIGH</v>
      </c>
    </row>
    <row r="644" spans="1:10" x14ac:dyDescent="0.2">
      <c r="A644" s="1" t="s">
        <v>653</v>
      </c>
      <c r="B644" s="1" t="str">
        <f>VLOOKUP(Table7[[#This Row],[Student_ID]],student_data[#All],2,0)</f>
        <v>Civil</v>
      </c>
      <c r="C644" s="1">
        <f>(VLOOKUP(Table7[[#This Row],[Student_ID]],student_data[],5,0)*5)+(VLOOKUP(Table7[[#This Row],[Student_ID]],student_data[],6,0)*3)+(VLOOKUP(Table7[[#This Row],[Student_ID]],student_skills[],6,0)*2)+(VLOOKUP(Table7[[#This Row],[Student_ID]],student_internships[],2,0)*5)</f>
        <v>38.5</v>
      </c>
      <c r="D644" s="1">
        <f>AVERAGE(VLOOKUP(Table7[[#This Row],[Student_ID]],student_skills[],3,0),VLOOKUP(Table7[[#This Row],[Student_ID]],student_skills[],4,0),VLOOKUP(Table7[[#This Row],[Student_ID]],student_skills[],5,0),VLOOKUP(Table7[[#This Row],[Student_ID]],student_skills[],6,0))</f>
        <v>4</v>
      </c>
      <c r="E644" s="1" t="str">
        <f>IF(VLOOKUP(Table7[[#This Row],[Student_ID]],student_internships[#All],2,0)&gt;1,"EXPERIENCED",IF(VLOOKUP(Table7[[#This Row],[Student_ID]],student_internships[#All],2,0)=1,"BEGINNER","NOT EXPERIENCED"))</f>
        <v>NOT EXPERIENCED</v>
      </c>
      <c r="F644" s="1">
        <f>VLOOKUP(Table7[[#This Row],[Student_ID]],student_data[],5,0)</f>
        <v>6.1</v>
      </c>
      <c r="G644" s="1">
        <f>VLOOKUP(Table7[[#This Row],[Student_ID]],student_data[#All],6,0)</f>
        <v>0</v>
      </c>
      <c r="H644" s="1">
        <f>VLOOKUP(Table7[[#This Row],[Student_ID]],student_internships[],2,0)</f>
        <v>0</v>
      </c>
      <c r="I644" s="1">
        <f>VLOOKUP(Table7[[#This Row],[Student_ID]],Placements!A644:E1643,5,0)</f>
        <v>4.5599999999999996</v>
      </c>
      <c r="J644" s="1" t="str">
        <f>IF(VLOOKUP(Table7[[#This Row],[Student_ID]],student_data[#All],5,0)&gt;8,"HIGH",IF(VLOOKUP(Table7[[#This Row],[Student_ID]],student_data[#All],5,0)&lt;6.5,"LOW","MEDIUM"))</f>
        <v>LOW</v>
      </c>
    </row>
    <row r="645" spans="1:10" x14ac:dyDescent="0.2">
      <c r="A645" s="1" t="s">
        <v>654</v>
      </c>
      <c r="B645" s="1" t="str">
        <f>VLOOKUP(Table7[[#This Row],[Student_ID]],student_data[#All],2,0)</f>
        <v>Information Technology</v>
      </c>
      <c r="C645" s="1">
        <f>(VLOOKUP(Table7[[#This Row],[Student_ID]],student_data[],5,0)*5)+(VLOOKUP(Table7[[#This Row],[Student_ID]],student_data[],6,0)*3)+(VLOOKUP(Table7[[#This Row],[Student_ID]],student_skills[],6,0)*2)+(VLOOKUP(Table7[[#This Row],[Student_ID]],student_internships[],2,0)*5)</f>
        <v>76.150000000000006</v>
      </c>
      <c r="D645" s="1">
        <f>AVERAGE(VLOOKUP(Table7[[#This Row],[Student_ID]],student_skills[],3,0),VLOOKUP(Table7[[#This Row],[Student_ID]],student_skills[],4,0),VLOOKUP(Table7[[#This Row],[Student_ID]],student_skills[],5,0),VLOOKUP(Table7[[#This Row],[Student_ID]],student_skills[],6,0))</f>
        <v>7.5</v>
      </c>
      <c r="E645" s="1" t="str">
        <f>IF(VLOOKUP(Table7[[#This Row],[Student_ID]],student_internships[#All],2,0)&gt;1,"EXPERIENCED",IF(VLOOKUP(Table7[[#This Row],[Student_ID]],student_internships[#All],2,0)=1,"BEGINNER","NOT EXPERIENCED"))</f>
        <v>BEGINNER</v>
      </c>
      <c r="F645" s="1">
        <f>VLOOKUP(Table7[[#This Row],[Student_ID]],student_data[],5,0)</f>
        <v>8.6300000000000008</v>
      </c>
      <c r="G645" s="1">
        <f>VLOOKUP(Table7[[#This Row],[Student_ID]],student_data[#All],6,0)</f>
        <v>4</v>
      </c>
      <c r="H645" s="1">
        <f>VLOOKUP(Table7[[#This Row],[Student_ID]],student_internships[],2,0)</f>
        <v>1</v>
      </c>
      <c r="I645" s="1">
        <f>VLOOKUP(Table7[[#This Row],[Student_ID]],Placements!A645:E1644,5,0)</f>
        <v>4.3</v>
      </c>
      <c r="J645" s="1" t="str">
        <f>IF(VLOOKUP(Table7[[#This Row],[Student_ID]],student_data[#All],5,0)&gt;8,"HIGH",IF(VLOOKUP(Table7[[#This Row],[Student_ID]],student_data[#All],5,0)&lt;6.5,"LOW","MEDIUM"))</f>
        <v>HIGH</v>
      </c>
    </row>
    <row r="646" spans="1:10" x14ac:dyDescent="0.2">
      <c r="A646" s="1" t="s">
        <v>655</v>
      </c>
      <c r="B646" s="1" t="str">
        <f>VLOOKUP(Table7[[#This Row],[Student_ID]],student_data[#All],2,0)</f>
        <v>Information Technology</v>
      </c>
      <c r="C646" s="1">
        <f>(VLOOKUP(Table7[[#This Row],[Student_ID]],student_data[],5,0)*5)+(VLOOKUP(Table7[[#This Row],[Student_ID]],student_data[],6,0)*3)+(VLOOKUP(Table7[[#This Row],[Student_ID]],student_skills[],6,0)*2)+(VLOOKUP(Table7[[#This Row],[Student_ID]],student_internships[],2,0)*5)</f>
        <v>61.45</v>
      </c>
      <c r="D646" s="1">
        <f>AVERAGE(VLOOKUP(Table7[[#This Row],[Student_ID]],student_skills[],3,0),VLOOKUP(Table7[[#This Row],[Student_ID]],student_skills[],4,0),VLOOKUP(Table7[[#This Row],[Student_ID]],student_skills[],5,0),VLOOKUP(Table7[[#This Row],[Student_ID]],student_skills[],6,0))</f>
        <v>5.25</v>
      </c>
      <c r="E646" s="1" t="str">
        <f>IF(VLOOKUP(Table7[[#This Row],[Student_ID]],student_internships[#All],2,0)&gt;1,"EXPERIENCED",IF(VLOOKUP(Table7[[#This Row],[Student_ID]],student_internships[#All],2,0)=1,"BEGINNER","NOT EXPERIENCED"))</f>
        <v>NOT EXPERIENCED</v>
      </c>
      <c r="F646" s="1">
        <f>VLOOKUP(Table7[[#This Row],[Student_ID]],student_data[],5,0)</f>
        <v>8.09</v>
      </c>
      <c r="G646" s="1">
        <f>VLOOKUP(Table7[[#This Row],[Student_ID]],student_data[#All],6,0)</f>
        <v>1</v>
      </c>
      <c r="H646" s="1">
        <f>VLOOKUP(Table7[[#This Row],[Student_ID]],student_internships[],2,0)</f>
        <v>0</v>
      </c>
      <c r="I646" s="1">
        <f>VLOOKUP(Table7[[#This Row],[Student_ID]],Placements!A646:E1645,5,0)</f>
        <v>0</v>
      </c>
      <c r="J646" s="1" t="str">
        <f>IF(VLOOKUP(Table7[[#This Row],[Student_ID]],student_data[#All],5,0)&gt;8,"HIGH",IF(VLOOKUP(Table7[[#This Row],[Student_ID]],student_data[#All],5,0)&lt;6.5,"LOW","MEDIUM"))</f>
        <v>HIGH</v>
      </c>
    </row>
    <row r="647" spans="1:10" x14ac:dyDescent="0.2">
      <c r="A647" s="1" t="s">
        <v>656</v>
      </c>
      <c r="B647" s="1" t="str">
        <f>VLOOKUP(Table7[[#This Row],[Student_ID]],student_data[#All],2,0)</f>
        <v>Mechanical</v>
      </c>
      <c r="C647" s="1">
        <f>(VLOOKUP(Table7[[#This Row],[Student_ID]],student_data[],5,0)*5)+(VLOOKUP(Table7[[#This Row],[Student_ID]],student_data[],6,0)*3)+(VLOOKUP(Table7[[#This Row],[Student_ID]],student_skills[],6,0)*2)+(VLOOKUP(Table7[[#This Row],[Student_ID]],student_internships[],2,0)*5)</f>
        <v>63.5</v>
      </c>
      <c r="D647" s="1">
        <f>AVERAGE(VLOOKUP(Table7[[#This Row],[Student_ID]],student_skills[],3,0),VLOOKUP(Table7[[#This Row],[Student_ID]],student_skills[],4,0),VLOOKUP(Table7[[#This Row],[Student_ID]],student_skills[],5,0),VLOOKUP(Table7[[#This Row],[Student_ID]],student_skills[],6,0))</f>
        <v>3.75</v>
      </c>
      <c r="E647" s="1" t="str">
        <f>IF(VLOOKUP(Table7[[#This Row],[Student_ID]],student_internships[#All],2,0)&gt;1,"EXPERIENCED",IF(VLOOKUP(Table7[[#This Row],[Student_ID]],student_internships[#All],2,0)=1,"BEGINNER","NOT EXPERIENCED"))</f>
        <v>BEGINNER</v>
      </c>
      <c r="F647" s="1">
        <f>VLOOKUP(Table7[[#This Row],[Student_ID]],student_data[],5,0)</f>
        <v>8.6999999999999993</v>
      </c>
      <c r="G647" s="1">
        <f>VLOOKUP(Table7[[#This Row],[Student_ID]],student_data[#All],6,0)</f>
        <v>3</v>
      </c>
      <c r="H647" s="1">
        <f>VLOOKUP(Table7[[#This Row],[Student_ID]],student_internships[],2,0)</f>
        <v>1</v>
      </c>
      <c r="I647" s="1">
        <f>VLOOKUP(Table7[[#This Row],[Student_ID]],Placements!A647:E1646,5,0)</f>
        <v>4.1100000000000003</v>
      </c>
      <c r="J647" s="1" t="str">
        <f>IF(VLOOKUP(Table7[[#This Row],[Student_ID]],student_data[#All],5,0)&gt;8,"HIGH",IF(VLOOKUP(Table7[[#This Row],[Student_ID]],student_data[#All],5,0)&lt;6.5,"LOW","MEDIUM"))</f>
        <v>HIGH</v>
      </c>
    </row>
    <row r="648" spans="1:10" x14ac:dyDescent="0.2">
      <c r="A648" s="1" t="s">
        <v>657</v>
      </c>
      <c r="B648" s="1" t="str">
        <f>VLOOKUP(Table7[[#This Row],[Student_ID]],student_data[#All],2,0)</f>
        <v>Information Technology</v>
      </c>
      <c r="C648" s="1">
        <f>(VLOOKUP(Table7[[#This Row],[Student_ID]],student_data[],5,0)*5)+(VLOOKUP(Table7[[#This Row],[Student_ID]],student_data[],6,0)*3)+(VLOOKUP(Table7[[#This Row],[Student_ID]],student_skills[],6,0)*2)+(VLOOKUP(Table7[[#This Row],[Student_ID]],student_internships[],2,0)*5)</f>
        <v>59.35</v>
      </c>
      <c r="D648" s="1">
        <f>AVERAGE(VLOOKUP(Table7[[#This Row],[Student_ID]],student_skills[],3,0),VLOOKUP(Table7[[#This Row],[Student_ID]],student_skills[],4,0),VLOOKUP(Table7[[#This Row],[Student_ID]],student_skills[],5,0),VLOOKUP(Table7[[#This Row],[Student_ID]],student_skills[],6,0))</f>
        <v>3.25</v>
      </c>
      <c r="E648" s="1" t="str">
        <f>IF(VLOOKUP(Table7[[#This Row],[Student_ID]],student_internships[#All],2,0)&gt;1,"EXPERIENCED",IF(VLOOKUP(Table7[[#This Row],[Student_ID]],student_internships[#All],2,0)=1,"BEGINNER","NOT EXPERIENCED"))</f>
        <v>NOT EXPERIENCED</v>
      </c>
      <c r="F648" s="1">
        <f>VLOOKUP(Table7[[#This Row],[Student_ID]],student_data[],5,0)</f>
        <v>6.07</v>
      </c>
      <c r="G648" s="1">
        <f>VLOOKUP(Table7[[#This Row],[Student_ID]],student_data[#All],6,0)</f>
        <v>5</v>
      </c>
      <c r="H648" s="1">
        <f>VLOOKUP(Table7[[#This Row],[Student_ID]],student_internships[],2,0)</f>
        <v>0</v>
      </c>
      <c r="I648" s="1">
        <f>VLOOKUP(Table7[[#This Row],[Student_ID]],Placements!A648:E1647,5,0)</f>
        <v>0</v>
      </c>
      <c r="J648" s="1" t="str">
        <f>IF(VLOOKUP(Table7[[#This Row],[Student_ID]],student_data[#All],5,0)&gt;8,"HIGH",IF(VLOOKUP(Table7[[#This Row],[Student_ID]],student_data[#All],5,0)&lt;6.5,"LOW","MEDIUM"))</f>
        <v>LOW</v>
      </c>
    </row>
    <row r="649" spans="1:10" x14ac:dyDescent="0.2">
      <c r="A649" s="1" t="s">
        <v>658</v>
      </c>
      <c r="B649" s="1" t="str">
        <f>VLOOKUP(Table7[[#This Row],[Student_ID]],student_data[#All],2,0)</f>
        <v>Electronics</v>
      </c>
      <c r="C649" s="1">
        <f>(VLOOKUP(Table7[[#This Row],[Student_ID]],student_data[],5,0)*5)+(VLOOKUP(Table7[[#This Row],[Student_ID]],student_data[],6,0)*3)+(VLOOKUP(Table7[[#This Row],[Student_ID]],student_skills[],6,0)*2)+(VLOOKUP(Table7[[#This Row],[Student_ID]],student_internships[],2,0)*5)</f>
        <v>75.599999999999994</v>
      </c>
      <c r="D649" s="1">
        <f>AVERAGE(VLOOKUP(Table7[[#This Row],[Student_ID]],student_skills[],3,0),VLOOKUP(Table7[[#This Row],[Student_ID]],student_skills[],4,0),VLOOKUP(Table7[[#This Row],[Student_ID]],student_skills[],5,0),VLOOKUP(Table7[[#This Row],[Student_ID]],student_skills[],6,0))</f>
        <v>7.75</v>
      </c>
      <c r="E649" s="1" t="str">
        <f>IF(VLOOKUP(Table7[[#This Row],[Student_ID]],student_internships[#All],2,0)&gt;1,"EXPERIENCED",IF(VLOOKUP(Table7[[#This Row],[Student_ID]],student_internships[#All],2,0)=1,"BEGINNER","NOT EXPERIENCED"))</f>
        <v>EXPERIENCED</v>
      </c>
      <c r="F649" s="1">
        <f>VLOOKUP(Table7[[#This Row],[Student_ID]],student_data[],5,0)</f>
        <v>8.32</v>
      </c>
      <c r="G649" s="1">
        <f>VLOOKUP(Table7[[#This Row],[Student_ID]],student_data[#All],6,0)</f>
        <v>2</v>
      </c>
      <c r="H649" s="1">
        <f>VLOOKUP(Table7[[#This Row],[Student_ID]],student_internships[],2,0)</f>
        <v>2</v>
      </c>
      <c r="I649" s="1">
        <f>VLOOKUP(Table7[[#This Row],[Student_ID]],Placements!A649:E1648,5,0)</f>
        <v>5.88</v>
      </c>
      <c r="J649" s="1" t="str">
        <f>IF(VLOOKUP(Table7[[#This Row],[Student_ID]],student_data[#All],5,0)&gt;8,"HIGH",IF(VLOOKUP(Table7[[#This Row],[Student_ID]],student_data[#All],5,0)&lt;6.5,"LOW","MEDIUM"))</f>
        <v>HIGH</v>
      </c>
    </row>
    <row r="650" spans="1:10" x14ac:dyDescent="0.2">
      <c r="A650" s="1" t="s">
        <v>659</v>
      </c>
      <c r="B650" s="1" t="str">
        <f>VLOOKUP(Table7[[#This Row],[Student_ID]],student_data[#All],2,0)</f>
        <v>Mechanical</v>
      </c>
      <c r="C650" s="1">
        <f>(VLOOKUP(Table7[[#This Row],[Student_ID]],student_data[],5,0)*5)+(VLOOKUP(Table7[[#This Row],[Student_ID]],student_data[],6,0)*3)+(VLOOKUP(Table7[[#This Row],[Student_ID]],student_skills[],6,0)*2)+(VLOOKUP(Table7[[#This Row],[Student_ID]],student_internships[],2,0)*5)</f>
        <v>56.45</v>
      </c>
      <c r="D650" s="1">
        <f>AVERAGE(VLOOKUP(Table7[[#This Row],[Student_ID]],student_skills[],3,0),VLOOKUP(Table7[[#This Row],[Student_ID]],student_skills[],4,0),VLOOKUP(Table7[[#This Row],[Student_ID]],student_skills[],5,0),VLOOKUP(Table7[[#This Row],[Student_ID]],student_skills[],6,0))</f>
        <v>5.5</v>
      </c>
      <c r="E650" s="1" t="str">
        <f>IF(VLOOKUP(Table7[[#This Row],[Student_ID]],student_internships[#All],2,0)&gt;1,"EXPERIENCED",IF(VLOOKUP(Table7[[#This Row],[Student_ID]],student_internships[#All],2,0)=1,"BEGINNER","NOT EXPERIENCED"))</f>
        <v>BEGINNER</v>
      </c>
      <c r="F650" s="1">
        <f>VLOOKUP(Table7[[#This Row],[Student_ID]],student_data[],5,0)</f>
        <v>7.49</v>
      </c>
      <c r="G650" s="1">
        <f>VLOOKUP(Table7[[#This Row],[Student_ID]],student_data[#All],6,0)</f>
        <v>2</v>
      </c>
      <c r="H650" s="1">
        <f>VLOOKUP(Table7[[#This Row],[Student_ID]],student_internships[],2,0)</f>
        <v>1</v>
      </c>
      <c r="I650" s="1">
        <f>VLOOKUP(Table7[[#This Row],[Student_ID]],Placements!A650:E1649,5,0)</f>
        <v>0</v>
      </c>
      <c r="J650" s="1" t="str">
        <f>IF(VLOOKUP(Table7[[#This Row],[Student_ID]],student_data[#All],5,0)&gt;8,"HIGH",IF(VLOOKUP(Table7[[#This Row],[Student_ID]],student_data[#All],5,0)&lt;6.5,"LOW","MEDIUM"))</f>
        <v>MEDIUM</v>
      </c>
    </row>
    <row r="651" spans="1:10" x14ac:dyDescent="0.2">
      <c r="A651" s="1" t="s">
        <v>660</v>
      </c>
      <c r="B651" s="1" t="str">
        <f>VLOOKUP(Table7[[#This Row],[Student_ID]],student_data[#All],2,0)</f>
        <v>Information Technology</v>
      </c>
      <c r="C651" s="1">
        <f>(VLOOKUP(Table7[[#This Row],[Student_ID]],student_data[],5,0)*5)+(VLOOKUP(Table7[[#This Row],[Student_ID]],student_data[],6,0)*3)+(VLOOKUP(Table7[[#This Row],[Student_ID]],student_skills[],6,0)*2)+(VLOOKUP(Table7[[#This Row],[Student_ID]],student_internships[],2,0)*5)</f>
        <v>71.550000000000011</v>
      </c>
      <c r="D651" s="1">
        <f>AVERAGE(VLOOKUP(Table7[[#This Row],[Student_ID]],student_skills[],3,0),VLOOKUP(Table7[[#This Row],[Student_ID]],student_skills[],4,0),VLOOKUP(Table7[[#This Row],[Student_ID]],student_skills[],5,0),VLOOKUP(Table7[[#This Row],[Student_ID]],student_skills[],6,0))</f>
        <v>6.5</v>
      </c>
      <c r="E651" s="1" t="str">
        <f>IF(VLOOKUP(Table7[[#This Row],[Student_ID]],student_internships[#All],2,0)&gt;1,"EXPERIENCED",IF(VLOOKUP(Table7[[#This Row],[Student_ID]],student_internships[#All],2,0)=1,"BEGINNER","NOT EXPERIENCED"))</f>
        <v>BEGINNER</v>
      </c>
      <c r="F651" s="1">
        <f>VLOOKUP(Table7[[#This Row],[Student_ID]],student_data[],5,0)</f>
        <v>8.7100000000000009</v>
      </c>
      <c r="G651" s="1">
        <f>VLOOKUP(Table7[[#This Row],[Student_ID]],student_data[#All],6,0)</f>
        <v>1</v>
      </c>
      <c r="H651" s="1">
        <f>VLOOKUP(Table7[[#This Row],[Student_ID]],student_internships[],2,0)</f>
        <v>1</v>
      </c>
      <c r="I651" s="1">
        <f>VLOOKUP(Table7[[#This Row],[Student_ID]],Placements!A651:E1650,5,0)</f>
        <v>4.33</v>
      </c>
      <c r="J651" s="1" t="str">
        <f>IF(VLOOKUP(Table7[[#This Row],[Student_ID]],student_data[#All],5,0)&gt;8,"HIGH",IF(VLOOKUP(Table7[[#This Row],[Student_ID]],student_data[#All],5,0)&lt;6.5,"LOW","MEDIUM"))</f>
        <v>HIGH</v>
      </c>
    </row>
    <row r="652" spans="1:10" x14ac:dyDescent="0.2">
      <c r="A652" s="1" t="s">
        <v>661</v>
      </c>
      <c r="B652" s="1" t="str">
        <f>VLOOKUP(Table7[[#This Row],[Student_ID]],student_data[#All],2,0)</f>
        <v>Computer Science</v>
      </c>
      <c r="C652" s="1">
        <f>(VLOOKUP(Table7[[#This Row],[Student_ID]],student_data[],5,0)*5)+(VLOOKUP(Table7[[#This Row],[Student_ID]],student_data[],6,0)*3)+(VLOOKUP(Table7[[#This Row],[Student_ID]],student_skills[],6,0)*2)+(VLOOKUP(Table7[[#This Row],[Student_ID]],student_internships[],2,0)*5)</f>
        <v>55.199999999999996</v>
      </c>
      <c r="D652" s="1">
        <f>AVERAGE(VLOOKUP(Table7[[#This Row],[Student_ID]],student_skills[],3,0),VLOOKUP(Table7[[#This Row],[Student_ID]],student_skills[],4,0),VLOOKUP(Table7[[#This Row],[Student_ID]],student_skills[],5,0),VLOOKUP(Table7[[#This Row],[Student_ID]],student_skills[],6,0))</f>
        <v>5.25</v>
      </c>
      <c r="E652" s="1" t="str">
        <f>IF(VLOOKUP(Table7[[#This Row],[Student_ID]],student_internships[#All],2,0)&gt;1,"EXPERIENCED",IF(VLOOKUP(Table7[[#This Row],[Student_ID]],student_internships[#All],2,0)=1,"BEGINNER","NOT EXPERIENCED"))</f>
        <v>EXPERIENCED</v>
      </c>
      <c r="F652" s="1">
        <f>VLOOKUP(Table7[[#This Row],[Student_ID]],student_data[],5,0)</f>
        <v>6.64</v>
      </c>
      <c r="G652" s="1">
        <f>VLOOKUP(Table7[[#This Row],[Student_ID]],student_data[#All],6,0)</f>
        <v>2</v>
      </c>
      <c r="H652" s="1">
        <f>VLOOKUP(Table7[[#This Row],[Student_ID]],student_internships[],2,0)</f>
        <v>2</v>
      </c>
      <c r="I652" s="1">
        <f>VLOOKUP(Table7[[#This Row],[Student_ID]],Placements!A652:E1651,5,0)</f>
        <v>5.03</v>
      </c>
      <c r="J652" s="1" t="str">
        <f>IF(VLOOKUP(Table7[[#This Row],[Student_ID]],student_data[#All],5,0)&gt;8,"HIGH",IF(VLOOKUP(Table7[[#This Row],[Student_ID]],student_data[#All],5,0)&lt;6.5,"LOW","MEDIUM"))</f>
        <v>MEDIUM</v>
      </c>
    </row>
    <row r="653" spans="1:10" x14ac:dyDescent="0.2">
      <c r="A653" s="1" t="s">
        <v>662</v>
      </c>
      <c r="B653" s="1" t="str">
        <f>VLOOKUP(Table7[[#This Row],[Student_ID]],student_data[#All],2,0)</f>
        <v>Electronics</v>
      </c>
      <c r="C653" s="1">
        <f>(VLOOKUP(Table7[[#This Row],[Student_ID]],student_data[],5,0)*5)+(VLOOKUP(Table7[[#This Row],[Student_ID]],student_data[],6,0)*3)+(VLOOKUP(Table7[[#This Row],[Student_ID]],student_skills[],6,0)*2)+(VLOOKUP(Table7[[#This Row],[Student_ID]],student_internships[],2,0)*5)</f>
        <v>68.25</v>
      </c>
      <c r="D653" s="1">
        <f>AVERAGE(VLOOKUP(Table7[[#This Row],[Student_ID]],student_skills[],3,0),VLOOKUP(Table7[[#This Row],[Student_ID]],student_skills[],4,0),VLOOKUP(Table7[[#This Row],[Student_ID]],student_skills[],5,0),VLOOKUP(Table7[[#This Row],[Student_ID]],student_skills[],6,0))</f>
        <v>5.75</v>
      </c>
      <c r="E653" s="1" t="str">
        <f>IF(VLOOKUP(Table7[[#This Row],[Student_ID]],student_internships[#All],2,0)&gt;1,"EXPERIENCED",IF(VLOOKUP(Table7[[#This Row],[Student_ID]],student_internships[#All],2,0)=1,"BEGINNER","NOT EXPERIENCED"))</f>
        <v>BEGINNER</v>
      </c>
      <c r="F653" s="1">
        <f>VLOOKUP(Table7[[#This Row],[Student_ID]],student_data[],5,0)</f>
        <v>9.4499999999999993</v>
      </c>
      <c r="G653" s="1">
        <f>VLOOKUP(Table7[[#This Row],[Student_ID]],student_data[#All],6,0)</f>
        <v>2</v>
      </c>
      <c r="H653" s="1">
        <f>VLOOKUP(Table7[[#This Row],[Student_ID]],student_internships[],2,0)</f>
        <v>1</v>
      </c>
      <c r="I653" s="1">
        <f>VLOOKUP(Table7[[#This Row],[Student_ID]],Placements!A653:E1652,5,0)</f>
        <v>4.1900000000000004</v>
      </c>
      <c r="J653" s="1" t="str">
        <f>IF(VLOOKUP(Table7[[#This Row],[Student_ID]],student_data[#All],5,0)&gt;8,"HIGH",IF(VLOOKUP(Table7[[#This Row],[Student_ID]],student_data[#All],5,0)&lt;6.5,"LOW","MEDIUM"))</f>
        <v>HIGH</v>
      </c>
    </row>
    <row r="654" spans="1:10" x14ac:dyDescent="0.2">
      <c r="A654" s="1" t="s">
        <v>663</v>
      </c>
      <c r="B654" s="1" t="str">
        <f>VLOOKUP(Table7[[#This Row],[Student_ID]],student_data[#All],2,0)</f>
        <v>Electronics</v>
      </c>
      <c r="C654" s="1">
        <f>(VLOOKUP(Table7[[#This Row],[Student_ID]],student_data[],5,0)*5)+(VLOOKUP(Table7[[#This Row],[Student_ID]],student_data[],6,0)*3)+(VLOOKUP(Table7[[#This Row],[Student_ID]],student_skills[],6,0)*2)+(VLOOKUP(Table7[[#This Row],[Student_ID]],student_internships[],2,0)*5)</f>
        <v>29.1</v>
      </c>
      <c r="D654" s="1">
        <f>AVERAGE(VLOOKUP(Table7[[#This Row],[Student_ID]],student_skills[],3,0),VLOOKUP(Table7[[#This Row],[Student_ID]],student_skills[],4,0),VLOOKUP(Table7[[#This Row],[Student_ID]],student_skills[],5,0),VLOOKUP(Table7[[#This Row],[Student_ID]],student_skills[],6,0))</f>
        <v>3</v>
      </c>
      <c r="E654" s="1" t="str">
        <f>IF(VLOOKUP(Table7[[#This Row],[Student_ID]],student_internships[#All],2,0)&gt;1,"EXPERIENCED",IF(VLOOKUP(Table7[[#This Row],[Student_ID]],student_internships[#All],2,0)=1,"BEGINNER","NOT EXPERIENCED"))</f>
        <v>NOT EXPERIENCED</v>
      </c>
      <c r="F654" s="1">
        <f>VLOOKUP(Table7[[#This Row],[Student_ID]],student_data[],5,0)</f>
        <v>5.42</v>
      </c>
      <c r="G654" s="1">
        <f>VLOOKUP(Table7[[#This Row],[Student_ID]],student_data[#All],6,0)</f>
        <v>0</v>
      </c>
      <c r="H654" s="1">
        <f>VLOOKUP(Table7[[#This Row],[Student_ID]],student_internships[],2,0)</f>
        <v>0</v>
      </c>
      <c r="I654" s="1">
        <f>VLOOKUP(Table7[[#This Row],[Student_ID]],Placements!A654:E1653,5,0)</f>
        <v>0</v>
      </c>
      <c r="J654" s="1" t="str">
        <f>IF(VLOOKUP(Table7[[#This Row],[Student_ID]],student_data[#All],5,0)&gt;8,"HIGH",IF(VLOOKUP(Table7[[#This Row],[Student_ID]],student_data[#All],5,0)&lt;6.5,"LOW","MEDIUM"))</f>
        <v>LOW</v>
      </c>
    </row>
    <row r="655" spans="1:10" x14ac:dyDescent="0.2">
      <c r="A655" s="1" t="s">
        <v>664</v>
      </c>
      <c r="B655" s="1" t="str">
        <f>VLOOKUP(Table7[[#This Row],[Student_ID]],student_data[#All],2,0)</f>
        <v>Electronics</v>
      </c>
      <c r="C655" s="1">
        <f>(VLOOKUP(Table7[[#This Row],[Student_ID]],student_data[],5,0)*5)+(VLOOKUP(Table7[[#This Row],[Student_ID]],student_data[],6,0)*3)+(VLOOKUP(Table7[[#This Row],[Student_ID]],student_skills[],6,0)*2)+(VLOOKUP(Table7[[#This Row],[Student_ID]],student_internships[],2,0)*5)</f>
        <v>65.199999999999989</v>
      </c>
      <c r="D655" s="1">
        <f>AVERAGE(VLOOKUP(Table7[[#This Row],[Student_ID]],student_skills[],3,0),VLOOKUP(Table7[[#This Row],[Student_ID]],student_skills[],4,0),VLOOKUP(Table7[[#This Row],[Student_ID]],student_skills[],5,0),VLOOKUP(Table7[[#This Row],[Student_ID]],student_skills[],6,0))</f>
        <v>5.5</v>
      </c>
      <c r="E655" s="1" t="str">
        <f>IF(VLOOKUP(Table7[[#This Row],[Student_ID]],student_internships[#All],2,0)&gt;1,"EXPERIENCED",IF(VLOOKUP(Table7[[#This Row],[Student_ID]],student_internships[#All],2,0)=1,"BEGINNER","NOT EXPERIENCED"))</f>
        <v>BEGINNER</v>
      </c>
      <c r="F655" s="1">
        <f>VLOOKUP(Table7[[#This Row],[Student_ID]],student_data[],5,0)</f>
        <v>9.0399999999999991</v>
      </c>
      <c r="G655" s="1">
        <f>VLOOKUP(Table7[[#This Row],[Student_ID]],student_data[#All],6,0)</f>
        <v>3</v>
      </c>
      <c r="H655" s="1">
        <f>VLOOKUP(Table7[[#This Row],[Student_ID]],student_internships[],2,0)</f>
        <v>1</v>
      </c>
      <c r="I655" s="1">
        <f>VLOOKUP(Table7[[#This Row],[Student_ID]],Placements!A655:E1654,5,0)</f>
        <v>5.43</v>
      </c>
      <c r="J655" s="1" t="str">
        <f>IF(VLOOKUP(Table7[[#This Row],[Student_ID]],student_data[#All],5,0)&gt;8,"HIGH",IF(VLOOKUP(Table7[[#This Row],[Student_ID]],student_data[#All],5,0)&lt;6.5,"LOW","MEDIUM"))</f>
        <v>HIGH</v>
      </c>
    </row>
    <row r="656" spans="1:10" x14ac:dyDescent="0.2">
      <c r="A656" s="1" t="s">
        <v>665</v>
      </c>
      <c r="B656" s="1" t="str">
        <f>VLOOKUP(Table7[[#This Row],[Student_ID]],student_data[#All],2,0)</f>
        <v>Mechanical</v>
      </c>
      <c r="C656" s="1">
        <f>(VLOOKUP(Table7[[#This Row],[Student_ID]],student_data[],5,0)*5)+(VLOOKUP(Table7[[#This Row],[Student_ID]],student_data[],6,0)*3)+(VLOOKUP(Table7[[#This Row],[Student_ID]],student_skills[],6,0)*2)+(VLOOKUP(Table7[[#This Row],[Student_ID]],student_internships[],2,0)*5)</f>
        <v>76.550000000000011</v>
      </c>
      <c r="D656" s="1">
        <f>AVERAGE(VLOOKUP(Table7[[#This Row],[Student_ID]],student_skills[],3,0),VLOOKUP(Table7[[#This Row],[Student_ID]],student_skills[],4,0),VLOOKUP(Table7[[#This Row],[Student_ID]],student_skills[],5,0),VLOOKUP(Table7[[#This Row],[Student_ID]],student_skills[],6,0))</f>
        <v>7.25</v>
      </c>
      <c r="E656" s="1" t="str">
        <f>IF(VLOOKUP(Table7[[#This Row],[Student_ID]],student_internships[#All],2,0)&gt;1,"EXPERIENCED",IF(VLOOKUP(Table7[[#This Row],[Student_ID]],student_internships[#All],2,0)=1,"BEGINNER","NOT EXPERIENCED"))</f>
        <v>BEGINNER</v>
      </c>
      <c r="F656" s="1">
        <f>VLOOKUP(Table7[[#This Row],[Student_ID]],student_data[],5,0)</f>
        <v>9.31</v>
      </c>
      <c r="G656" s="1">
        <f>VLOOKUP(Table7[[#This Row],[Student_ID]],student_data[#All],6,0)</f>
        <v>3</v>
      </c>
      <c r="H656" s="1">
        <f>VLOOKUP(Table7[[#This Row],[Student_ID]],student_internships[],2,0)</f>
        <v>1</v>
      </c>
      <c r="I656" s="1">
        <f>VLOOKUP(Table7[[#This Row],[Student_ID]],Placements!A656:E1655,5,0)</f>
        <v>4.32</v>
      </c>
      <c r="J656" s="1" t="str">
        <f>IF(VLOOKUP(Table7[[#This Row],[Student_ID]],student_data[#All],5,0)&gt;8,"HIGH",IF(VLOOKUP(Table7[[#This Row],[Student_ID]],student_data[#All],5,0)&lt;6.5,"LOW","MEDIUM"))</f>
        <v>HIGH</v>
      </c>
    </row>
    <row r="657" spans="1:10" x14ac:dyDescent="0.2">
      <c r="A657" s="1" t="s">
        <v>666</v>
      </c>
      <c r="B657" s="1" t="str">
        <f>VLOOKUP(Table7[[#This Row],[Student_ID]],student_data[#All],2,0)</f>
        <v>Information Technology</v>
      </c>
      <c r="C657" s="1">
        <f>(VLOOKUP(Table7[[#This Row],[Student_ID]],student_data[],5,0)*5)+(VLOOKUP(Table7[[#This Row],[Student_ID]],student_data[],6,0)*3)+(VLOOKUP(Table7[[#This Row],[Student_ID]],student_skills[],6,0)*2)+(VLOOKUP(Table7[[#This Row],[Student_ID]],student_internships[],2,0)*5)</f>
        <v>71.45</v>
      </c>
      <c r="D657" s="1">
        <f>AVERAGE(VLOOKUP(Table7[[#This Row],[Student_ID]],student_skills[],3,0),VLOOKUP(Table7[[#This Row],[Student_ID]],student_skills[],4,0),VLOOKUP(Table7[[#This Row],[Student_ID]],student_skills[],5,0),VLOOKUP(Table7[[#This Row],[Student_ID]],student_skills[],6,0))</f>
        <v>5.5</v>
      </c>
      <c r="E657" s="1" t="str">
        <f>IF(VLOOKUP(Table7[[#This Row],[Student_ID]],student_internships[#All],2,0)&gt;1,"EXPERIENCED",IF(VLOOKUP(Table7[[#This Row],[Student_ID]],student_internships[#All],2,0)=1,"BEGINNER","NOT EXPERIENCED"))</f>
        <v>EXPERIENCED</v>
      </c>
      <c r="F657" s="1">
        <f>VLOOKUP(Table7[[#This Row],[Student_ID]],student_data[],5,0)</f>
        <v>9.09</v>
      </c>
      <c r="G657" s="1">
        <f>VLOOKUP(Table7[[#This Row],[Student_ID]],student_data[#All],6,0)</f>
        <v>0</v>
      </c>
      <c r="H657" s="1">
        <f>VLOOKUP(Table7[[#This Row],[Student_ID]],student_internships[],2,0)</f>
        <v>2</v>
      </c>
      <c r="I657" s="1">
        <f>VLOOKUP(Table7[[#This Row],[Student_ID]],Placements!A657:E1656,5,0)</f>
        <v>4.1900000000000004</v>
      </c>
      <c r="J657" s="1" t="str">
        <f>IF(VLOOKUP(Table7[[#This Row],[Student_ID]],student_data[#All],5,0)&gt;8,"HIGH",IF(VLOOKUP(Table7[[#This Row],[Student_ID]],student_data[#All],5,0)&lt;6.5,"LOW","MEDIUM"))</f>
        <v>HIGH</v>
      </c>
    </row>
    <row r="658" spans="1:10" x14ac:dyDescent="0.2">
      <c r="A658" s="1" t="s">
        <v>667</v>
      </c>
      <c r="B658" s="1" t="str">
        <f>VLOOKUP(Table7[[#This Row],[Student_ID]],student_data[#All],2,0)</f>
        <v>Information Technology</v>
      </c>
      <c r="C658" s="1">
        <f>(VLOOKUP(Table7[[#This Row],[Student_ID]],student_data[],5,0)*5)+(VLOOKUP(Table7[[#This Row],[Student_ID]],student_data[],6,0)*3)+(VLOOKUP(Table7[[#This Row],[Student_ID]],student_skills[],6,0)*2)+(VLOOKUP(Table7[[#This Row],[Student_ID]],student_internships[],2,0)*5)</f>
        <v>50.8</v>
      </c>
      <c r="D658" s="1">
        <f>AVERAGE(VLOOKUP(Table7[[#This Row],[Student_ID]],student_skills[],3,0),VLOOKUP(Table7[[#This Row],[Student_ID]],student_skills[],4,0),VLOOKUP(Table7[[#This Row],[Student_ID]],student_skills[],5,0),VLOOKUP(Table7[[#This Row],[Student_ID]],student_skills[],6,0))</f>
        <v>4.5</v>
      </c>
      <c r="E658" s="1" t="str">
        <f>IF(VLOOKUP(Table7[[#This Row],[Student_ID]],student_internships[#All],2,0)&gt;1,"EXPERIENCED",IF(VLOOKUP(Table7[[#This Row],[Student_ID]],student_internships[#All],2,0)=1,"BEGINNER","NOT EXPERIENCED"))</f>
        <v>BEGINNER</v>
      </c>
      <c r="F658" s="1">
        <f>VLOOKUP(Table7[[#This Row],[Student_ID]],student_data[],5,0)</f>
        <v>7.56</v>
      </c>
      <c r="G658" s="1">
        <f>VLOOKUP(Table7[[#This Row],[Student_ID]],student_data[#All],6,0)</f>
        <v>0</v>
      </c>
      <c r="H658" s="1">
        <f>VLOOKUP(Table7[[#This Row],[Student_ID]],student_internships[],2,0)</f>
        <v>1</v>
      </c>
      <c r="I658" s="1">
        <f>VLOOKUP(Table7[[#This Row],[Student_ID]],Placements!A658:E1657,5,0)</f>
        <v>4.3</v>
      </c>
      <c r="J658" s="1" t="str">
        <f>IF(VLOOKUP(Table7[[#This Row],[Student_ID]],student_data[#All],5,0)&gt;8,"HIGH",IF(VLOOKUP(Table7[[#This Row],[Student_ID]],student_data[#All],5,0)&lt;6.5,"LOW","MEDIUM"))</f>
        <v>MEDIUM</v>
      </c>
    </row>
    <row r="659" spans="1:10" x14ac:dyDescent="0.2">
      <c r="A659" s="1" t="s">
        <v>668</v>
      </c>
      <c r="B659" s="1" t="str">
        <f>VLOOKUP(Table7[[#This Row],[Student_ID]],student_data[#All],2,0)</f>
        <v>Computer Science</v>
      </c>
      <c r="C659" s="1">
        <f>(VLOOKUP(Table7[[#This Row],[Student_ID]],student_data[],5,0)*5)+(VLOOKUP(Table7[[#This Row],[Student_ID]],student_data[],6,0)*3)+(VLOOKUP(Table7[[#This Row],[Student_ID]],student_skills[],6,0)*2)+(VLOOKUP(Table7[[#This Row],[Student_ID]],student_internships[],2,0)*5)</f>
        <v>45.95</v>
      </c>
      <c r="D659" s="1">
        <f>AVERAGE(VLOOKUP(Table7[[#This Row],[Student_ID]],student_skills[],3,0),VLOOKUP(Table7[[#This Row],[Student_ID]],student_skills[],4,0),VLOOKUP(Table7[[#This Row],[Student_ID]],student_skills[],5,0),VLOOKUP(Table7[[#This Row],[Student_ID]],student_skills[],6,0))</f>
        <v>3.5</v>
      </c>
      <c r="E659" s="1" t="str">
        <f>IF(VLOOKUP(Table7[[#This Row],[Student_ID]],student_internships[#All],2,0)&gt;1,"EXPERIENCED",IF(VLOOKUP(Table7[[#This Row],[Student_ID]],student_internships[#All],2,0)=1,"BEGINNER","NOT EXPERIENCED"))</f>
        <v>NOT EXPERIENCED</v>
      </c>
      <c r="F659" s="1">
        <f>VLOOKUP(Table7[[#This Row],[Student_ID]],student_data[],5,0)</f>
        <v>7.19</v>
      </c>
      <c r="G659" s="1">
        <f>VLOOKUP(Table7[[#This Row],[Student_ID]],student_data[#All],6,0)</f>
        <v>2</v>
      </c>
      <c r="H659" s="1">
        <f>VLOOKUP(Table7[[#This Row],[Student_ID]],student_internships[],2,0)</f>
        <v>0</v>
      </c>
      <c r="I659" s="1">
        <f>VLOOKUP(Table7[[#This Row],[Student_ID]],Placements!A659:E1658,5,0)</f>
        <v>0</v>
      </c>
      <c r="J659" s="1" t="str">
        <f>IF(VLOOKUP(Table7[[#This Row],[Student_ID]],student_data[#All],5,0)&gt;8,"HIGH",IF(VLOOKUP(Table7[[#This Row],[Student_ID]],student_data[#All],5,0)&lt;6.5,"LOW","MEDIUM"))</f>
        <v>MEDIUM</v>
      </c>
    </row>
    <row r="660" spans="1:10" x14ac:dyDescent="0.2">
      <c r="A660" s="1" t="s">
        <v>669</v>
      </c>
      <c r="B660" s="1" t="str">
        <f>VLOOKUP(Table7[[#This Row],[Student_ID]],student_data[#All],2,0)</f>
        <v>Computer Science</v>
      </c>
      <c r="C660" s="1">
        <f>(VLOOKUP(Table7[[#This Row],[Student_ID]],student_data[],5,0)*5)+(VLOOKUP(Table7[[#This Row],[Student_ID]],student_data[],6,0)*3)+(VLOOKUP(Table7[[#This Row],[Student_ID]],student_skills[],6,0)*2)+(VLOOKUP(Table7[[#This Row],[Student_ID]],student_internships[],2,0)*5)</f>
        <v>77.900000000000006</v>
      </c>
      <c r="D660" s="1">
        <f>AVERAGE(VLOOKUP(Table7[[#This Row],[Student_ID]],student_skills[],3,0),VLOOKUP(Table7[[#This Row],[Student_ID]],student_skills[],4,0),VLOOKUP(Table7[[#This Row],[Student_ID]],student_skills[],5,0),VLOOKUP(Table7[[#This Row],[Student_ID]],student_skills[],6,0))</f>
        <v>6</v>
      </c>
      <c r="E660" s="1" t="str">
        <f>IF(VLOOKUP(Table7[[#This Row],[Student_ID]],student_internships[#All],2,0)&gt;1,"EXPERIENCED",IF(VLOOKUP(Table7[[#This Row],[Student_ID]],student_internships[#All],2,0)=1,"BEGINNER","NOT EXPERIENCED"))</f>
        <v>NOT EXPERIENCED</v>
      </c>
      <c r="F660" s="1">
        <f>VLOOKUP(Table7[[#This Row],[Student_ID]],student_data[],5,0)</f>
        <v>9.98</v>
      </c>
      <c r="G660" s="1">
        <f>VLOOKUP(Table7[[#This Row],[Student_ID]],student_data[#All],6,0)</f>
        <v>4</v>
      </c>
      <c r="H660" s="1">
        <f>VLOOKUP(Table7[[#This Row],[Student_ID]],student_internships[],2,0)</f>
        <v>0</v>
      </c>
      <c r="I660" s="1">
        <f>VLOOKUP(Table7[[#This Row],[Student_ID]],Placements!A660:E1659,5,0)</f>
        <v>5.19</v>
      </c>
      <c r="J660" s="1" t="str">
        <f>IF(VLOOKUP(Table7[[#This Row],[Student_ID]],student_data[#All],5,0)&gt;8,"HIGH",IF(VLOOKUP(Table7[[#This Row],[Student_ID]],student_data[#All],5,0)&lt;6.5,"LOW","MEDIUM"))</f>
        <v>HIGH</v>
      </c>
    </row>
    <row r="661" spans="1:10" x14ac:dyDescent="0.2">
      <c r="A661" s="1" t="s">
        <v>670</v>
      </c>
      <c r="B661" s="1" t="str">
        <f>VLOOKUP(Table7[[#This Row],[Student_ID]],student_data[#All],2,0)</f>
        <v>Electronics</v>
      </c>
      <c r="C661" s="1">
        <f>(VLOOKUP(Table7[[#This Row],[Student_ID]],student_data[],5,0)*5)+(VLOOKUP(Table7[[#This Row],[Student_ID]],student_data[],6,0)*3)+(VLOOKUP(Table7[[#This Row],[Student_ID]],student_skills[],6,0)*2)+(VLOOKUP(Table7[[#This Row],[Student_ID]],student_internships[],2,0)*5)</f>
        <v>66.75</v>
      </c>
      <c r="D661" s="1">
        <f>AVERAGE(VLOOKUP(Table7[[#This Row],[Student_ID]],student_skills[],3,0),VLOOKUP(Table7[[#This Row],[Student_ID]],student_skills[],4,0),VLOOKUP(Table7[[#This Row],[Student_ID]],student_skills[],5,0),VLOOKUP(Table7[[#This Row],[Student_ID]],student_skills[],6,0))</f>
        <v>7.25</v>
      </c>
      <c r="E661" s="1" t="str">
        <f>IF(VLOOKUP(Table7[[#This Row],[Student_ID]],student_internships[#All],2,0)&gt;1,"EXPERIENCED",IF(VLOOKUP(Table7[[#This Row],[Student_ID]],student_internships[#All],2,0)=1,"BEGINNER","NOT EXPERIENCED"))</f>
        <v>BEGINNER</v>
      </c>
      <c r="F661" s="1">
        <f>VLOOKUP(Table7[[#This Row],[Student_ID]],student_data[],5,0)</f>
        <v>6.15</v>
      </c>
      <c r="G661" s="1">
        <f>VLOOKUP(Table7[[#This Row],[Student_ID]],student_data[#All],6,0)</f>
        <v>5</v>
      </c>
      <c r="H661" s="1">
        <f>VLOOKUP(Table7[[#This Row],[Student_ID]],student_internships[],2,0)</f>
        <v>1</v>
      </c>
      <c r="I661" s="1">
        <f>VLOOKUP(Table7[[#This Row],[Student_ID]],Placements!A661:E1660,5,0)</f>
        <v>0</v>
      </c>
      <c r="J661" s="1" t="str">
        <f>IF(VLOOKUP(Table7[[#This Row],[Student_ID]],student_data[#All],5,0)&gt;8,"HIGH",IF(VLOOKUP(Table7[[#This Row],[Student_ID]],student_data[#All],5,0)&lt;6.5,"LOW","MEDIUM"))</f>
        <v>LOW</v>
      </c>
    </row>
    <row r="662" spans="1:10" x14ac:dyDescent="0.2">
      <c r="A662" s="1" t="s">
        <v>671</v>
      </c>
      <c r="B662" s="1" t="str">
        <f>VLOOKUP(Table7[[#This Row],[Student_ID]],student_data[#All],2,0)</f>
        <v>Computer Science</v>
      </c>
      <c r="C662" s="1">
        <f>(VLOOKUP(Table7[[#This Row],[Student_ID]],student_data[],5,0)*5)+(VLOOKUP(Table7[[#This Row],[Student_ID]],student_data[],6,0)*3)+(VLOOKUP(Table7[[#This Row],[Student_ID]],student_skills[],6,0)*2)+(VLOOKUP(Table7[[#This Row],[Student_ID]],student_internships[],2,0)*5)</f>
        <v>78.650000000000006</v>
      </c>
      <c r="D662" s="1">
        <f>AVERAGE(VLOOKUP(Table7[[#This Row],[Student_ID]],student_skills[],3,0),VLOOKUP(Table7[[#This Row],[Student_ID]],student_skills[],4,0),VLOOKUP(Table7[[#This Row],[Student_ID]],student_skills[],5,0),VLOOKUP(Table7[[#This Row],[Student_ID]],student_skills[],6,0))</f>
        <v>7.5</v>
      </c>
      <c r="E662" s="1" t="str">
        <f>IF(VLOOKUP(Table7[[#This Row],[Student_ID]],student_internships[#All],2,0)&gt;1,"EXPERIENCED",IF(VLOOKUP(Table7[[#This Row],[Student_ID]],student_internships[#All],2,0)=1,"BEGINNER","NOT EXPERIENCED"))</f>
        <v>BEGINNER</v>
      </c>
      <c r="F662" s="1">
        <f>VLOOKUP(Table7[[#This Row],[Student_ID]],student_data[],5,0)</f>
        <v>7.73</v>
      </c>
      <c r="G662" s="1">
        <f>VLOOKUP(Table7[[#This Row],[Student_ID]],student_data[#All],6,0)</f>
        <v>5</v>
      </c>
      <c r="H662" s="1">
        <f>VLOOKUP(Table7[[#This Row],[Student_ID]],student_internships[],2,0)</f>
        <v>1</v>
      </c>
      <c r="I662" s="1">
        <f>VLOOKUP(Table7[[#This Row],[Student_ID]],Placements!A662:E1661,5,0)</f>
        <v>5.13</v>
      </c>
      <c r="J662" s="1" t="str">
        <f>IF(VLOOKUP(Table7[[#This Row],[Student_ID]],student_data[#All],5,0)&gt;8,"HIGH",IF(VLOOKUP(Table7[[#This Row],[Student_ID]],student_data[#All],5,0)&lt;6.5,"LOW","MEDIUM"))</f>
        <v>MEDIUM</v>
      </c>
    </row>
    <row r="663" spans="1:10" x14ac:dyDescent="0.2">
      <c r="A663" s="1" t="s">
        <v>672</v>
      </c>
      <c r="B663" s="1" t="str">
        <f>VLOOKUP(Table7[[#This Row],[Student_ID]],student_data[#All],2,0)</f>
        <v>Mechanical</v>
      </c>
      <c r="C663" s="1">
        <f>(VLOOKUP(Table7[[#This Row],[Student_ID]],student_data[],5,0)*5)+(VLOOKUP(Table7[[#This Row],[Student_ID]],student_data[],6,0)*3)+(VLOOKUP(Table7[[#This Row],[Student_ID]],student_skills[],6,0)*2)+(VLOOKUP(Table7[[#This Row],[Student_ID]],student_internships[],2,0)*5)</f>
        <v>60.75</v>
      </c>
      <c r="D663" s="1">
        <f>AVERAGE(VLOOKUP(Table7[[#This Row],[Student_ID]],student_skills[],3,0),VLOOKUP(Table7[[#This Row],[Student_ID]],student_skills[],4,0),VLOOKUP(Table7[[#This Row],[Student_ID]],student_skills[],5,0),VLOOKUP(Table7[[#This Row],[Student_ID]],student_skills[],6,0))</f>
        <v>5</v>
      </c>
      <c r="E663" s="1" t="str">
        <f>IF(VLOOKUP(Table7[[#This Row],[Student_ID]],student_internships[#All],2,0)&gt;1,"EXPERIENCED",IF(VLOOKUP(Table7[[#This Row],[Student_ID]],student_internships[#All],2,0)=1,"BEGINNER","NOT EXPERIENCED"))</f>
        <v>BEGINNER</v>
      </c>
      <c r="F663" s="1">
        <f>VLOOKUP(Table7[[#This Row],[Student_ID]],student_data[],5,0)</f>
        <v>8.35</v>
      </c>
      <c r="G663" s="1">
        <f>VLOOKUP(Table7[[#This Row],[Student_ID]],student_data[#All],6,0)</f>
        <v>2</v>
      </c>
      <c r="H663" s="1">
        <f>VLOOKUP(Table7[[#This Row],[Student_ID]],student_internships[],2,0)</f>
        <v>1</v>
      </c>
      <c r="I663" s="1">
        <f>VLOOKUP(Table7[[#This Row],[Student_ID]],Placements!A663:E1662,5,0)</f>
        <v>0</v>
      </c>
      <c r="J663" s="1" t="str">
        <f>IF(VLOOKUP(Table7[[#This Row],[Student_ID]],student_data[#All],5,0)&gt;8,"HIGH",IF(VLOOKUP(Table7[[#This Row],[Student_ID]],student_data[#All],5,0)&lt;6.5,"LOW","MEDIUM"))</f>
        <v>HIGH</v>
      </c>
    </row>
    <row r="664" spans="1:10" x14ac:dyDescent="0.2">
      <c r="A664" s="1" t="s">
        <v>673</v>
      </c>
      <c r="B664" s="1" t="str">
        <f>VLOOKUP(Table7[[#This Row],[Student_ID]],student_data[#All],2,0)</f>
        <v>Information Technology</v>
      </c>
      <c r="C664" s="1">
        <f>(VLOOKUP(Table7[[#This Row],[Student_ID]],student_data[],5,0)*5)+(VLOOKUP(Table7[[#This Row],[Student_ID]],student_data[],6,0)*3)+(VLOOKUP(Table7[[#This Row],[Student_ID]],student_skills[],6,0)*2)+(VLOOKUP(Table7[[#This Row],[Student_ID]],student_internships[],2,0)*5)</f>
        <v>68.5</v>
      </c>
      <c r="D664" s="1">
        <f>AVERAGE(VLOOKUP(Table7[[#This Row],[Student_ID]],student_skills[],3,0),VLOOKUP(Table7[[#This Row],[Student_ID]],student_skills[],4,0),VLOOKUP(Table7[[#This Row],[Student_ID]],student_skills[],5,0),VLOOKUP(Table7[[#This Row],[Student_ID]],student_skills[],6,0))</f>
        <v>6.5</v>
      </c>
      <c r="E664" s="1" t="str">
        <f>IF(VLOOKUP(Table7[[#This Row],[Student_ID]],student_internships[#All],2,0)&gt;1,"EXPERIENCED",IF(VLOOKUP(Table7[[#This Row],[Student_ID]],student_internships[#All],2,0)=1,"BEGINNER","NOT EXPERIENCED"))</f>
        <v>BEGINNER</v>
      </c>
      <c r="F664" s="1">
        <f>VLOOKUP(Table7[[#This Row],[Student_ID]],student_data[],5,0)</f>
        <v>8.5</v>
      </c>
      <c r="G664" s="1">
        <f>VLOOKUP(Table7[[#This Row],[Student_ID]],student_data[#All],6,0)</f>
        <v>5</v>
      </c>
      <c r="H664" s="1">
        <f>VLOOKUP(Table7[[#This Row],[Student_ID]],student_internships[],2,0)</f>
        <v>1</v>
      </c>
      <c r="I664" s="1">
        <f>VLOOKUP(Table7[[#This Row],[Student_ID]],Placements!A664:E1663,5,0)</f>
        <v>4.5</v>
      </c>
      <c r="J664" s="1" t="str">
        <f>IF(VLOOKUP(Table7[[#This Row],[Student_ID]],student_data[#All],5,0)&gt;8,"HIGH",IF(VLOOKUP(Table7[[#This Row],[Student_ID]],student_data[#All],5,0)&lt;6.5,"LOW","MEDIUM"))</f>
        <v>HIGH</v>
      </c>
    </row>
    <row r="665" spans="1:10" x14ac:dyDescent="0.2">
      <c r="A665" s="1" t="s">
        <v>674</v>
      </c>
      <c r="B665" s="1" t="str">
        <f>VLOOKUP(Table7[[#This Row],[Student_ID]],student_data[#All],2,0)</f>
        <v>Electronics</v>
      </c>
      <c r="C665" s="1">
        <f>(VLOOKUP(Table7[[#This Row],[Student_ID]],student_data[],5,0)*5)+(VLOOKUP(Table7[[#This Row],[Student_ID]],student_data[],6,0)*3)+(VLOOKUP(Table7[[#This Row],[Student_ID]],student_skills[],6,0)*2)+(VLOOKUP(Table7[[#This Row],[Student_ID]],student_internships[],2,0)*5)</f>
        <v>49.099999999999994</v>
      </c>
      <c r="D665" s="1">
        <f>AVERAGE(VLOOKUP(Table7[[#This Row],[Student_ID]],student_skills[],3,0),VLOOKUP(Table7[[#This Row],[Student_ID]],student_skills[],4,0),VLOOKUP(Table7[[#This Row],[Student_ID]],student_skills[],5,0),VLOOKUP(Table7[[#This Row],[Student_ID]],student_skills[],6,0))</f>
        <v>5</v>
      </c>
      <c r="E665" s="1" t="str">
        <f>IF(VLOOKUP(Table7[[#This Row],[Student_ID]],student_internships[#All],2,0)&gt;1,"EXPERIENCED",IF(VLOOKUP(Table7[[#This Row],[Student_ID]],student_internships[#All],2,0)=1,"BEGINNER","NOT EXPERIENCED"))</f>
        <v>EXPERIENCED</v>
      </c>
      <c r="F665" s="1">
        <f>VLOOKUP(Table7[[#This Row],[Student_ID]],student_data[],5,0)</f>
        <v>6.02</v>
      </c>
      <c r="G665" s="1">
        <f>VLOOKUP(Table7[[#This Row],[Student_ID]],student_data[#All],6,0)</f>
        <v>0</v>
      </c>
      <c r="H665" s="1">
        <f>VLOOKUP(Table7[[#This Row],[Student_ID]],student_internships[],2,0)</f>
        <v>3</v>
      </c>
      <c r="I665" s="1">
        <f>VLOOKUP(Table7[[#This Row],[Student_ID]],Placements!A665:E1664,5,0)</f>
        <v>4.32</v>
      </c>
      <c r="J665" s="1" t="str">
        <f>IF(VLOOKUP(Table7[[#This Row],[Student_ID]],student_data[#All],5,0)&gt;8,"HIGH",IF(VLOOKUP(Table7[[#This Row],[Student_ID]],student_data[#All],5,0)&lt;6.5,"LOW","MEDIUM"))</f>
        <v>LOW</v>
      </c>
    </row>
    <row r="666" spans="1:10" x14ac:dyDescent="0.2">
      <c r="A666" s="1" t="s">
        <v>675</v>
      </c>
      <c r="B666" s="1" t="str">
        <f>VLOOKUP(Table7[[#This Row],[Student_ID]],student_data[#All],2,0)</f>
        <v>Computer Science</v>
      </c>
      <c r="C666" s="1">
        <f>(VLOOKUP(Table7[[#This Row],[Student_ID]],student_data[],5,0)*5)+(VLOOKUP(Table7[[#This Row],[Student_ID]],student_data[],6,0)*3)+(VLOOKUP(Table7[[#This Row],[Student_ID]],student_skills[],6,0)*2)+(VLOOKUP(Table7[[#This Row],[Student_ID]],student_internships[],2,0)*5)</f>
        <v>73.349999999999994</v>
      </c>
      <c r="D666" s="1">
        <f>AVERAGE(VLOOKUP(Table7[[#This Row],[Student_ID]],student_skills[],3,0),VLOOKUP(Table7[[#This Row],[Student_ID]],student_skills[],4,0),VLOOKUP(Table7[[#This Row],[Student_ID]],student_skills[],5,0),VLOOKUP(Table7[[#This Row],[Student_ID]],student_skills[],6,0))</f>
        <v>5.75</v>
      </c>
      <c r="E666" s="1" t="str">
        <f>IF(VLOOKUP(Table7[[#This Row],[Student_ID]],student_internships[#All],2,0)&gt;1,"EXPERIENCED",IF(VLOOKUP(Table7[[#This Row],[Student_ID]],student_internships[#All],2,0)=1,"BEGINNER","NOT EXPERIENCED"))</f>
        <v>BEGINNER</v>
      </c>
      <c r="F666" s="1">
        <f>VLOOKUP(Table7[[#This Row],[Student_ID]],student_data[],5,0)</f>
        <v>8.27</v>
      </c>
      <c r="G666" s="1">
        <f>VLOOKUP(Table7[[#This Row],[Student_ID]],student_data[#All],6,0)</f>
        <v>3</v>
      </c>
      <c r="H666" s="1">
        <f>VLOOKUP(Table7[[#This Row],[Student_ID]],student_internships[],2,0)</f>
        <v>1</v>
      </c>
      <c r="I666" s="1">
        <f>VLOOKUP(Table7[[#This Row],[Student_ID]],Placements!A666:E1665,5,0)</f>
        <v>0</v>
      </c>
      <c r="J666" s="1" t="str">
        <f>IF(VLOOKUP(Table7[[#This Row],[Student_ID]],student_data[#All],5,0)&gt;8,"HIGH",IF(VLOOKUP(Table7[[#This Row],[Student_ID]],student_data[#All],5,0)&lt;6.5,"LOW","MEDIUM"))</f>
        <v>HIGH</v>
      </c>
    </row>
    <row r="667" spans="1:10" x14ac:dyDescent="0.2">
      <c r="A667" s="1" t="s">
        <v>676</v>
      </c>
      <c r="B667" s="1" t="str">
        <f>VLOOKUP(Table7[[#This Row],[Student_ID]],student_data[#All],2,0)</f>
        <v>Mechanical</v>
      </c>
      <c r="C667" s="1">
        <f>(VLOOKUP(Table7[[#This Row],[Student_ID]],student_data[],5,0)*5)+(VLOOKUP(Table7[[#This Row],[Student_ID]],student_data[],6,0)*3)+(VLOOKUP(Table7[[#This Row],[Student_ID]],student_skills[],6,0)*2)+(VLOOKUP(Table7[[#This Row],[Student_ID]],student_internships[],2,0)*5)</f>
        <v>62.45</v>
      </c>
      <c r="D667" s="1">
        <f>AVERAGE(VLOOKUP(Table7[[#This Row],[Student_ID]],student_skills[],3,0),VLOOKUP(Table7[[#This Row],[Student_ID]],student_skills[],4,0),VLOOKUP(Table7[[#This Row],[Student_ID]],student_skills[],5,0),VLOOKUP(Table7[[#This Row],[Student_ID]],student_skills[],6,0))</f>
        <v>3.75</v>
      </c>
      <c r="E667" s="1" t="str">
        <f>IF(VLOOKUP(Table7[[#This Row],[Student_ID]],student_internships[#All],2,0)&gt;1,"EXPERIENCED",IF(VLOOKUP(Table7[[#This Row],[Student_ID]],student_internships[#All],2,0)=1,"BEGINNER","NOT EXPERIENCED"))</f>
        <v>NOT EXPERIENCED</v>
      </c>
      <c r="F667" s="1">
        <f>VLOOKUP(Table7[[#This Row],[Student_ID]],student_data[],5,0)</f>
        <v>9.09</v>
      </c>
      <c r="G667" s="1">
        <f>VLOOKUP(Table7[[#This Row],[Student_ID]],student_data[#All],6,0)</f>
        <v>5</v>
      </c>
      <c r="H667" s="1">
        <f>VLOOKUP(Table7[[#This Row],[Student_ID]],student_internships[],2,0)</f>
        <v>0</v>
      </c>
      <c r="I667" s="1">
        <f>VLOOKUP(Table7[[#This Row],[Student_ID]],Placements!A667:E1666,5,0)</f>
        <v>4.5599999999999996</v>
      </c>
      <c r="J667" s="1" t="str">
        <f>IF(VLOOKUP(Table7[[#This Row],[Student_ID]],student_data[#All],5,0)&gt;8,"HIGH",IF(VLOOKUP(Table7[[#This Row],[Student_ID]],student_data[#All],5,0)&lt;6.5,"LOW","MEDIUM"))</f>
        <v>HIGH</v>
      </c>
    </row>
    <row r="668" spans="1:10" x14ac:dyDescent="0.2">
      <c r="A668" s="1" t="s">
        <v>677</v>
      </c>
      <c r="B668" s="1" t="str">
        <f>VLOOKUP(Table7[[#This Row],[Student_ID]],student_data[#All],2,0)</f>
        <v>Mechanical</v>
      </c>
      <c r="C668" s="1">
        <f>(VLOOKUP(Table7[[#This Row],[Student_ID]],student_data[],5,0)*5)+(VLOOKUP(Table7[[#This Row],[Student_ID]],student_data[],6,0)*3)+(VLOOKUP(Table7[[#This Row],[Student_ID]],student_skills[],6,0)*2)+(VLOOKUP(Table7[[#This Row],[Student_ID]],student_internships[],2,0)*5)</f>
        <v>46.25</v>
      </c>
      <c r="D668" s="1">
        <f>AVERAGE(VLOOKUP(Table7[[#This Row],[Student_ID]],student_skills[],3,0),VLOOKUP(Table7[[#This Row],[Student_ID]],student_skills[],4,0),VLOOKUP(Table7[[#This Row],[Student_ID]],student_skills[],5,0),VLOOKUP(Table7[[#This Row],[Student_ID]],student_skills[],6,0))</f>
        <v>6.75</v>
      </c>
      <c r="E668" s="1" t="str">
        <f>IF(VLOOKUP(Table7[[#This Row],[Student_ID]],student_internships[#All],2,0)&gt;1,"EXPERIENCED",IF(VLOOKUP(Table7[[#This Row],[Student_ID]],student_internships[#All],2,0)=1,"BEGINNER","NOT EXPERIENCED"))</f>
        <v>NOT EXPERIENCED</v>
      </c>
      <c r="F668" s="1">
        <f>VLOOKUP(Table7[[#This Row],[Student_ID]],student_data[],5,0)</f>
        <v>5.25</v>
      </c>
      <c r="G668" s="1">
        <f>VLOOKUP(Table7[[#This Row],[Student_ID]],student_data[#All],6,0)</f>
        <v>2</v>
      </c>
      <c r="H668" s="1">
        <f>VLOOKUP(Table7[[#This Row],[Student_ID]],student_internships[],2,0)</f>
        <v>0</v>
      </c>
      <c r="I668" s="1">
        <f>VLOOKUP(Table7[[#This Row],[Student_ID]],Placements!A668:E1667,5,0)</f>
        <v>0</v>
      </c>
      <c r="J668" s="1" t="str">
        <f>IF(VLOOKUP(Table7[[#This Row],[Student_ID]],student_data[#All],5,0)&gt;8,"HIGH",IF(VLOOKUP(Table7[[#This Row],[Student_ID]],student_data[#All],5,0)&lt;6.5,"LOW","MEDIUM"))</f>
        <v>LOW</v>
      </c>
    </row>
    <row r="669" spans="1:10" x14ac:dyDescent="0.2">
      <c r="A669" s="1" t="s">
        <v>678</v>
      </c>
      <c r="B669" s="1" t="str">
        <f>VLOOKUP(Table7[[#This Row],[Student_ID]],student_data[#All],2,0)</f>
        <v>Computer Science</v>
      </c>
      <c r="C669" s="1">
        <f>(VLOOKUP(Table7[[#This Row],[Student_ID]],student_data[],5,0)*5)+(VLOOKUP(Table7[[#This Row],[Student_ID]],student_data[],6,0)*3)+(VLOOKUP(Table7[[#This Row],[Student_ID]],student_skills[],6,0)*2)+(VLOOKUP(Table7[[#This Row],[Student_ID]],student_internships[],2,0)*5)</f>
        <v>69.800000000000011</v>
      </c>
      <c r="D669" s="1">
        <f>AVERAGE(VLOOKUP(Table7[[#This Row],[Student_ID]],student_skills[],3,0),VLOOKUP(Table7[[#This Row],[Student_ID]],student_skills[],4,0),VLOOKUP(Table7[[#This Row],[Student_ID]],student_skills[],5,0),VLOOKUP(Table7[[#This Row],[Student_ID]],student_skills[],6,0))</f>
        <v>6.25</v>
      </c>
      <c r="E669" s="1" t="str">
        <f>IF(VLOOKUP(Table7[[#This Row],[Student_ID]],student_internships[#All],2,0)&gt;1,"EXPERIENCED",IF(VLOOKUP(Table7[[#This Row],[Student_ID]],student_internships[#All],2,0)=1,"BEGINNER","NOT EXPERIENCED"))</f>
        <v>NOT EXPERIENCED</v>
      </c>
      <c r="F669" s="1">
        <f>VLOOKUP(Table7[[#This Row],[Student_ID]],student_data[],5,0)</f>
        <v>9.56</v>
      </c>
      <c r="G669" s="1">
        <f>VLOOKUP(Table7[[#This Row],[Student_ID]],student_data[#All],6,0)</f>
        <v>4</v>
      </c>
      <c r="H669" s="1">
        <f>VLOOKUP(Table7[[#This Row],[Student_ID]],student_internships[],2,0)</f>
        <v>0</v>
      </c>
      <c r="I669" s="1">
        <f>VLOOKUP(Table7[[#This Row],[Student_ID]],Placements!A669:E1668,5,0)</f>
        <v>5.13</v>
      </c>
      <c r="J669" s="1" t="str">
        <f>IF(VLOOKUP(Table7[[#This Row],[Student_ID]],student_data[#All],5,0)&gt;8,"HIGH",IF(VLOOKUP(Table7[[#This Row],[Student_ID]],student_data[#All],5,0)&lt;6.5,"LOW","MEDIUM"))</f>
        <v>HIGH</v>
      </c>
    </row>
    <row r="670" spans="1:10" x14ac:dyDescent="0.2">
      <c r="A670" s="1" t="s">
        <v>679</v>
      </c>
      <c r="B670" s="1" t="str">
        <f>VLOOKUP(Table7[[#This Row],[Student_ID]],student_data[#All],2,0)</f>
        <v>Information Technology</v>
      </c>
      <c r="C670" s="1">
        <f>(VLOOKUP(Table7[[#This Row],[Student_ID]],student_data[],5,0)*5)+(VLOOKUP(Table7[[#This Row],[Student_ID]],student_data[],6,0)*3)+(VLOOKUP(Table7[[#This Row],[Student_ID]],student_skills[],6,0)*2)+(VLOOKUP(Table7[[#This Row],[Student_ID]],student_internships[],2,0)*5)</f>
        <v>47.75</v>
      </c>
      <c r="D670" s="1">
        <f>AVERAGE(VLOOKUP(Table7[[#This Row],[Student_ID]],student_skills[],3,0),VLOOKUP(Table7[[#This Row],[Student_ID]],student_skills[],4,0),VLOOKUP(Table7[[#This Row],[Student_ID]],student_skills[],5,0),VLOOKUP(Table7[[#This Row],[Student_ID]],student_skills[],6,0))</f>
        <v>6.25</v>
      </c>
      <c r="E670" s="1" t="str">
        <f>IF(VLOOKUP(Table7[[#This Row],[Student_ID]],student_internships[#All],2,0)&gt;1,"EXPERIENCED",IF(VLOOKUP(Table7[[#This Row],[Student_ID]],student_internships[#All],2,0)=1,"BEGINNER","NOT EXPERIENCED"))</f>
        <v>NOT EXPERIENCED</v>
      </c>
      <c r="F670" s="1">
        <f>VLOOKUP(Table7[[#This Row],[Student_ID]],student_data[],5,0)</f>
        <v>5.15</v>
      </c>
      <c r="G670" s="1">
        <f>VLOOKUP(Table7[[#This Row],[Student_ID]],student_data[#All],6,0)</f>
        <v>2</v>
      </c>
      <c r="H670" s="1">
        <f>VLOOKUP(Table7[[#This Row],[Student_ID]],student_internships[],2,0)</f>
        <v>0</v>
      </c>
      <c r="I670" s="1">
        <f>VLOOKUP(Table7[[#This Row],[Student_ID]],Placements!A670:E1669,5,0)</f>
        <v>4.5</v>
      </c>
      <c r="J670" s="1" t="str">
        <f>IF(VLOOKUP(Table7[[#This Row],[Student_ID]],student_data[#All],5,0)&gt;8,"HIGH",IF(VLOOKUP(Table7[[#This Row],[Student_ID]],student_data[#All],5,0)&lt;6.5,"LOW","MEDIUM"))</f>
        <v>LOW</v>
      </c>
    </row>
    <row r="671" spans="1:10" x14ac:dyDescent="0.2">
      <c r="A671" s="1" t="s">
        <v>680</v>
      </c>
      <c r="B671" s="1" t="str">
        <f>VLOOKUP(Table7[[#This Row],[Student_ID]],student_data[#All],2,0)</f>
        <v>Computer Science</v>
      </c>
      <c r="C671" s="1">
        <f>(VLOOKUP(Table7[[#This Row],[Student_ID]],student_data[],5,0)*5)+(VLOOKUP(Table7[[#This Row],[Student_ID]],student_data[],6,0)*3)+(VLOOKUP(Table7[[#This Row],[Student_ID]],student_skills[],6,0)*2)+(VLOOKUP(Table7[[#This Row],[Student_ID]],student_internships[],2,0)*5)</f>
        <v>44.9</v>
      </c>
      <c r="D671" s="1">
        <f>AVERAGE(VLOOKUP(Table7[[#This Row],[Student_ID]],student_skills[],3,0),VLOOKUP(Table7[[#This Row],[Student_ID]],student_skills[],4,0),VLOOKUP(Table7[[#This Row],[Student_ID]],student_skills[],5,0),VLOOKUP(Table7[[#This Row],[Student_ID]],student_skills[],6,0))</f>
        <v>6.25</v>
      </c>
      <c r="E671" s="1" t="str">
        <f>IF(VLOOKUP(Table7[[#This Row],[Student_ID]],student_internships[#All],2,0)&gt;1,"EXPERIENCED",IF(VLOOKUP(Table7[[#This Row],[Student_ID]],student_internships[#All],2,0)=1,"BEGINNER","NOT EXPERIENCED"))</f>
        <v>NOT EXPERIENCED</v>
      </c>
      <c r="F671" s="1">
        <f>VLOOKUP(Table7[[#This Row],[Student_ID]],student_data[],5,0)</f>
        <v>6.78</v>
      </c>
      <c r="G671" s="1">
        <f>VLOOKUP(Table7[[#This Row],[Student_ID]],student_data[#All],6,0)</f>
        <v>1</v>
      </c>
      <c r="H671" s="1">
        <f>VLOOKUP(Table7[[#This Row],[Student_ID]],student_internships[],2,0)</f>
        <v>0</v>
      </c>
      <c r="I671" s="1">
        <f>VLOOKUP(Table7[[#This Row],[Student_ID]],Placements!A671:E1670,5,0)</f>
        <v>0</v>
      </c>
      <c r="J671" s="1" t="str">
        <f>IF(VLOOKUP(Table7[[#This Row],[Student_ID]],student_data[#All],5,0)&gt;8,"HIGH",IF(VLOOKUP(Table7[[#This Row],[Student_ID]],student_data[#All],5,0)&lt;6.5,"LOW","MEDIUM"))</f>
        <v>MEDIUM</v>
      </c>
    </row>
    <row r="672" spans="1:10" x14ac:dyDescent="0.2">
      <c r="A672" s="1" t="s">
        <v>681</v>
      </c>
      <c r="B672" s="1" t="str">
        <f>VLOOKUP(Table7[[#This Row],[Student_ID]],student_data[#All],2,0)</f>
        <v>Electronics</v>
      </c>
      <c r="C672" s="1">
        <f>(VLOOKUP(Table7[[#This Row],[Student_ID]],student_data[],5,0)*5)+(VLOOKUP(Table7[[#This Row],[Student_ID]],student_data[],6,0)*3)+(VLOOKUP(Table7[[#This Row],[Student_ID]],student_skills[],6,0)*2)+(VLOOKUP(Table7[[#This Row],[Student_ID]],student_internships[],2,0)*5)</f>
        <v>45.4</v>
      </c>
      <c r="D672" s="1">
        <f>AVERAGE(VLOOKUP(Table7[[#This Row],[Student_ID]],student_skills[],3,0),VLOOKUP(Table7[[#This Row],[Student_ID]],student_skills[],4,0),VLOOKUP(Table7[[#This Row],[Student_ID]],student_skills[],5,0),VLOOKUP(Table7[[#This Row],[Student_ID]],student_skills[],6,0))</f>
        <v>7</v>
      </c>
      <c r="E672" s="1" t="str">
        <f>IF(VLOOKUP(Table7[[#This Row],[Student_ID]],student_internships[#All],2,0)&gt;1,"EXPERIENCED",IF(VLOOKUP(Table7[[#This Row],[Student_ID]],student_internships[#All],2,0)=1,"BEGINNER","NOT EXPERIENCED"))</f>
        <v>NOT EXPERIENCED</v>
      </c>
      <c r="F672" s="1">
        <f>VLOOKUP(Table7[[#This Row],[Student_ID]],student_data[],5,0)</f>
        <v>5.08</v>
      </c>
      <c r="G672" s="1">
        <f>VLOOKUP(Table7[[#This Row],[Student_ID]],student_data[#All],6,0)</f>
        <v>2</v>
      </c>
      <c r="H672" s="1">
        <f>VLOOKUP(Table7[[#This Row],[Student_ID]],student_internships[],2,0)</f>
        <v>0</v>
      </c>
      <c r="I672" s="1">
        <f>VLOOKUP(Table7[[#This Row],[Student_ID]],Placements!A672:E1671,5,0)</f>
        <v>0</v>
      </c>
      <c r="J672" s="1" t="str">
        <f>IF(VLOOKUP(Table7[[#This Row],[Student_ID]],student_data[#All],5,0)&gt;8,"HIGH",IF(VLOOKUP(Table7[[#This Row],[Student_ID]],student_data[#All],5,0)&lt;6.5,"LOW","MEDIUM"))</f>
        <v>LOW</v>
      </c>
    </row>
    <row r="673" spans="1:10" x14ac:dyDescent="0.2">
      <c r="A673" s="1" t="s">
        <v>682</v>
      </c>
      <c r="B673" s="1" t="str">
        <f>VLOOKUP(Table7[[#This Row],[Student_ID]],student_data[#All],2,0)</f>
        <v>Computer Science</v>
      </c>
      <c r="C673" s="1">
        <f>(VLOOKUP(Table7[[#This Row],[Student_ID]],student_data[],5,0)*5)+(VLOOKUP(Table7[[#This Row],[Student_ID]],student_data[],6,0)*3)+(VLOOKUP(Table7[[#This Row],[Student_ID]],student_skills[],6,0)*2)+(VLOOKUP(Table7[[#This Row],[Student_ID]],student_internships[],2,0)*5)</f>
        <v>36.950000000000003</v>
      </c>
      <c r="D673" s="1">
        <f>AVERAGE(VLOOKUP(Table7[[#This Row],[Student_ID]],student_skills[],3,0),VLOOKUP(Table7[[#This Row],[Student_ID]],student_skills[],4,0),VLOOKUP(Table7[[#This Row],[Student_ID]],student_skills[],5,0),VLOOKUP(Table7[[#This Row],[Student_ID]],student_skills[],6,0))</f>
        <v>4.75</v>
      </c>
      <c r="E673" s="1" t="str">
        <f>IF(VLOOKUP(Table7[[#This Row],[Student_ID]],student_internships[#All],2,0)&gt;1,"EXPERIENCED",IF(VLOOKUP(Table7[[#This Row],[Student_ID]],student_internships[#All],2,0)=1,"BEGINNER","NOT EXPERIENCED"))</f>
        <v>NOT EXPERIENCED</v>
      </c>
      <c r="F673" s="1">
        <f>VLOOKUP(Table7[[#This Row],[Student_ID]],student_data[],5,0)</f>
        <v>5.39</v>
      </c>
      <c r="G673" s="1">
        <f>VLOOKUP(Table7[[#This Row],[Student_ID]],student_data[#All],6,0)</f>
        <v>0</v>
      </c>
      <c r="H673" s="1">
        <f>VLOOKUP(Table7[[#This Row],[Student_ID]],student_internships[],2,0)</f>
        <v>0</v>
      </c>
      <c r="I673" s="1">
        <f>VLOOKUP(Table7[[#This Row],[Student_ID]],Placements!A673:E1672,5,0)</f>
        <v>5.43</v>
      </c>
      <c r="J673" s="1" t="str">
        <f>IF(VLOOKUP(Table7[[#This Row],[Student_ID]],student_data[#All],5,0)&gt;8,"HIGH",IF(VLOOKUP(Table7[[#This Row],[Student_ID]],student_data[#All],5,0)&lt;6.5,"LOW","MEDIUM"))</f>
        <v>LOW</v>
      </c>
    </row>
    <row r="674" spans="1:10" x14ac:dyDescent="0.2">
      <c r="A674" s="1" t="s">
        <v>683</v>
      </c>
      <c r="B674" s="1" t="str">
        <f>VLOOKUP(Table7[[#This Row],[Student_ID]],student_data[#All],2,0)</f>
        <v>Mechanical</v>
      </c>
      <c r="C674" s="1">
        <f>(VLOOKUP(Table7[[#This Row],[Student_ID]],student_data[],5,0)*5)+(VLOOKUP(Table7[[#This Row],[Student_ID]],student_data[],6,0)*3)+(VLOOKUP(Table7[[#This Row],[Student_ID]],student_skills[],6,0)*2)+(VLOOKUP(Table7[[#This Row],[Student_ID]],student_internships[],2,0)*5)</f>
        <v>66.800000000000011</v>
      </c>
      <c r="D674" s="1">
        <f>AVERAGE(VLOOKUP(Table7[[#This Row],[Student_ID]],student_skills[],3,0),VLOOKUP(Table7[[#This Row],[Student_ID]],student_skills[],4,0),VLOOKUP(Table7[[#This Row],[Student_ID]],student_skills[],5,0),VLOOKUP(Table7[[#This Row],[Student_ID]],student_skills[],6,0))</f>
        <v>6</v>
      </c>
      <c r="E674" s="1" t="str">
        <f>IF(VLOOKUP(Table7[[#This Row],[Student_ID]],student_internships[#All],2,0)&gt;1,"EXPERIENCED",IF(VLOOKUP(Table7[[#This Row],[Student_ID]],student_internships[#All],2,0)=1,"BEGINNER","NOT EXPERIENCED"))</f>
        <v>NOT EXPERIENCED</v>
      </c>
      <c r="F674" s="1">
        <f>VLOOKUP(Table7[[#This Row],[Student_ID]],student_data[],5,0)</f>
        <v>9.56</v>
      </c>
      <c r="G674" s="1">
        <f>VLOOKUP(Table7[[#This Row],[Student_ID]],student_data[#All],6,0)</f>
        <v>3</v>
      </c>
      <c r="H674" s="1">
        <f>VLOOKUP(Table7[[#This Row],[Student_ID]],student_internships[],2,0)</f>
        <v>0</v>
      </c>
      <c r="I674" s="1">
        <f>VLOOKUP(Table7[[#This Row],[Student_ID]],Placements!A674:E1673,5,0)</f>
        <v>9.33</v>
      </c>
      <c r="J674" s="1" t="str">
        <f>IF(VLOOKUP(Table7[[#This Row],[Student_ID]],student_data[#All],5,0)&gt;8,"HIGH",IF(VLOOKUP(Table7[[#This Row],[Student_ID]],student_data[#All],5,0)&lt;6.5,"LOW","MEDIUM"))</f>
        <v>HIGH</v>
      </c>
    </row>
    <row r="675" spans="1:10" x14ac:dyDescent="0.2">
      <c r="A675" s="1" t="s">
        <v>684</v>
      </c>
      <c r="B675" s="1" t="str">
        <f>VLOOKUP(Table7[[#This Row],[Student_ID]],student_data[#All],2,0)</f>
        <v>Computer Science</v>
      </c>
      <c r="C675" s="1">
        <f>(VLOOKUP(Table7[[#This Row],[Student_ID]],student_data[],5,0)*5)+(VLOOKUP(Table7[[#This Row],[Student_ID]],student_data[],6,0)*3)+(VLOOKUP(Table7[[#This Row],[Student_ID]],student_skills[],6,0)*2)+(VLOOKUP(Table7[[#This Row],[Student_ID]],student_internships[],2,0)*5)</f>
        <v>70.849999999999994</v>
      </c>
      <c r="D675" s="1">
        <f>AVERAGE(VLOOKUP(Table7[[#This Row],[Student_ID]],student_skills[],3,0),VLOOKUP(Table7[[#This Row],[Student_ID]],student_skills[],4,0),VLOOKUP(Table7[[#This Row],[Student_ID]],student_skills[],5,0),VLOOKUP(Table7[[#This Row],[Student_ID]],student_skills[],6,0))</f>
        <v>4</v>
      </c>
      <c r="E675" s="1" t="str">
        <f>IF(VLOOKUP(Table7[[#This Row],[Student_ID]],student_internships[#All],2,0)&gt;1,"EXPERIENCED",IF(VLOOKUP(Table7[[#This Row],[Student_ID]],student_internships[#All],2,0)=1,"BEGINNER","NOT EXPERIENCED"))</f>
        <v>EXPERIENCED</v>
      </c>
      <c r="F675" s="1">
        <f>VLOOKUP(Table7[[#This Row],[Student_ID]],student_data[],5,0)</f>
        <v>6.77</v>
      </c>
      <c r="G675" s="1">
        <f>VLOOKUP(Table7[[#This Row],[Student_ID]],student_data[#All],6,0)</f>
        <v>3</v>
      </c>
      <c r="H675" s="1">
        <f>VLOOKUP(Table7[[#This Row],[Student_ID]],student_internships[],2,0)</f>
        <v>2</v>
      </c>
      <c r="I675" s="1">
        <f>VLOOKUP(Table7[[#This Row],[Student_ID]],Placements!A675:E1674,5,0)</f>
        <v>0</v>
      </c>
      <c r="J675" s="1" t="str">
        <f>IF(VLOOKUP(Table7[[#This Row],[Student_ID]],student_data[#All],5,0)&gt;8,"HIGH",IF(VLOOKUP(Table7[[#This Row],[Student_ID]],student_data[#All],5,0)&lt;6.5,"LOW","MEDIUM"))</f>
        <v>MEDIUM</v>
      </c>
    </row>
    <row r="676" spans="1:10" x14ac:dyDescent="0.2">
      <c r="A676" s="1" t="s">
        <v>685</v>
      </c>
      <c r="B676" s="1" t="str">
        <f>VLOOKUP(Table7[[#This Row],[Student_ID]],student_data[#All],2,0)</f>
        <v>Information Technology</v>
      </c>
      <c r="C676" s="1">
        <f>(VLOOKUP(Table7[[#This Row],[Student_ID]],student_data[],5,0)*5)+(VLOOKUP(Table7[[#This Row],[Student_ID]],student_data[],6,0)*3)+(VLOOKUP(Table7[[#This Row],[Student_ID]],student_skills[],6,0)*2)+(VLOOKUP(Table7[[#This Row],[Student_ID]],student_internships[],2,0)*5)</f>
        <v>68.599999999999994</v>
      </c>
      <c r="D676" s="1">
        <f>AVERAGE(VLOOKUP(Table7[[#This Row],[Student_ID]],student_skills[],3,0),VLOOKUP(Table7[[#This Row],[Student_ID]],student_skills[],4,0),VLOOKUP(Table7[[#This Row],[Student_ID]],student_skills[],5,0),VLOOKUP(Table7[[#This Row],[Student_ID]],student_skills[],6,0))</f>
        <v>5.75</v>
      </c>
      <c r="E676" s="1" t="str">
        <f>IF(VLOOKUP(Table7[[#This Row],[Student_ID]],student_internships[#All],2,0)&gt;1,"EXPERIENCED",IF(VLOOKUP(Table7[[#This Row],[Student_ID]],student_internships[#All],2,0)=1,"BEGINNER","NOT EXPERIENCED"))</f>
        <v>NOT EXPERIENCED</v>
      </c>
      <c r="F676" s="1">
        <f>VLOOKUP(Table7[[#This Row],[Student_ID]],student_data[],5,0)</f>
        <v>7.12</v>
      </c>
      <c r="G676" s="1">
        <f>VLOOKUP(Table7[[#This Row],[Student_ID]],student_data[#All],6,0)</f>
        <v>5</v>
      </c>
      <c r="H676" s="1">
        <f>VLOOKUP(Table7[[#This Row],[Student_ID]],student_internships[],2,0)</f>
        <v>0</v>
      </c>
      <c r="I676" s="1">
        <f>VLOOKUP(Table7[[#This Row],[Student_ID]],Placements!A676:E1675,5,0)</f>
        <v>5.49</v>
      </c>
      <c r="J676" s="1" t="str">
        <f>IF(VLOOKUP(Table7[[#This Row],[Student_ID]],student_data[#All],5,0)&gt;8,"HIGH",IF(VLOOKUP(Table7[[#This Row],[Student_ID]],student_data[#All],5,0)&lt;6.5,"LOW","MEDIUM"))</f>
        <v>MEDIUM</v>
      </c>
    </row>
    <row r="677" spans="1:10" x14ac:dyDescent="0.2">
      <c r="A677" s="1" t="s">
        <v>686</v>
      </c>
      <c r="B677" s="1" t="str">
        <f>VLOOKUP(Table7[[#This Row],[Student_ID]],student_data[#All],2,0)</f>
        <v>Civil</v>
      </c>
      <c r="C677" s="1">
        <f>(VLOOKUP(Table7[[#This Row],[Student_ID]],student_data[],5,0)*5)+(VLOOKUP(Table7[[#This Row],[Student_ID]],student_data[],6,0)*3)+(VLOOKUP(Table7[[#This Row],[Student_ID]],student_skills[],6,0)*2)+(VLOOKUP(Table7[[#This Row],[Student_ID]],student_internships[],2,0)*5)</f>
        <v>53.4</v>
      </c>
      <c r="D677" s="1">
        <f>AVERAGE(VLOOKUP(Table7[[#This Row],[Student_ID]],student_skills[],3,0),VLOOKUP(Table7[[#This Row],[Student_ID]],student_skills[],4,0),VLOOKUP(Table7[[#This Row],[Student_ID]],student_skills[],5,0),VLOOKUP(Table7[[#This Row],[Student_ID]],student_skills[],6,0))</f>
        <v>6.5</v>
      </c>
      <c r="E677" s="1" t="str">
        <f>IF(VLOOKUP(Table7[[#This Row],[Student_ID]],student_internships[#All],2,0)&gt;1,"EXPERIENCED",IF(VLOOKUP(Table7[[#This Row],[Student_ID]],student_internships[#All],2,0)=1,"BEGINNER","NOT EXPERIENCED"))</f>
        <v>BEGINNER</v>
      </c>
      <c r="F677" s="1">
        <f>VLOOKUP(Table7[[#This Row],[Student_ID]],student_data[],5,0)</f>
        <v>6.08</v>
      </c>
      <c r="G677" s="1">
        <f>VLOOKUP(Table7[[#This Row],[Student_ID]],student_data[#All],6,0)</f>
        <v>0</v>
      </c>
      <c r="H677" s="1">
        <f>VLOOKUP(Table7[[#This Row],[Student_ID]],student_internships[],2,0)</f>
        <v>1</v>
      </c>
      <c r="I677" s="1">
        <f>VLOOKUP(Table7[[#This Row],[Student_ID]],Placements!A677:E1676,5,0)</f>
        <v>4.5</v>
      </c>
      <c r="J677" s="1" t="str">
        <f>IF(VLOOKUP(Table7[[#This Row],[Student_ID]],student_data[#All],5,0)&gt;8,"HIGH",IF(VLOOKUP(Table7[[#This Row],[Student_ID]],student_data[#All],5,0)&lt;6.5,"LOW","MEDIUM"))</f>
        <v>LOW</v>
      </c>
    </row>
    <row r="678" spans="1:10" x14ac:dyDescent="0.2">
      <c r="A678" s="1" t="s">
        <v>687</v>
      </c>
      <c r="B678" s="1" t="str">
        <f>VLOOKUP(Table7[[#This Row],[Student_ID]],student_data[#All],2,0)</f>
        <v>Computer Science</v>
      </c>
      <c r="C678" s="1">
        <f>(VLOOKUP(Table7[[#This Row],[Student_ID]],student_data[],5,0)*5)+(VLOOKUP(Table7[[#This Row],[Student_ID]],student_data[],6,0)*3)+(VLOOKUP(Table7[[#This Row],[Student_ID]],student_skills[],6,0)*2)+(VLOOKUP(Table7[[#This Row],[Student_ID]],student_internships[],2,0)*5)</f>
        <v>59.95</v>
      </c>
      <c r="D678" s="1">
        <f>AVERAGE(VLOOKUP(Table7[[#This Row],[Student_ID]],student_skills[],3,0),VLOOKUP(Table7[[#This Row],[Student_ID]],student_skills[],4,0),VLOOKUP(Table7[[#This Row],[Student_ID]],student_skills[],5,0),VLOOKUP(Table7[[#This Row],[Student_ID]],student_skills[],6,0))</f>
        <v>4.75</v>
      </c>
      <c r="E678" s="1" t="str">
        <f>IF(VLOOKUP(Table7[[#This Row],[Student_ID]],student_internships[#All],2,0)&gt;1,"EXPERIENCED",IF(VLOOKUP(Table7[[#This Row],[Student_ID]],student_internships[#All],2,0)=1,"BEGINNER","NOT EXPERIENCED"))</f>
        <v>BEGINNER</v>
      </c>
      <c r="F678" s="1">
        <f>VLOOKUP(Table7[[#This Row],[Student_ID]],student_data[],5,0)</f>
        <v>7.99</v>
      </c>
      <c r="G678" s="1">
        <f>VLOOKUP(Table7[[#This Row],[Student_ID]],student_data[#All],6,0)</f>
        <v>1</v>
      </c>
      <c r="H678" s="1">
        <f>VLOOKUP(Table7[[#This Row],[Student_ID]],student_internships[],2,0)</f>
        <v>1</v>
      </c>
      <c r="I678" s="1">
        <f>VLOOKUP(Table7[[#This Row],[Student_ID]],Placements!A678:E1677,5,0)</f>
        <v>5.03</v>
      </c>
      <c r="J678" s="1" t="str">
        <f>IF(VLOOKUP(Table7[[#This Row],[Student_ID]],student_data[#All],5,0)&gt;8,"HIGH",IF(VLOOKUP(Table7[[#This Row],[Student_ID]],student_data[#All],5,0)&lt;6.5,"LOW","MEDIUM"))</f>
        <v>MEDIUM</v>
      </c>
    </row>
    <row r="679" spans="1:10" x14ac:dyDescent="0.2">
      <c r="A679" s="1" t="s">
        <v>688</v>
      </c>
      <c r="B679" s="1" t="str">
        <f>VLOOKUP(Table7[[#This Row],[Student_ID]],student_data[#All],2,0)</f>
        <v>Information Technology</v>
      </c>
      <c r="C679" s="1">
        <f>(VLOOKUP(Table7[[#This Row],[Student_ID]],student_data[],5,0)*5)+(VLOOKUP(Table7[[#This Row],[Student_ID]],student_data[],6,0)*3)+(VLOOKUP(Table7[[#This Row],[Student_ID]],student_skills[],6,0)*2)+(VLOOKUP(Table7[[#This Row],[Student_ID]],student_internships[],2,0)*5)</f>
        <v>66.849999999999994</v>
      </c>
      <c r="D679" s="1">
        <f>AVERAGE(VLOOKUP(Table7[[#This Row],[Student_ID]],student_skills[],3,0),VLOOKUP(Table7[[#This Row],[Student_ID]],student_skills[],4,0),VLOOKUP(Table7[[#This Row],[Student_ID]],student_skills[],5,0),VLOOKUP(Table7[[#This Row],[Student_ID]],student_skills[],6,0))</f>
        <v>5</v>
      </c>
      <c r="E679" s="1" t="str">
        <f>IF(VLOOKUP(Table7[[#This Row],[Student_ID]],student_internships[#All],2,0)&gt;1,"EXPERIENCED",IF(VLOOKUP(Table7[[#This Row],[Student_ID]],student_internships[#All],2,0)=1,"BEGINNER","NOT EXPERIENCED"))</f>
        <v>EXPERIENCED</v>
      </c>
      <c r="F679" s="1">
        <f>VLOOKUP(Table7[[#This Row],[Student_ID]],student_data[],5,0)</f>
        <v>7.97</v>
      </c>
      <c r="G679" s="1">
        <f>VLOOKUP(Table7[[#This Row],[Student_ID]],student_data[#All],6,0)</f>
        <v>0</v>
      </c>
      <c r="H679" s="1">
        <f>VLOOKUP(Table7[[#This Row],[Student_ID]],student_internships[],2,0)</f>
        <v>3</v>
      </c>
      <c r="I679" s="1">
        <f>VLOOKUP(Table7[[#This Row],[Student_ID]],Placements!A679:E1678,5,0)</f>
        <v>5.43</v>
      </c>
      <c r="J679" s="1" t="str">
        <f>IF(VLOOKUP(Table7[[#This Row],[Student_ID]],student_data[#All],5,0)&gt;8,"HIGH",IF(VLOOKUP(Table7[[#This Row],[Student_ID]],student_data[#All],5,0)&lt;6.5,"LOW","MEDIUM"))</f>
        <v>MEDIUM</v>
      </c>
    </row>
    <row r="680" spans="1:10" x14ac:dyDescent="0.2">
      <c r="A680" s="1" t="s">
        <v>689</v>
      </c>
      <c r="B680" s="1" t="str">
        <f>VLOOKUP(Table7[[#This Row],[Student_ID]],student_data[#All],2,0)</f>
        <v>Information Technology</v>
      </c>
      <c r="C680" s="1">
        <f>(VLOOKUP(Table7[[#This Row],[Student_ID]],student_data[],5,0)*5)+(VLOOKUP(Table7[[#This Row],[Student_ID]],student_data[],6,0)*3)+(VLOOKUP(Table7[[#This Row],[Student_ID]],student_skills[],6,0)*2)+(VLOOKUP(Table7[[#This Row],[Student_ID]],student_internships[],2,0)*5)</f>
        <v>50.300000000000004</v>
      </c>
      <c r="D680" s="1">
        <f>AVERAGE(VLOOKUP(Table7[[#This Row],[Student_ID]],student_skills[],3,0),VLOOKUP(Table7[[#This Row],[Student_ID]],student_skills[],4,0),VLOOKUP(Table7[[#This Row],[Student_ID]],student_skills[],5,0),VLOOKUP(Table7[[#This Row],[Student_ID]],student_skills[],6,0))</f>
        <v>5.25</v>
      </c>
      <c r="E680" s="1" t="str">
        <f>IF(VLOOKUP(Table7[[#This Row],[Student_ID]],student_internships[#All],2,0)&gt;1,"EXPERIENCED",IF(VLOOKUP(Table7[[#This Row],[Student_ID]],student_internships[#All],2,0)=1,"BEGINNER","NOT EXPERIENCED"))</f>
        <v>NOT EXPERIENCED</v>
      </c>
      <c r="F680" s="1">
        <f>VLOOKUP(Table7[[#This Row],[Student_ID]],student_data[],5,0)</f>
        <v>6.86</v>
      </c>
      <c r="G680" s="1">
        <f>VLOOKUP(Table7[[#This Row],[Student_ID]],student_data[#All],6,0)</f>
        <v>2</v>
      </c>
      <c r="H680" s="1">
        <f>VLOOKUP(Table7[[#This Row],[Student_ID]],student_internships[],2,0)</f>
        <v>0</v>
      </c>
      <c r="I680" s="1">
        <f>VLOOKUP(Table7[[#This Row],[Student_ID]],Placements!A680:E1679,5,0)</f>
        <v>0</v>
      </c>
      <c r="J680" s="1" t="str">
        <f>IF(VLOOKUP(Table7[[#This Row],[Student_ID]],student_data[#All],5,0)&gt;8,"HIGH",IF(VLOOKUP(Table7[[#This Row],[Student_ID]],student_data[#All],5,0)&lt;6.5,"LOW","MEDIUM"))</f>
        <v>MEDIUM</v>
      </c>
    </row>
    <row r="681" spans="1:10" x14ac:dyDescent="0.2">
      <c r="A681" s="1" t="s">
        <v>690</v>
      </c>
      <c r="B681" s="1" t="str">
        <f>VLOOKUP(Table7[[#This Row],[Student_ID]],student_data[#All],2,0)</f>
        <v>Mechanical</v>
      </c>
      <c r="C681" s="1">
        <f>(VLOOKUP(Table7[[#This Row],[Student_ID]],student_data[],5,0)*5)+(VLOOKUP(Table7[[#This Row],[Student_ID]],student_data[],6,0)*3)+(VLOOKUP(Table7[[#This Row],[Student_ID]],student_skills[],6,0)*2)+(VLOOKUP(Table7[[#This Row],[Student_ID]],student_internships[],2,0)*5)</f>
        <v>56.35</v>
      </c>
      <c r="D681" s="1">
        <f>AVERAGE(VLOOKUP(Table7[[#This Row],[Student_ID]],student_skills[],3,0),VLOOKUP(Table7[[#This Row],[Student_ID]],student_skills[],4,0),VLOOKUP(Table7[[#This Row],[Student_ID]],student_skills[],5,0),VLOOKUP(Table7[[#This Row],[Student_ID]],student_skills[],6,0))</f>
        <v>3.75</v>
      </c>
      <c r="E681" s="1" t="str">
        <f>IF(VLOOKUP(Table7[[#This Row],[Student_ID]],student_internships[#All],2,0)&gt;1,"EXPERIENCED",IF(VLOOKUP(Table7[[#This Row],[Student_ID]],student_internships[#All],2,0)=1,"BEGINNER","NOT EXPERIENCED"))</f>
        <v>BEGINNER</v>
      </c>
      <c r="F681" s="1">
        <f>VLOOKUP(Table7[[#This Row],[Student_ID]],student_data[],5,0)</f>
        <v>6.67</v>
      </c>
      <c r="G681" s="1">
        <f>VLOOKUP(Table7[[#This Row],[Student_ID]],student_data[#All],6,0)</f>
        <v>0</v>
      </c>
      <c r="H681" s="1">
        <f>VLOOKUP(Table7[[#This Row],[Student_ID]],student_internships[],2,0)</f>
        <v>1</v>
      </c>
      <c r="I681" s="1">
        <f>VLOOKUP(Table7[[#This Row],[Student_ID]],Placements!A681:E1680,5,0)</f>
        <v>0</v>
      </c>
      <c r="J681" s="1" t="str">
        <f>IF(VLOOKUP(Table7[[#This Row],[Student_ID]],student_data[#All],5,0)&gt;8,"HIGH",IF(VLOOKUP(Table7[[#This Row],[Student_ID]],student_data[#All],5,0)&lt;6.5,"LOW","MEDIUM"))</f>
        <v>MEDIUM</v>
      </c>
    </row>
    <row r="682" spans="1:10" x14ac:dyDescent="0.2">
      <c r="A682" s="1" t="s">
        <v>691</v>
      </c>
      <c r="B682" s="1" t="str">
        <f>VLOOKUP(Table7[[#This Row],[Student_ID]],student_data[#All],2,0)</f>
        <v>Information Technology</v>
      </c>
      <c r="C682" s="1">
        <f>(VLOOKUP(Table7[[#This Row],[Student_ID]],student_data[],5,0)*5)+(VLOOKUP(Table7[[#This Row],[Student_ID]],student_data[],6,0)*3)+(VLOOKUP(Table7[[#This Row],[Student_ID]],student_skills[],6,0)*2)+(VLOOKUP(Table7[[#This Row],[Student_ID]],student_internships[],2,0)*5)</f>
        <v>82.1</v>
      </c>
      <c r="D682" s="1">
        <f>AVERAGE(VLOOKUP(Table7[[#This Row],[Student_ID]],student_skills[],3,0),VLOOKUP(Table7[[#This Row],[Student_ID]],student_skills[],4,0),VLOOKUP(Table7[[#This Row],[Student_ID]],student_skills[],5,0),VLOOKUP(Table7[[#This Row],[Student_ID]],student_skills[],6,0))</f>
        <v>7.25</v>
      </c>
      <c r="E682" s="1" t="str">
        <f>IF(VLOOKUP(Table7[[#This Row],[Student_ID]],student_internships[#All],2,0)&gt;1,"EXPERIENCED",IF(VLOOKUP(Table7[[#This Row],[Student_ID]],student_internships[#All],2,0)=1,"BEGINNER","NOT EXPERIENCED"))</f>
        <v>EXPERIENCED</v>
      </c>
      <c r="F682" s="1">
        <f>VLOOKUP(Table7[[#This Row],[Student_ID]],student_data[],5,0)</f>
        <v>9.42</v>
      </c>
      <c r="G682" s="1">
        <f>VLOOKUP(Table7[[#This Row],[Student_ID]],student_data[#All],6,0)</f>
        <v>0</v>
      </c>
      <c r="H682" s="1">
        <f>VLOOKUP(Table7[[#This Row],[Student_ID]],student_internships[],2,0)</f>
        <v>3</v>
      </c>
      <c r="I682" s="1">
        <f>VLOOKUP(Table7[[#This Row],[Student_ID]],Placements!A682:E1681,5,0)</f>
        <v>0</v>
      </c>
      <c r="J682" s="1" t="str">
        <f>IF(VLOOKUP(Table7[[#This Row],[Student_ID]],student_data[#All],5,0)&gt;8,"HIGH",IF(VLOOKUP(Table7[[#This Row],[Student_ID]],student_data[#All],5,0)&lt;6.5,"LOW","MEDIUM"))</f>
        <v>HIGH</v>
      </c>
    </row>
    <row r="683" spans="1:10" x14ac:dyDescent="0.2">
      <c r="A683" s="1" t="s">
        <v>692</v>
      </c>
      <c r="B683" s="1" t="str">
        <f>VLOOKUP(Table7[[#This Row],[Student_ID]],student_data[#All],2,0)</f>
        <v>Information Technology</v>
      </c>
      <c r="C683" s="1">
        <f>(VLOOKUP(Table7[[#This Row],[Student_ID]],student_data[],5,0)*5)+(VLOOKUP(Table7[[#This Row],[Student_ID]],student_data[],6,0)*3)+(VLOOKUP(Table7[[#This Row],[Student_ID]],student_skills[],6,0)*2)+(VLOOKUP(Table7[[#This Row],[Student_ID]],student_internships[],2,0)*5)</f>
        <v>63.6</v>
      </c>
      <c r="D683" s="1">
        <f>AVERAGE(VLOOKUP(Table7[[#This Row],[Student_ID]],student_skills[],3,0),VLOOKUP(Table7[[#This Row],[Student_ID]],student_skills[],4,0),VLOOKUP(Table7[[#This Row],[Student_ID]],student_skills[],5,0),VLOOKUP(Table7[[#This Row],[Student_ID]],student_skills[],6,0))</f>
        <v>6.25</v>
      </c>
      <c r="E683" s="1" t="str">
        <f>IF(VLOOKUP(Table7[[#This Row],[Student_ID]],student_internships[#All],2,0)&gt;1,"EXPERIENCED",IF(VLOOKUP(Table7[[#This Row],[Student_ID]],student_internships[#All],2,0)=1,"BEGINNER","NOT EXPERIENCED"))</f>
        <v>EXPERIENCED</v>
      </c>
      <c r="F683" s="1">
        <f>VLOOKUP(Table7[[#This Row],[Student_ID]],student_data[],5,0)</f>
        <v>6.92</v>
      </c>
      <c r="G683" s="1">
        <f>VLOOKUP(Table7[[#This Row],[Student_ID]],student_data[#All],6,0)</f>
        <v>1</v>
      </c>
      <c r="H683" s="1">
        <f>VLOOKUP(Table7[[#This Row],[Student_ID]],student_internships[],2,0)</f>
        <v>2</v>
      </c>
      <c r="I683" s="1">
        <f>VLOOKUP(Table7[[#This Row],[Student_ID]],Placements!A683:E1682,5,0)</f>
        <v>4.32</v>
      </c>
      <c r="J683" s="1" t="str">
        <f>IF(VLOOKUP(Table7[[#This Row],[Student_ID]],student_data[#All],5,0)&gt;8,"HIGH",IF(VLOOKUP(Table7[[#This Row],[Student_ID]],student_data[#All],5,0)&lt;6.5,"LOW","MEDIUM"))</f>
        <v>MEDIUM</v>
      </c>
    </row>
    <row r="684" spans="1:10" x14ac:dyDescent="0.2">
      <c r="A684" s="1" t="s">
        <v>693</v>
      </c>
      <c r="B684" s="1" t="str">
        <f>VLOOKUP(Table7[[#This Row],[Student_ID]],student_data[#All],2,0)</f>
        <v>Information Technology</v>
      </c>
      <c r="C684" s="1">
        <f>(VLOOKUP(Table7[[#This Row],[Student_ID]],student_data[],5,0)*5)+(VLOOKUP(Table7[[#This Row],[Student_ID]],student_data[],6,0)*3)+(VLOOKUP(Table7[[#This Row],[Student_ID]],student_skills[],6,0)*2)+(VLOOKUP(Table7[[#This Row],[Student_ID]],student_internships[],2,0)*5)</f>
        <v>67.349999999999994</v>
      </c>
      <c r="D684" s="1">
        <f>AVERAGE(VLOOKUP(Table7[[#This Row],[Student_ID]],student_skills[],3,0),VLOOKUP(Table7[[#This Row],[Student_ID]],student_skills[],4,0),VLOOKUP(Table7[[#This Row],[Student_ID]],student_skills[],5,0),VLOOKUP(Table7[[#This Row],[Student_ID]],student_skills[],6,0))</f>
        <v>3.25</v>
      </c>
      <c r="E684" s="1" t="str">
        <f>IF(VLOOKUP(Table7[[#This Row],[Student_ID]],student_internships[#All],2,0)&gt;1,"EXPERIENCED",IF(VLOOKUP(Table7[[#This Row],[Student_ID]],student_internships[#All],2,0)=1,"BEGINNER","NOT EXPERIENCED"))</f>
        <v>EXPERIENCED</v>
      </c>
      <c r="F684" s="1">
        <f>VLOOKUP(Table7[[#This Row],[Student_ID]],student_data[],5,0)</f>
        <v>7.47</v>
      </c>
      <c r="G684" s="1">
        <f>VLOOKUP(Table7[[#This Row],[Student_ID]],student_data[#All],6,0)</f>
        <v>2</v>
      </c>
      <c r="H684" s="1">
        <f>VLOOKUP(Table7[[#This Row],[Student_ID]],student_internships[],2,0)</f>
        <v>2</v>
      </c>
      <c r="I684" s="1">
        <f>VLOOKUP(Table7[[#This Row],[Student_ID]],Placements!A684:E1683,5,0)</f>
        <v>5.15</v>
      </c>
      <c r="J684" s="1" t="str">
        <f>IF(VLOOKUP(Table7[[#This Row],[Student_ID]],student_data[#All],5,0)&gt;8,"HIGH",IF(VLOOKUP(Table7[[#This Row],[Student_ID]],student_data[#All],5,0)&lt;6.5,"LOW","MEDIUM"))</f>
        <v>MEDIUM</v>
      </c>
    </row>
    <row r="685" spans="1:10" x14ac:dyDescent="0.2">
      <c r="A685" s="1" t="s">
        <v>694</v>
      </c>
      <c r="B685" s="1" t="str">
        <f>VLOOKUP(Table7[[#This Row],[Student_ID]],student_data[#All],2,0)</f>
        <v>Information Technology</v>
      </c>
      <c r="C685" s="1">
        <f>(VLOOKUP(Table7[[#This Row],[Student_ID]],student_data[],5,0)*5)+(VLOOKUP(Table7[[#This Row],[Student_ID]],student_data[],6,0)*3)+(VLOOKUP(Table7[[#This Row],[Student_ID]],student_skills[],6,0)*2)+(VLOOKUP(Table7[[#This Row],[Student_ID]],student_internships[],2,0)*5)</f>
        <v>58.1</v>
      </c>
      <c r="D685" s="1">
        <f>AVERAGE(VLOOKUP(Table7[[#This Row],[Student_ID]],student_skills[],3,0),VLOOKUP(Table7[[#This Row],[Student_ID]],student_skills[],4,0),VLOOKUP(Table7[[#This Row],[Student_ID]],student_skills[],5,0),VLOOKUP(Table7[[#This Row],[Student_ID]],student_skills[],6,0))</f>
        <v>5.5</v>
      </c>
      <c r="E685" s="1" t="str">
        <f>IF(VLOOKUP(Table7[[#This Row],[Student_ID]],student_internships[#All],2,0)&gt;1,"EXPERIENCED",IF(VLOOKUP(Table7[[#This Row],[Student_ID]],student_internships[#All],2,0)=1,"BEGINNER","NOT EXPERIENCED"))</f>
        <v>NOT EXPERIENCED</v>
      </c>
      <c r="F685" s="1">
        <f>VLOOKUP(Table7[[#This Row],[Student_ID]],student_data[],5,0)</f>
        <v>6.42</v>
      </c>
      <c r="G685" s="1">
        <f>VLOOKUP(Table7[[#This Row],[Student_ID]],student_data[#All],6,0)</f>
        <v>4</v>
      </c>
      <c r="H685" s="1">
        <f>VLOOKUP(Table7[[#This Row],[Student_ID]],student_internships[],2,0)</f>
        <v>0</v>
      </c>
      <c r="I685" s="1">
        <f>VLOOKUP(Table7[[#This Row],[Student_ID]],Placements!A685:E1684,5,0)</f>
        <v>4.5</v>
      </c>
      <c r="J685" s="1" t="str">
        <f>IF(VLOOKUP(Table7[[#This Row],[Student_ID]],student_data[#All],5,0)&gt;8,"HIGH",IF(VLOOKUP(Table7[[#This Row],[Student_ID]],student_data[#All],5,0)&lt;6.5,"LOW","MEDIUM"))</f>
        <v>LOW</v>
      </c>
    </row>
    <row r="686" spans="1:10" x14ac:dyDescent="0.2">
      <c r="A686" s="1" t="s">
        <v>695</v>
      </c>
      <c r="B686" s="1" t="str">
        <f>VLOOKUP(Table7[[#This Row],[Student_ID]],student_data[#All],2,0)</f>
        <v>Electronics</v>
      </c>
      <c r="C686" s="1">
        <f>(VLOOKUP(Table7[[#This Row],[Student_ID]],student_data[],5,0)*5)+(VLOOKUP(Table7[[#This Row],[Student_ID]],student_data[],6,0)*3)+(VLOOKUP(Table7[[#This Row],[Student_ID]],student_skills[],6,0)*2)+(VLOOKUP(Table7[[#This Row],[Student_ID]],student_internships[],2,0)*5)</f>
        <v>68.650000000000006</v>
      </c>
      <c r="D686" s="1">
        <f>AVERAGE(VLOOKUP(Table7[[#This Row],[Student_ID]],student_skills[],3,0),VLOOKUP(Table7[[#This Row],[Student_ID]],student_skills[],4,0),VLOOKUP(Table7[[#This Row],[Student_ID]],student_skills[],5,0),VLOOKUP(Table7[[#This Row],[Student_ID]],student_skills[],6,0))</f>
        <v>5.25</v>
      </c>
      <c r="E686" s="1" t="str">
        <f>IF(VLOOKUP(Table7[[#This Row],[Student_ID]],student_internships[#All],2,0)&gt;1,"EXPERIENCED",IF(VLOOKUP(Table7[[#This Row],[Student_ID]],student_internships[#All],2,0)=1,"BEGINNER","NOT EXPERIENCED"))</f>
        <v>NOT EXPERIENCED</v>
      </c>
      <c r="F686" s="1">
        <f>VLOOKUP(Table7[[#This Row],[Student_ID]],student_data[],5,0)</f>
        <v>8.93</v>
      </c>
      <c r="G686" s="1">
        <f>VLOOKUP(Table7[[#This Row],[Student_ID]],student_data[#All],6,0)</f>
        <v>4</v>
      </c>
      <c r="H686" s="1">
        <f>VLOOKUP(Table7[[#This Row],[Student_ID]],student_internships[],2,0)</f>
        <v>0</v>
      </c>
      <c r="I686" s="1">
        <f>VLOOKUP(Table7[[#This Row],[Student_ID]],Placements!A686:E1685,5,0)</f>
        <v>5.4</v>
      </c>
      <c r="J686" s="1" t="str">
        <f>IF(VLOOKUP(Table7[[#This Row],[Student_ID]],student_data[#All],5,0)&gt;8,"HIGH",IF(VLOOKUP(Table7[[#This Row],[Student_ID]],student_data[#All],5,0)&lt;6.5,"LOW","MEDIUM"))</f>
        <v>HIGH</v>
      </c>
    </row>
    <row r="687" spans="1:10" x14ac:dyDescent="0.2">
      <c r="A687" s="1" t="s">
        <v>696</v>
      </c>
      <c r="B687" s="1" t="str">
        <f>VLOOKUP(Table7[[#This Row],[Student_ID]],student_data[#All],2,0)</f>
        <v>Electronics</v>
      </c>
      <c r="C687" s="1">
        <f>(VLOOKUP(Table7[[#This Row],[Student_ID]],student_data[],5,0)*5)+(VLOOKUP(Table7[[#This Row],[Student_ID]],student_data[],6,0)*3)+(VLOOKUP(Table7[[#This Row],[Student_ID]],student_skills[],6,0)*2)+(VLOOKUP(Table7[[#This Row],[Student_ID]],student_internships[],2,0)*5)</f>
        <v>58.95</v>
      </c>
      <c r="D687" s="1">
        <f>AVERAGE(VLOOKUP(Table7[[#This Row],[Student_ID]],student_skills[],3,0),VLOOKUP(Table7[[#This Row],[Student_ID]],student_skills[],4,0),VLOOKUP(Table7[[#This Row],[Student_ID]],student_skills[],5,0),VLOOKUP(Table7[[#This Row],[Student_ID]],student_skills[],6,0))</f>
        <v>7.5</v>
      </c>
      <c r="E687" s="1" t="str">
        <f>IF(VLOOKUP(Table7[[#This Row],[Student_ID]],student_internships[#All],2,0)&gt;1,"EXPERIENCED",IF(VLOOKUP(Table7[[#This Row],[Student_ID]],student_internships[#All],2,0)=1,"BEGINNER","NOT EXPERIENCED"))</f>
        <v>BEGINNER</v>
      </c>
      <c r="F687" s="1">
        <f>VLOOKUP(Table7[[#This Row],[Student_ID]],student_data[],5,0)</f>
        <v>6.99</v>
      </c>
      <c r="G687" s="1">
        <f>VLOOKUP(Table7[[#This Row],[Student_ID]],student_data[#All],6,0)</f>
        <v>3</v>
      </c>
      <c r="H687" s="1">
        <f>VLOOKUP(Table7[[#This Row],[Student_ID]],student_internships[],2,0)</f>
        <v>1</v>
      </c>
      <c r="I687" s="1">
        <f>VLOOKUP(Table7[[#This Row],[Student_ID]],Placements!A687:E1686,5,0)</f>
        <v>4.5599999999999996</v>
      </c>
      <c r="J687" s="1" t="str">
        <f>IF(VLOOKUP(Table7[[#This Row],[Student_ID]],student_data[#All],5,0)&gt;8,"HIGH",IF(VLOOKUP(Table7[[#This Row],[Student_ID]],student_data[#All],5,0)&lt;6.5,"LOW","MEDIUM"))</f>
        <v>MEDIUM</v>
      </c>
    </row>
    <row r="688" spans="1:10" x14ac:dyDescent="0.2">
      <c r="A688" s="1" t="s">
        <v>697</v>
      </c>
      <c r="B688" s="1" t="str">
        <f>VLOOKUP(Table7[[#This Row],[Student_ID]],student_data[#All],2,0)</f>
        <v>Mechanical</v>
      </c>
      <c r="C688" s="1">
        <f>(VLOOKUP(Table7[[#This Row],[Student_ID]],student_data[],5,0)*5)+(VLOOKUP(Table7[[#This Row],[Student_ID]],student_data[],6,0)*3)+(VLOOKUP(Table7[[#This Row],[Student_ID]],student_skills[],6,0)*2)+(VLOOKUP(Table7[[#This Row],[Student_ID]],student_internships[],2,0)*5)</f>
        <v>75.849999999999994</v>
      </c>
      <c r="D688" s="1">
        <f>AVERAGE(VLOOKUP(Table7[[#This Row],[Student_ID]],student_skills[],3,0),VLOOKUP(Table7[[#This Row],[Student_ID]],student_skills[],4,0),VLOOKUP(Table7[[#This Row],[Student_ID]],student_skills[],5,0),VLOOKUP(Table7[[#This Row],[Student_ID]],student_skills[],6,0))</f>
        <v>5</v>
      </c>
      <c r="E688" s="1" t="str">
        <f>IF(VLOOKUP(Table7[[#This Row],[Student_ID]],student_internships[#All],2,0)&gt;1,"EXPERIENCED",IF(VLOOKUP(Table7[[#This Row],[Student_ID]],student_internships[#All],2,0)=1,"BEGINNER","NOT EXPERIENCED"))</f>
        <v>EXPERIENCED</v>
      </c>
      <c r="F688" s="1">
        <f>VLOOKUP(Table7[[#This Row],[Student_ID]],student_data[],5,0)</f>
        <v>7.57</v>
      </c>
      <c r="G688" s="1">
        <f>VLOOKUP(Table7[[#This Row],[Student_ID]],student_data[#All],6,0)</f>
        <v>5</v>
      </c>
      <c r="H688" s="1">
        <f>VLOOKUP(Table7[[#This Row],[Student_ID]],student_internships[],2,0)</f>
        <v>3</v>
      </c>
      <c r="I688" s="1">
        <f>VLOOKUP(Table7[[#This Row],[Student_ID]],Placements!A688:E1687,5,0)</f>
        <v>5.03</v>
      </c>
      <c r="J688" s="1" t="str">
        <f>IF(VLOOKUP(Table7[[#This Row],[Student_ID]],student_data[#All],5,0)&gt;8,"HIGH",IF(VLOOKUP(Table7[[#This Row],[Student_ID]],student_data[#All],5,0)&lt;6.5,"LOW","MEDIUM"))</f>
        <v>MEDIUM</v>
      </c>
    </row>
    <row r="689" spans="1:10" x14ac:dyDescent="0.2">
      <c r="A689" s="1" t="s">
        <v>698</v>
      </c>
      <c r="B689" s="1" t="str">
        <f>VLOOKUP(Table7[[#This Row],[Student_ID]],student_data[#All],2,0)</f>
        <v>Computer Science</v>
      </c>
      <c r="C689" s="1">
        <f>(VLOOKUP(Table7[[#This Row],[Student_ID]],student_data[],5,0)*5)+(VLOOKUP(Table7[[#This Row],[Student_ID]],student_data[],6,0)*3)+(VLOOKUP(Table7[[#This Row],[Student_ID]],student_skills[],6,0)*2)+(VLOOKUP(Table7[[#This Row],[Student_ID]],student_internships[],2,0)*5)</f>
        <v>42.349999999999994</v>
      </c>
      <c r="D689" s="1">
        <f>AVERAGE(VLOOKUP(Table7[[#This Row],[Student_ID]],student_skills[],3,0),VLOOKUP(Table7[[#This Row],[Student_ID]],student_skills[],4,0),VLOOKUP(Table7[[#This Row],[Student_ID]],student_skills[],5,0),VLOOKUP(Table7[[#This Row],[Student_ID]],student_skills[],6,0))</f>
        <v>3.75</v>
      </c>
      <c r="E689" s="1" t="str">
        <f>IF(VLOOKUP(Table7[[#This Row],[Student_ID]],student_internships[#All],2,0)&gt;1,"EXPERIENCED",IF(VLOOKUP(Table7[[#This Row],[Student_ID]],student_internships[#All],2,0)=1,"BEGINNER","NOT EXPERIENCED"))</f>
        <v>BEGINNER</v>
      </c>
      <c r="F689" s="1">
        <f>VLOOKUP(Table7[[#This Row],[Student_ID]],student_data[],5,0)</f>
        <v>6.27</v>
      </c>
      <c r="G689" s="1">
        <f>VLOOKUP(Table7[[#This Row],[Student_ID]],student_data[#All],6,0)</f>
        <v>0</v>
      </c>
      <c r="H689" s="1">
        <f>VLOOKUP(Table7[[#This Row],[Student_ID]],student_internships[],2,0)</f>
        <v>1</v>
      </c>
      <c r="I689" s="1">
        <f>VLOOKUP(Table7[[#This Row],[Student_ID]],Placements!A689:E1688,5,0)</f>
        <v>3.61</v>
      </c>
      <c r="J689" s="1" t="str">
        <f>IF(VLOOKUP(Table7[[#This Row],[Student_ID]],student_data[#All],5,0)&gt;8,"HIGH",IF(VLOOKUP(Table7[[#This Row],[Student_ID]],student_data[#All],5,0)&lt;6.5,"LOW","MEDIUM"))</f>
        <v>LOW</v>
      </c>
    </row>
    <row r="690" spans="1:10" x14ac:dyDescent="0.2">
      <c r="A690" s="1" t="s">
        <v>699</v>
      </c>
      <c r="B690" s="1" t="str">
        <f>VLOOKUP(Table7[[#This Row],[Student_ID]],student_data[#All],2,0)</f>
        <v>Information Technology</v>
      </c>
      <c r="C690" s="1">
        <f>(VLOOKUP(Table7[[#This Row],[Student_ID]],student_data[],5,0)*5)+(VLOOKUP(Table7[[#This Row],[Student_ID]],student_data[],6,0)*3)+(VLOOKUP(Table7[[#This Row],[Student_ID]],student_skills[],6,0)*2)+(VLOOKUP(Table7[[#This Row],[Student_ID]],student_internships[],2,0)*5)</f>
        <v>69.699999999999989</v>
      </c>
      <c r="D690" s="1">
        <f>AVERAGE(VLOOKUP(Table7[[#This Row],[Student_ID]],student_skills[],3,0),VLOOKUP(Table7[[#This Row],[Student_ID]],student_skills[],4,0),VLOOKUP(Table7[[#This Row],[Student_ID]],student_skills[],5,0),VLOOKUP(Table7[[#This Row],[Student_ID]],student_skills[],6,0))</f>
        <v>5.75</v>
      </c>
      <c r="E690" s="1" t="str">
        <f>IF(VLOOKUP(Table7[[#This Row],[Student_ID]],student_internships[#All],2,0)&gt;1,"EXPERIENCED",IF(VLOOKUP(Table7[[#This Row],[Student_ID]],student_internships[#All],2,0)=1,"BEGINNER","NOT EXPERIENCED"))</f>
        <v>BEGINNER</v>
      </c>
      <c r="F690" s="1">
        <f>VLOOKUP(Table7[[#This Row],[Student_ID]],student_data[],5,0)</f>
        <v>9.94</v>
      </c>
      <c r="G690" s="1">
        <f>VLOOKUP(Table7[[#This Row],[Student_ID]],student_data[#All],6,0)</f>
        <v>3</v>
      </c>
      <c r="H690" s="1">
        <f>VLOOKUP(Table7[[#This Row],[Student_ID]],student_internships[],2,0)</f>
        <v>1</v>
      </c>
      <c r="I690" s="1">
        <f>VLOOKUP(Table7[[#This Row],[Student_ID]],Placements!A690:E1689,5,0)</f>
        <v>4.33</v>
      </c>
      <c r="J690" s="1" t="str">
        <f>IF(VLOOKUP(Table7[[#This Row],[Student_ID]],student_data[#All],5,0)&gt;8,"HIGH",IF(VLOOKUP(Table7[[#This Row],[Student_ID]],student_data[#All],5,0)&lt;6.5,"LOW","MEDIUM"))</f>
        <v>HIGH</v>
      </c>
    </row>
    <row r="691" spans="1:10" x14ac:dyDescent="0.2">
      <c r="A691" s="1" t="s">
        <v>700</v>
      </c>
      <c r="B691" s="1" t="str">
        <f>VLOOKUP(Table7[[#This Row],[Student_ID]],student_data[#All],2,0)</f>
        <v>Computer Science</v>
      </c>
      <c r="C691" s="1">
        <f>(VLOOKUP(Table7[[#This Row],[Student_ID]],student_data[],5,0)*5)+(VLOOKUP(Table7[[#This Row],[Student_ID]],student_data[],6,0)*3)+(VLOOKUP(Table7[[#This Row],[Student_ID]],student_skills[],6,0)*2)+(VLOOKUP(Table7[[#This Row],[Student_ID]],student_internships[],2,0)*5)</f>
        <v>47.3</v>
      </c>
      <c r="D691" s="1">
        <f>AVERAGE(VLOOKUP(Table7[[#This Row],[Student_ID]],student_skills[],3,0),VLOOKUP(Table7[[#This Row],[Student_ID]],student_skills[],4,0),VLOOKUP(Table7[[#This Row],[Student_ID]],student_skills[],5,0),VLOOKUP(Table7[[#This Row],[Student_ID]],student_skills[],6,0))</f>
        <v>6.5</v>
      </c>
      <c r="E691" s="1" t="str">
        <f>IF(VLOOKUP(Table7[[#This Row],[Student_ID]],student_internships[#All],2,0)&gt;1,"EXPERIENCED",IF(VLOOKUP(Table7[[#This Row],[Student_ID]],student_internships[#All],2,0)=1,"BEGINNER","NOT EXPERIENCED"))</f>
        <v>NOT EXPERIENCED</v>
      </c>
      <c r="F691" s="1">
        <f>VLOOKUP(Table7[[#This Row],[Student_ID]],student_data[],5,0)</f>
        <v>6.46</v>
      </c>
      <c r="G691" s="1">
        <f>VLOOKUP(Table7[[#This Row],[Student_ID]],student_data[#All],6,0)</f>
        <v>1</v>
      </c>
      <c r="H691" s="1">
        <f>VLOOKUP(Table7[[#This Row],[Student_ID]],student_internships[],2,0)</f>
        <v>0</v>
      </c>
      <c r="I691" s="1">
        <f>VLOOKUP(Table7[[#This Row],[Student_ID]],Placements!A691:E1690,5,0)</f>
        <v>3.95</v>
      </c>
      <c r="J691" s="1" t="str">
        <f>IF(VLOOKUP(Table7[[#This Row],[Student_ID]],student_data[#All],5,0)&gt;8,"HIGH",IF(VLOOKUP(Table7[[#This Row],[Student_ID]],student_data[#All],5,0)&lt;6.5,"LOW","MEDIUM"))</f>
        <v>LOW</v>
      </c>
    </row>
    <row r="692" spans="1:10" x14ac:dyDescent="0.2">
      <c r="A692" s="1" t="s">
        <v>701</v>
      </c>
      <c r="B692" s="1" t="str">
        <f>VLOOKUP(Table7[[#This Row],[Student_ID]],student_data[#All],2,0)</f>
        <v>Computer Science</v>
      </c>
      <c r="C692" s="1">
        <f>(VLOOKUP(Table7[[#This Row],[Student_ID]],student_data[],5,0)*5)+(VLOOKUP(Table7[[#This Row],[Student_ID]],student_data[],6,0)*3)+(VLOOKUP(Table7[[#This Row],[Student_ID]],student_skills[],6,0)*2)+(VLOOKUP(Table7[[#This Row],[Student_ID]],student_internships[],2,0)*5)</f>
        <v>74.25</v>
      </c>
      <c r="D692" s="1">
        <f>AVERAGE(VLOOKUP(Table7[[#This Row],[Student_ID]],student_skills[],3,0),VLOOKUP(Table7[[#This Row],[Student_ID]],student_skills[],4,0),VLOOKUP(Table7[[#This Row],[Student_ID]],student_skills[],5,0),VLOOKUP(Table7[[#This Row],[Student_ID]],student_skills[],6,0))</f>
        <v>4.25</v>
      </c>
      <c r="E692" s="1" t="str">
        <f>IF(VLOOKUP(Table7[[#This Row],[Student_ID]],student_internships[#All],2,0)&gt;1,"EXPERIENCED",IF(VLOOKUP(Table7[[#This Row],[Student_ID]],student_internships[#All],2,0)=1,"BEGINNER","NOT EXPERIENCED"))</f>
        <v>EXPERIENCED</v>
      </c>
      <c r="F692" s="1">
        <f>VLOOKUP(Table7[[#This Row],[Student_ID]],student_data[],5,0)</f>
        <v>8.85</v>
      </c>
      <c r="G692" s="1">
        <f>VLOOKUP(Table7[[#This Row],[Student_ID]],student_data[#All],6,0)</f>
        <v>4</v>
      </c>
      <c r="H692" s="1">
        <f>VLOOKUP(Table7[[#This Row],[Student_ID]],student_internships[],2,0)</f>
        <v>2</v>
      </c>
      <c r="I692" s="1">
        <f>VLOOKUP(Table7[[#This Row],[Student_ID]],Placements!A692:E1691,5,0)</f>
        <v>4.32</v>
      </c>
      <c r="J692" s="1" t="str">
        <f>IF(VLOOKUP(Table7[[#This Row],[Student_ID]],student_data[#All],5,0)&gt;8,"HIGH",IF(VLOOKUP(Table7[[#This Row],[Student_ID]],student_data[#All],5,0)&lt;6.5,"LOW","MEDIUM"))</f>
        <v>HIGH</v>
      </c>
    </row>
    <row r="693" spans="1:10" x14ac:dyDescent="0.2">
      <c r="A693" s="1" t="s">
        <v>702</v>
      </c>
      <c r="B693" s="1" t="str">
        <f>VLOOKUP(Table7[[#This Row],[Student_ID]],student_data[#All],2,0)</f>
        <v>Mechanical</v>
      </c>
      <c r="C693" s="1">
        <f>(VLOOKUP(Table7[[#This Row],[Student_ID]],student_data[],5,0)*5)+(VLOOKUP(Table7[[#This Row],[Student_ID]],student_data[],6,0)*3)+(VLOOKUP(Table7[[#This Row],[Student_ID]],student_skills[],6,0)*2)+(VLOOKUP(Table7[[#This Row],[Student_ID]],student_internships[],2,0)*5)</f>
        <v>47.699999999999996</v>
      </c>
      <c r="D693" s="1">
        <f>AVERAGE(VLOOKUP(Table7[[#This Row],[Student_ID]],student_skills[],3,0),VLOOKUP(Table7[[#This Row],[Student_ID]],student_skills[],4,0),VLOOKUP(Table7[[#This Row],[Student_ID]],student_skills[],5,0),VLOOKUP(Table7[[#This Row],[Student_ID]],student_skills[],6,0))</f>
        <v>4</v>
      </c>
      <c r="E693" s="1" t="str">
        <f>IF(VLOOKUP(Table7[[#This Row],[Student_ID]],student_internships[#All],2,0)&gt;1,"EXPERIENCED",IF(VLOOKUP(Table7[[#This Row],[Student_ID]],student_internships[#All],2,0)=1,"BEGINNER","NOT EXPERIENCED"))</f>
        <v>NOT EXPERIENCED</v>
      </c>
      <c r="F693" s="1">
        <f>VLOOKUP(Table7[[#This Row],[Student_ID]],student_data[],5,0)</f>
        <v>7.14</v>
      </c>
      <c r="G693" s="1">
        <f>VLOOKUP(Table7[[#This Row],[Student_ID]],student_data[#All],6,0)</f>
        <v>0</v>
      </c>
      <c r="H693" s="1">
        <f>VLOOKUP(Table7[[#This Row],[Student_ID]],student_internships[],2,0)</f>
        <v>0</v>
      </c>
      <c r="I693" s="1">
        <f>VLOOKUP(Table7[[#This Row],[Student_ID]],Placements!A693:E1692,5,0)</f>
        <v>4.1900000000000004</v>
      </c>
      <c r="J693" s="1" t="str">
        <f>IF(VLOOKUP(Table7[[#This Row],[Student_ID]],student_data[#All],5,0)&gt;8,"HIGH",IF(VLOOKUP(Table7[[#This Row],[Student_ID]],student_data[#All],5,0)&lt;6.5,"LOW","MEDIUM"))</f>
        <v>MEDIUM</v>
      </c>
    </row>
    <row r="694" spans="1:10" x14ac:dyDescent="0.2">
      <c r="A694" s="1" t="s">
        <v>703</v>
      </c>
      <c r="B694" s="1" t="str">
        <f>VLOOKUP(Table7[[#This Row],[Student_ID]],student_data[#All],2,0)</f>
        <v>Information Technology</v>
      </c>
      <c r="C694" s="1">
        <f>(VLOOKUP(Table7[[#This Row],[Student_ID]],student_data[],5,0)*5)+(VLOOKUP(Table7[[#This Row],[Student_ID]],student_data[],6,0)*3)+(VLOOKUP(Table7[[#This Row],[Student_ID]],student_skills[],6,0)*2)+(VLOOKUP(Table7[[#This Row],[Student_ID]],student_internships[],2,0)*5)</f>
        <v>44.150000000000006</v>
      </c>
      <c r="D694" s="1">
        <f>AVERAGE(VLOOKUP(Table7[[#This Row],[Student_ID]],student_skills[],3,0),VLOOKUP(Table7[[#This Row],[Student_ID]],student_skills[],4,0),VLOOKUP(Table7[[#This Row],[Student_ID]],student_skills[],5,0),VLOOKUP(Table7[[#This Row],[Student_ID]],student_skills[],6,0))</f>
        <v>4.25</v>
      </c>
      <c r="E694" s="1" t="str">
        <f>IF(VLOOKUP(Table7[[#This Row],[Student_ID]],student_internships[#All],2,0)&gt;1,"EXPERIENCED",IF(VLOOKUP(Table7[[#This Row],[Student_ID]],student_internships[#All],2,0)=1,"BEGINNER","NOT EXPERIENCED"))</f>
        <v>BEGINNER</v>
      </c>
      <c r="F694" s="1">
        <f>VLOOKUP(Table7[[#This Row],[Student_ID]],student_data[],5,0)</f>
        <v>6.03</v>
      </c>
      <c r="G694" s="1">
        <f>VLOOKUP(Table7[[#This Row],[Student_ID]],student_data[#All],6,0)</f>
        <v>1</v>
      </c>
      <c r="H694" s="1">
        <f>VLOOKUP(Table7[[#This Row],[Student_ID]],student_internships[],2,0)</f>
        <v>1</v>
      </c>
      <c r="I694" s="1">
        <f>VLOOKUP(Table7[[#This Row],[Student_ID]],Placements!A694:E1693,5,0)</f>
        <v>0</v>
      </c>
      <c r="J694" s="1" t="str">
        <f>IF(VLOOKUP(Table7[[#This Row],[Student_ID]],student_data[#All],5,0)&gt;8,"HIGH",IF(VLOOKUP(Table7[[#This Row],[Student_ID]],student_data[#All],5,0)&lt;6.5,"LOW","MEDIUM"))</f>
        <v>LOW</v>
      </c>
    </row>
    <row r="695" spans="1:10" x14ac:dyDescent="0.2">
      <c r="A695" s="1" t="s">
        <v>704</v>
      </c>
      <c r="B695" s="1" t="str">
        <f>VLOOKUP(Table7[[#This Row],[Student_ID]],student_data[#All],2,0)</f>
        <v>Information Technology</v>
      </c>
      <c r="C695" s="1">
        <f>(VLOOKUP(Table7[[#This Row],[Student_ID]],student_data[],5,0)*5)+(VLOOKUP(Table7[[#This Row],[Student_ID]],student_data[],6,0)*3)+(VLOOKUP(Table7[[#This Row],[Student_ID]],student_skills[],6,0)*2)+(VLOOKUP(Table7[[#This Row],[Student_ID]],student_internships[],2,0)*5)</f>
        <v>73</v>
      </c>
      <c r="D695" s="1">
        <f>AVERAGE(VLOOKUP(Table7[[#This Row],[Student_ID]],student_skills[],3,0),VLOOKUP(Table7[[#This Row],[Student_ID]],student_skills[],4,0),VLOOKUP(Table7[[#This Row],[Student_ID]],student_skills[],5,0),VLOOKUP(Table7[[#This Row],[Student_ID]],student_skills[],6,0))</f>
        <v>5.25</v>
      </c>
      <c r="E695" s="1" t="str">
        <f>IF(VLOOKUP(Table7[[#This Row],[Student_ID]],student_internships[#All],2,0)&gt;1,"EXPERIENCED",IF(VLOOKUP(Table7[[#This Row],[Student_ID]],student_internships[#All],2,0)=1,"BEGINNER","NOT EXPERIENCED"))</f>
        <v>BEGINNER</v>
      </c>
      <c r="F695" s="1">
        <f>VLOOKUP(Table7[[#This Row],[Student_ID]],student_data[],5,0)</f>
        <v>9</v>
      </c>
      <c r="G695" s="1">
        <f>VLOOKUP(Table7[[#This Row],[Student_ID]],student_data[#All],6,0)</f>
        <v>5</v>
      </c>
      <c r="H695" s="1">
        <f>VLOOKUP(Table7[[#This Row],[Student_ID]],student_internships[],2,0)</f>
        <v>1</v>
      </c>
      <c r="I695" s="1">
        <f>VLOOKUP(Table7[[#This Row],[Student_ID]],Placements!A695:E1694,5,0)</f>
        <v>13.62</v>
      </c>
      <c r="J695" s="1" t="str">
        <f>IF(VLOOKUP(Table7[[#This Row],[Student_ID]],student_data[#All],5,0)&gt;8,"HIGH",IF(VLOOKUP(Table7[[#This Row],[Student_ID]],student_data[#All],5,0)&lt;6.5,"LOW","MEDIUM"))</f>
        <v>HIGH</v>
      </c>
    </row>
    <row r="696" spans="1:10" x14ac:dyDescent="0.2">
      <c r="A696" s="1" t="s">
        <v>705</v>
      </c>
      <c r="B696" s="1" t="str">
        <f>VLOOKUP(Table7[[#This Row],[Student_ID]],student_data[#All],2,0)</f>
        <v>Civil</v>
      </c>
      <c r="C696" s="1">
        <f>(VLOOKUP(Table7[[#This Row],[Student_ID]],student_data[],5,0)*5)+(VLOOKUP(Table7[[#This Row],[Student_ID]],student_data[],6,0)*3)+(VLOOKUP(Table7[[#This Row],[Student_ID]],student_skills[],6,0)*2)+(VLOOKUP(Table7[[#This Row],[Student_ID]],student_internships[],2,0)*5)</f>
        <v>59.35</v>
      </c>
      <c r="D696" s="1">
        <f>AVERAGE(VLOOKUP(Table7[[#This Row],[Student_ID]],student_skills[],3,0),VLOOKUP(Table7[[#This Row],[Student_ID]],student_skills[],4,0),VLOOKUP(Table7[[#This Row],[Student_ID]],student_skills[],5,0),VLOOKUP(Table7[[#This Row],[Student_ID]],student_skills[],6,0))</f>
        <v>5.75</v>
      </c>
      <c r="E696" s="1" t="str">
        <f>IF(VLOOKUP(Table7[[#This Row],[Student_ID]],student_internships[#All],2,0)&gt;1,"EXPERIENCED",IF(VLOOKUP(Table7[[#This Row],[Student_ID]],student_internships[#All],2,0)=1,"BEGINNER","NOT EXPERIENCED"))</f>
        <v>BEGINNER</v>
      </c>
      <c r="F696" s="1">
        <f>VLOOKUP(Table7[[#This Row],[Student_ID]],student_data[],5,0)</f>
        <v>6.67</v>
      </c>
      <c r="G696" s="1">
        <f>VLOOKUP(Table7[[#This Row],[Student_ID]],student_data[#All],6,0)</f>
        <v>1</v>
      </c>
      <c r="H696" s="1">
        <f>VLOOKUP(Table7[[#This Row],[Student_ID]],student_internships[],2,0)</f>
        <v>1</v>
      </c>
      <c r="I696" s="1">
        <f>VLOOKUP(Table7[[#This Row],[Student_ID]],Placements!A696:E1695,5,0)</f>
        <v>0</v>
      </c>
      <c r="J696" s="1" t="str">
        <f>IF(VLOOKUP(Table7[[#This Row],[Student_ID]],student_data[#All],5,0)&gt;8,"HIGH",IF(VLOOKUP(Table7[[#This Row],[Student_ID]],student_data[#All],5,0)&lt;6.5,"LOW","MEDIUM"))</f>
        <v>MEDIUM</v>
      </c>
    </row>
    <row r="697" spans="1:10" x14ac:dyDescent="0.2">
      <c r="A697" s="1" t="s">
        <v>706</v>
      </c>
      <c r="B697" s="1" t="str">
        <f>VLOOKUP(Table7[[#This Row],[Student_ID]],student_data[#All],2,0)</f>
        <v>Computer Science</v>
      </c>
      <c r="C697" s="1">
        <f>(VLOOKUP(Table7[[#This Row],[Student_ID]],student_data[],5,0)*5)+(VLOOKUP(Table7[[#This Row],[Student_ID]],student_data[],6,0)*3)+(VLOOKUP(Table7[[#This Row],[Student_ID]],student_skills[],6,0)*2)+(VLOOKUP(Table7[[#This Row],[Student_ID]],student_internships[],2,0)*5)</f>
        <v>56.65</v>
      </c>
      <c r="D697" s="1">
        <f>AVERAGE(VLOOKUP(Table7[[#This Row],[Student_ID]],student_skills[],3,0),VLOOKUP(Table7[[#This Row],[Student_ID]],student_skills[],4,0),VLOOKUP(Table7[[#This Row],[Student_ID]],student_skills[],5,0),VLOOKUP(Table7[[#This Row],[Student_ID]],student_skills[],6,0))</f>
        <v>5.75</v>
      </c>
      <c r="E697" s="1" t="str">
        <f>IF(VLOOKUP(Table7[[#This Row],[Student_ID]],student_internships[#All],2,0)&gt;1,"EXPERIENCED",IF(VLOOKUP(Table7[[#This Row],[Student_ID]],student_internships[#All],2,0)=1,"BEGINNER","NOT EXPERIENCED"))</f>
        <v>NOT EXPERIENCED</v>
      </c>
      <c r="F697" s="1">
        <f>VLOOKUP(Table7[[#This Row],[Student_ID]],student_data[],5,0)</f>
        <v>9.33</v>
      </c>
      <c r="G697" s="1">
        <f>VLOOKUP(Table7[[#This Row],[Student_ID]],student_data[#All],6,0)</f>
        <v>0</v>
      </c>
      <c r="H697" s="1">
        <f>VLOOKUP(Table7[[#This Row],[Student_ID]],student_internships[],2,0)</f>
        <v>0</v>
      </c>
      <c r="I697" s="1">
        <f>VLOOKUP(Table7[[#This Row],[Student_ID]],Placements!A697:E1696,5,0)</f>
        <v>0</v>
      </c>
      <c r="J697" s="1" t="str">
        <f>IF(VLOOKUP(Table7[[#This Row],[Student_ID]],student_data[#All],5,0)&gt;8,"HIGH",IF(VLOOKUP(Table7[[#This Row],[Student_ID]],student_data[#All],5,0)&lt;6.5,"LOW","MEDIUM"))</f>
        <v>HIGH</v>
      </c>
    </row>
    <row r="698" spans="1:10" x14ac:dyDescent="0.2">
      <c r="A698" s="1" t="s">
        <v>707</v>
      </c>
      <c r="B698" s="1" t="str">
        <f>VLOOKUP(Table7[[#This Row],[Student_ID]],student_data[#All],2,0)</f>
        <v>Computer Science</v>
      </c>
      <c r="C698" s="1">
        <f>(VLOOKUP(Table7[[#This Row],[Student_ID]],student_data[],5,0)*5)+(VLOOKUP(Table7[[#This Row],[Student_ID]],student_data[],6,0)*3)+(VLOOKUP(Table7[[#This Row],[Student_ID]],student_skills[],6,0)*2)+(VLOOKUP(Table7[[#This Row],[Student_ID]],student_internships[],2,0)*5)</f>
        <v>76.900000000000006</v>
      </c>
      <c r="D698" s="1">
        <f>AVERAGE(VLOOKUP(Table7[[#This Row],[Student_ID]],student_skills[],3,0),VLOOKUP(Table7[[#This Row],[Student_ID]],student_skills[],4,0),VLOOKUP(Table7[[#This Row],[Student_ID]],student_skills[],5,0),VLOOKUP(Table7[[#This Row],[Student_ID]],student_skills[],6,0))</f>
        <v>3.5</v>
      </c>
      <c r="E698" s="1" t="str">
        <f>IF(VLOOKUP(Table7[[#This Row],[Student_ID]],student_internships[#All],2,0)&gt;1,"EXPERIENCED",IF(VLOOKUP(Table7[[#This Row],[Student_ID]],student_internships[#All],2,0)=1,"BEGINNER","NOT EXPERIENCED"))</f>
        <v>NOT EXPERIENCED</v>
      </c>
      <c r="F698" s="1">
        <f>VLOOKUP(Table7[[#This Row],[Student_ID]],student_data[],5,0)</f>
        <v>9.58</v>
      </c>
      <c r="G698" s="1">
        <f>VLOOKUP(Table7[[#This Row],[Student_ID]],student_data[#All],6,0)</f>
        <v>5</v>
      </c>
      <c r="H698" s="1">
        <f>VLOOKUP(Table7[[#This Row],[Student_ID]],student_internships[],2,0)</f>
        <v>0</v>
      </c>
      <c r="I698" s="1">
        <f>VLOOKUP(Table7[[#This Row],[Student_ID]],Placements!A698:E1697,5,0)</f>
        <v>4.1100000000000003</v>
      </c>
      <c r="J698" s="1" t="str">
        <f>IF(VLOOKUP(Table7[[#This Row],[Student_ID]],student_data[#All],5,0)&gt;8,"HIGH",IF(VLOOKUP(Table7[[#This Row],[Student_ID]],student_data[#All],5,0)&lt;6.5,"LOW","MEDIUM"))</f>
        <v>HIGH</v>
      </c>
    </row>
    <row r="699" spans="1:10" x14ac:dyDescent="0.2">
      <c r="A699" s="1" t="s">
        <v>708</v>
      </c>
      <c r="B699" s="1" t="str">
        <f>VLOOKUP(Table7[[#This Row],[Student_ID]],student_data[#All],2,0)</f>
        <v>Electronics</v>
      </c>
      <c r="C699" s="1">
        <f>(VLOOKUP(Table7[[#This Row],[Student_ID]],student_data[],5,0)*5)+(VLOOKUP(Table7[[#This Row],[Student_ID]],student_data[],6,0)*3)+(VLOOKUP(Table7[[#This Row],[Student_ID]],student_skills[],6,0)*2)+(VLOOKUP(Table7[[#This Row],[Student_ID]],student_internships[],2,0)*5)</f>
        <v>74.5</v>
      </c>
      <c r="D699" s="1">
        <f>AVERAGE(VLOOKUP(Table7[[#This Row],[Student_ID]],student_skills[],3,0),VLOOKUP(Table7[[#This Row],[Student_ID]],student_skills[],4,0),VLOOKUP(Table7[[#This Row],[Student_ID]],student_skills[],5,0),VLOOKUP(Table7[[#This Row],[Student_ID]],student_skills[],6,0))</f>
        <v>6.25</v>
      </c>
      <c r="E699" s="1" t="str">
        <f>IF(VLOOKUP(Table7[[#This Row],[Student_ID]],student_internships[#All],2,0)&gt;1,"EXPERIENCED",IF(VLOOKUP(Table7[[#This Row],[Student_ID]],student_internships[#All],2,0)=1,"BEGINNER","NOT EXPERIENCED"))</f>
        <v>BEGINNER</v>
      </c>
      <c r="F699" s="1">
        <f>VLOOKUP(Table7[[#This Row],[Student_ID]],student_data[],5,0)</f>
        <v>9.3000000000000007</v>
      </c>
      <c r="G699" s="1">
        <f>VLOOKUP(Table7[[#This Row],[Student_ID]],student_data[#All],6,0)</f>
        <v>1</v>
      </c>
      <c r="H699" s="1">
        <f>VLOOKUP(Table7[[#This Row],[Student_ID]],student_internships[],2,0)</f>
        <v>1</v>
      </c>
      <c r="I699" s="1">
        <f>VLOOKUP(Table7[[#This Row],[Student_ID]],Placements!A699:E1698,5,0)</f>
        <v>0</v>
      </c>
      <c r="J699" s="1" t="str">
        <f>IF(VLOOKUP(Table7[[#This Row],[Student_ID]],student_data[#All],5,0)&gt;8,"HIGH",IF(VLOOKUP(Table7[[#This Row],[Student_ID]],student_data[#All],5,0)&lt;6.5,"LOW","MEDIUM"))</f>
        <v>HIGH</v>
      </c>
    </row>
    <row r="700" spans="1:10" x14ac:dyDescent="0.2">
      <c r="A700" s="1" t="s">
        <v>709</v>
      </c>
      <c r="B700" s="1" t="str">
        <f>VLOOKUP(Table7[[#This Row],[Student_ID]],student_data[#All],2,0)</f>
        <v>Civil</v>
      </c>
      <c r="C700" s="1">
        <f>(VLOOKUP(Table7[[#This Row],[Student_ID]],student_data[],5,0)*5)+(VLOOKUP(Table7[[#This Row],[Student_ID]],student_data[],6,0)*3)+(VLOOKUP(Table7[[#This Row],[Student_ID]],student_skills[],6,0)*2)+(VLOOKUP(Table7[[#This Row],[Student_ID]],student_internships[],2,0)*5)</f>
        <v>44.9</v>
      </c>
      <c r="D700" s="1">
        <f>AVERAGE(VLOOKUP(Table7[[#This Row],[Student_ID]],student_skills[],3,0),VLOOKUP(Table7[[#This Row],[Student_ID]],student_skills[],4,0),VLOOKUP(Table7[[#This Row],[Student_ID]],student_skills[],5,0),VLOOKUP(Table7[[#This Row],[Student_ID]],student_skills[],6,0))</f>
        <v>4.5</v>
      </c>
      <c r="E700" s="1" t="str">
        <f>IF(VLOOKUP(Table7[[#This Row],[Student_ID]],student_internships[#All],2,0)&gt;1,"EXPERIENCED",IF(VLOOKUP(Table7[[#This Row],[Student_ID]],student_internships[#All],2,0)=1,"BEGINNER","NOT EXPERIENCED"))</f>
        <v>NOT EXPERIENCED</v>
      </c>
      <c r="F700" s="1">
        <f>VLOOKUP(Table7[[#This Row],[Student_ID]],student_data[],5,0)</f>
        <v>5.18</v>
      </c>
      <c r="G700" s="1">
        <f>VLOOKUP(Table7[[#This Row],[Student_ID]],student_data[#All],6,0)</f>
        <v>5</v>
      </c>
      <c r="H700" s="1">
        <f>VLOOKUP(Table7[[#This Row],[Student_ID]],student_internships[],2,0)</f>
        <v>0</v>
      </c>
      <c r="I700" s="1">
        <f>VLOOKUP(Table7[[#This Row],[Student_ID]],Placements!A700:E1699,5,0)</f>
        <v>4.53</v>
      </c>
      <c r="J700" s="1" t="str">
        <f>IF(VLOOKUP(Table7[[#This Row],[Student_ID]],student_data[#All],5,0)&gt;8,"HIGH",IF(VLOOKUP(Table7[[#This Row],[Student_ID]],student_data[#All],5,0)&lt;6.5,"LOW","MEDIUM"))</f>
        <v>LOW</v>
      </c>
    </row>
    <row r="701" spans="1:10" x14ac:dyDescent="0.2">
      <c r="A701" s="1" t="s">
        <v>710</v>
      </c>
      <c r="B701" s="1" t="str">
        <f>VLOOKUP(Table7[[#This Row],[Student_ID]],student_data[#All],2,0)</f>
        <v>Electronics</v>
      </c>
      <c r="C701" s="1">
        <f>(VLOOKUP(Table7[[#This Row],[Student_ID]],student_data[],5,0)*5)+(VLOOKUP(Table7[[#This Row],[Student_ID]],student_data[],6,0)*3)+(VLOOKUP(Table7[[#This Row],[Student_ID]],student_skills[],6,0)*2)+(VLOOKUP(Table7[[#This Row],[Student_ID]],student_internships[],2,0)*5)</f>
        <v>59.699999999999996</v>
      </c>
      <c r="D701" s="1">
        <f>AVERAGE(VLOOKUP(Table7[[#This Row],[Student_ID]],student_skills[],3,0),VLOOKUP(Table7[[#This Row],[Student_ID]],student_skills[],4,0),VLOOKUP(Table7[[#This Row],[Student_ID]],student_skills[],5,0),VLOOKUP(Table7[[#This Row],[Student_ID]],student_skills[],6,0))</f>
        <v>4.5</v>
      </c>
      <c r="E701" s="1" t="str">
        <f>IF(VLOOKUP(Table7[[#This Row],[Student_ID]],student_internships[#All],2,0)&gt;1,"EXPERIENCED",IF(VLOOKUP(Table7[[#This Row],[Student_ID]],student_internships[#All],2,0)=1,"BEGINNER","NOT EXPERIENCED"))</f>
        <v>BEGINNER</v>
      </c>
      <c r="F701" s="1">
        <f>VLOOKUP(Table7[[#This Row],[Student_ID]],student_data[],5,0)</f>
        <v>8.94</v>
      </c>
      <c r="G701" s="1">
        <f>VLOOKUP(Table7[[#This Row],[Student_ID]],student_data[#All],6,0)</f>
        <v>0</v>
      </c>
      <c r="H701" s="1">
        <f>VLOOKUP(Table7[[#This Row],[Student_ID]],student_internships[],2,0)</f>
        <v>1</v>
      </c>
      <c r="I701" s="1">
        <f>VLOOKUP(Table7[[#This Row],[Student_ID]],Placements!A701:E1700,5,0)</f>
        <v>4.5</v>
      </c>
      <c r="J701" s="1" t="str">
        <f>IF(VLOOKUP(Table7[[#This Row],[Student_ID]],student_data[#All],5,0)&gt;8,"HIGH",IF(VLOOKUP(Table7[[#This Row],[Student_ID]],student_data[#All],5,0)&lt;6.5,"LOW","MEDIUM"))</f>
        <v>HIGH</v>
      </c>
    </row>
    <row r="702" spans="1:10" x14ac:dyDescent="0.2">
      <c r="A702" s="1" t="s">
        <v>711</v>
      </c>
      <c r="B702" s="1" t="str">
        <f>VLOOKUP(Table7[[#This Row],[Student_ID]],student_data[#All],2,0)</f>
        <v>Electronics</v>
      </c>
      <c r="C702" s="1">
        <f>(VLOOKUP(Table7[[#This Row],[Student_ID]],student_data[],5,0)*5)+(VLOOKUP(Table7[[#This Row],[Student_ID]],student_data[],6,0)*3)+(VLOOKUP(Table7[[#This Row],[Student_ID]],student_skills[],6,0)*2)+(VLOOKUP(Table7[[#This Row],[Student_ID]],student_internships[],2,0)*5)</f>
        <v>53.3</v>
      </c>
      <c r="D702" s="1">
        <f>AVERAGE(VLOOKUP(Table7[[#This Row],[Student_ID]],student_skills[],3,0),VLOOKUP(Table7[[#This Row],[Student_ID]],student_skills[],4,0),VLOOKUP(Table7[[#This Row],[Student_ID]],student_skills[],5,0),VLOOKUP(Table7[[#This Row],[Student_ID]],student_skills[],6,0))</f>
        <v>6.75</v>
      </c>
      <c r="E702" s="1" t="str">
        <f>IF(VLOOKUP(Table7[[#This Row],[Student_ID]],student_internships[#All],2,0)&gt;1,"EXPERIENCED",IF(VLOOKUP(Table7[[#This Row],[Student_ID]],student_internships[#All],2,0)=1,"BEGINNER","NOT EXPERIENCED"))</f>
        <v>NOT EXPERIENCED</v>
      </c>
      <c r="F702" s="1">
        <f>VLOOKUP(Table7[[#This Row],[Student_ID]],student_data[],5,0)</f>
        <v>7.06</v>
      </c>
      <c r="G702" s="1">
        <f>VLOOKUP(Table7[[#This Row],[Student_ID]],student_data[#All],6,0)</f>
        <v>0</v>
      </c>
      <c r="H702" s="1">
        <f>VLOOKUP(Table7[[#This Row],[Student_ID]],student_internships[],2,0)</f>
        <v>0</v>
      </c>
      <c r="I702" s="1">
        <f>VLOOKUP(Table7[[#This Row],[Student_ID]],Placements!A702:E1701,5,0)</f>
        <v>5.43</v>
      </c>
      <c r="J702" s="1" t="str">
        <f>IF(VLOOKUP(Table7[[#This Row],[Student_ID]],student_data[#All],5,0)&gt;8,"HIGH",IF(VLOOKUP(Table7[[#This Row],[Student_ID]],student_data[#All],5,0)&lt;6.5,"LOW","MEDIUM"))</f>
        <v>MEDIUM</v>
      </c>
    </row>
    <row r="703" spans="1:10" x14ac:dyDescent="0.2">
      <c r="A703" s="1" t="s">
        <v>712</v>
      </c>
      <c r="B703" s="1" t="str">
        <f>VLOOKUP(Table7[[#This Row],[Student_ID]],student_data[#All],2,0)</f>
        <v>Electronics</v>
      </c>
      <c r="C703" s="1">
        <f>(VLOOKUP(Table7[[#This Row],[Student_ID]],student_data[],5,0)*5)+(VLOOKUP(Table7[[#This Row],[Student_ID]],student_data[],6,0)*3)+(VLOOKUP(Table7[[#This Row],[Student_ID]],student_skills[],6,0)*2)+(VLOOKUP(Table7[[#This Row],[Student_ID]],student_internships[],2,0)*5)</f>
        <v>72.849999999999994</v>
      </c>
      <c r="D703" s="1">
        <f>AVERAGE(VLOOKUP(Table7[[#This Row],[Student_ID]],student_skills[],3,0),VLOOKUP(Table7[[#This Row],[Student_ID]],student_skills[],4,0),VLOOKUP(Table7[[#This Row],[Student_ID]],student_skills[],5,0),VLOOKUP(Table7[[#This Row],[Student_ID]],student_skills[],6,0))</f>
        <v>5.25</v>
      </c>
      <c r="E703" s="1" t="str">
        <f>IF(VLOOKUP(Table7[[#This Row],[Student_ID]],student_internships[#All],2,0)&gt;1,"EXPERIENCED",IF(VLOOKUP(Table7[[#This Row],[Student_ID]],student_internships[#All],2,0)=1,"BEGINNER","NOT EXPERIENCED"))</f>
        <v>BEGINNER</v>
      </c>
      <c r="F703" s="1">
        <f>VLOOKUP(Table7[[#This Row],[Student_ID]],student_data[],5,0)</f>
        <v>9.3699999999999992</v>
      </c>
      <c r="G703" s="1">
        <f>VLOOKUP(Table7[[#This Row],[Student_ID]],student_data[#All],6,0)</f>
        <v>5</v>
      </c>
      <c r="H703" s="1">
        <f>VLOOKUP(Table7[[#This Row],[Student_ID]],student_internships[],2,0)</f>
        <v>1</v>
      </c>
      <c r="I703" s="1">
        <f>VLOOKUP(Table7[[#This Row],[Student_ID]],Placements!A703:E1702,5,0)</f>
        <v>4.1900000000000004</v>
      </c>
      <c r="J703" s="1" t="str">
        <f>IF(VLOOKUP(Table7[[#This Row],[Student_ID]],student_data[#All],5,0)&gt;8,"HIGH",IF(VLOOKUP(Table7[[#This Row],[Student_ID]],student_data[#All],5,0)&lt;6.5,"LOW","MEDIUM"))</f>
        <v>HIGH</v>
      </c>
    </row>
    <row r="704" spans="1:10" x14ac:dyDescent="0.2">
      <c r="A704" s="1" t="s">
        <v>713</v>
      </c>
      <c r="B704" s="1" t="str">
        <f>VLOOKUP(Table7[[#This Row],[Student_ID]],student_data[#All],2,0)</f>
        <v>Mechanical</v>
      </c>
      <c r="C704" s="1">
        <f>(VLOOKUP(Table7[[#This Row],[Student_ID]],student_data[],5,0)*5)+(VLOOKUP(Table7[[#This Row],[Student_ID]],student_data[],6,0)*3)+(VLOOKUP(Table7[[#This Row],[Student_ID]],student_skills[],6,0)*2)+(VLOOKUP(Table7[[#This Row],[Student_ID]],student_internships[],2,0)*5)</f>
        <v>69.949999999999989</v>
      </c>
      <c r="D704" s="1">
        <f>AVERAGE(VLOOKUP(Table7[[#This Row],[Student_ID]],student_skills[],3,0),VLOOKUP(Table7[[#This Row],[Student_ID]],student_skills[],4,0),VLOOKUP(Table7[[#This Row],[Student_ID]],student_skills[],5,0),VLOOKUP(Table7[[#This Row],[Student_ID]],student_skills[],6,0))</f>
        <v>6.25</v>
      </c>
      <c r="E704" s="1" t="str">
        <f>IF(VLOOKUP(Table7[[#This Row],[Student_ID]],student_internships[#All],2,0)&gt;1,"EXPERIENCED",IF(VLOOKUP(Table7[[#This Row],[Student_ID]],student_internships[#All],2,0)=1,"BEGINNER","NOT EXPERIENCED"))</f>
        <v>BEGINNER</v>
      </c>
      <c r="F704" s="1">
        <f>VLOOKUP(Table7[[#This Row],[Student_ID]],student_data[],5,0)</f>
        <v>8.19</v>
      </c>
      <c r="G704" s="1">
        <f>VLOOKUP(Table7[[#This Row],[Student_ID]],student_data[#All],6,0)</f>
        <v>2</v>
      </c>
      <c r="H704" s="1">
        <f>VLOOKUP(Table7[[#This Row],[Student_ID]],student_internships[],2,0)</f>
        <v>1</v>
      </c>
      <c r="I704" s="1">
        <f>VLOOKUP(Table7[[#This Row],[Student_ID]],Placements!A704:E1703,5,0)</f>
        <v>5.65</v>
      </c>
      <c r="J704" s="1" t="str">
        <f>IF(VLOOKUP(Table7[[#This Row],[Student_ID]],student_data[#All],5,0)&gt;8,"HIGH",IF(VLOOKUP(Table7[[#This Row],[Student_ID]],student_data[#All],5,0)&lt;6.5,"LOW","MEDIUM"))</f>
        <v>HIGH</v>
      </c>
    </row>
    <row r="705" spans="1:10" x14ac:dyDescent="0.2">
      <c r="A705" s="1" t="s">
        <v>714</v>
      </c>
      <c r="B705" s="1" t="str">
        <f>VLOOKUP(Table7[[#This Row],[Student_ID]],student_data[#All],2,0)</f>
        <v>Mechanical</v>
      </c>
      <c r="C705" s="1">
        <f>(VLOOKUP(Table7[[#This Row],[Student_ID]],student_data[],5,0)*5)+(VLOOKUP(Table7[[#This Row],[Student_ID]],student_data[],6,0)*3)+(VLOOKUP(Table7[[#This Row],[Student_ID]],student_skills[],6,0)*2)+(VLOOKUP(Table7[[#This Row],[Student_ID]],student_internships[],2,0)*5)</f>
        <v>66.849999999999994</v>
      </c>
      <c r="D705" s="1">
        <f>AVERAGE(VLOOKUP(Table7[[#This Row],[Student_ID]],student_skills[],3,0),VLOOKUP(Table7[[#This Row],[Student_ID]],student_skills[],4,0),VLOOKUP(Table7[[#This Row],[Student_ID]],student_skills[],5,0),VLOOKUP(Table7[[#This Row],[Student_ID]],student_skills[],6,0))</f>
        <v>5.25</v>
      </c>
      <c r="E705" s="1" t="str">
        <f>IF(VLOOKUP(Table7[[#This Row],[Student_ID]],student_internships[#All],2,0)&gt;1,"EXPERIENCED",IF(VLOOKUP(Table7[[#This Row],[Student_ID]],student_internships[#All],2,0)=1,"BEGINNER","NOT EXPERIENCED"))</f>
        <v>NOT EXPERIENCED</v>
      </c>
      <c r="F705" s="1">
        <f>VLOOKUP(Table7[[#This Row],[Student_ID]],student_data[],5,0)</f>
        <v>9.17</v>
      </c>
      <c r="G705" s="1">
        <f>VLOOKUP(Table7[[#This Row],[Student_ID]],student_data[#All],6,0)</f>
        <v>3</v>
      </c>
      <c r="H705" s="1">
        <f>VLOOKUP(Table7[[#This Row],[Student_ID]],student_internships[],2,0)</f>
        <v>0</v>
      </c>
      <c r="I705" s="1">
        <f>VLOOKUP(Table7[[#This Row],[Student_ID]],Placements!A705:E1704,5,0)</f>
        <v>4.3</v>
      </c>
      <c r="J705" s="1" t="str">
        <f>IF(VLOOKUP(Table7[[#This Row],[Student_ID]],student_data[#All],5,0)&gt;8,"HIGH",IF(VLOOKUP(Table7[[#This Row],[Student_ID]],student_data[#All],5,0)&lt;6.5,"LOW","MEDIUM"))</f>
        <v>HIGH</v>
      </c>
    </row>
    <row r="706" spans="1:10" x14ac:dyDescent="0.2">
      <c r="A706" s="1" t="s">
        <v>715</v>
      </c>
      <c r="B706" s="1" t="str">
        <f>VLOOKUP(Table7[[#This Row],[Student_ID]],student_data[#All],2,0)</f>
        <v>Electronics</v>
      </c>
      <c r="C706" s="1">
        <f>(VLOOKUP(Table7[[#This Row],[Student_ID]],student_data[],5,0)*5)+(VLOOKUP(Table7[[#This Row],[Student_ID]],student_data[],6,0)*3)+(VLOOKUP(Table7[[#This Row],[Student_ID]],student_skills[],6,0)*2)+(VLOOKUP(Table7[[#This Row],[Student_ID]],student_internships[],2,0)*5)</f>
        <v>53.5</v>
      </c>
      <c r="D706" s="1">
        <f>AVERAGE(VLOOKUP(Table7[[#This Row],[Student_ID]],student_skills[],3,0),VLOOKUP(Table7[[#This Row],[Student_ID]],student_skills[],4,0),VLOOKUP(Table7[[#This Row],[Student_ID]],student_skills[],5,0),VLOOKUP(Table7[[#This Row],[Student_ID]],student_skills[],6,0))</f>
        <v>4.25</v>
      </c>
      <c r="E706" s="1" t="str">
        <f>IF(VLOOKUP(Table7[[#This Row],[Student_ID]],student_internships[#All],2,0)&gt;1,"EXPERIENCED",IF(VLOOKUP(Table7[[#This Row],[Student_ID]],student_internships[#All],2,0)=1,"BEGINNER","NOT EXPERIENCED"))</f>
        <v>BEGINNER</v>
      </c>
      <c r="F706" s="1">
        <f>VLOOKUP(Table7[[#This Row],[Student_ID]],student_data[],5,0)</f>
        <v>7.5</v>
      </c>
      <c r="G706" s="1">
        <f>VLOOKUP(Table7[[#This Row],[Student_ID]],student_data[#All],6,0)</f>
        <v>1</v>
      </c>
      <c r="H706" s="1">
        <f>VLOOKUP(Table7[[#This Row],[Student_ID]],student_internships[],2,0)</f>
        <v>1</v>
      </c>
      <c r="I706" s="1">
        <f>VLOOKUP(Table7[[#This Row],[Student_ID]],Placements!A706:E1705,5,0)</f>
        <v>3.92</v>
      </c>
      <c r="J706" s="1" t="str">
        <f>IF(VLOOKUP(Table7[[#This Row],[Student_ID]],student_data[#All],5,0)&gt;8,"HIGH",IF(VLOOKUP(Table7[[#This Row],[Student_ID]],student_data[#All],5,0)&lt;6.5,"LOW","MEDIUM"))</f>
        <v>MEDIUM</v>
      </c>
    </row>
    <row r="707" spans="1:10" x14ac:dyDescent="0.2">
      <c r="A707" s="1" t="s">
        <v>716</v>
      </c>
      <c r="B707" s="1" t="str">
        <f>VLOOKUP(Table7[[#This Row],[Student_ID]],student_data[#All],2,0)</f>
        <v>Civil</v>
      </c>
      <c r="C707" s="1">
        <f>(VLOOKUP(Table7[[#This Row],[Student_ID]],student_data[],5,0)*5)+(VLOOKUP(Table7[[#This Row],[Student_ID]],student_data[],6,0)*3)+(VLOOKUP(Table7[[#This Row],[Student_ID]],student_skills[],6,0)*2)+(VLOOKUP(Table7[[#This Row],[Student_ID]],student_internships[],2,0)*5)</f>
        <v>55.4</v>
      </c>
      <c r="D707" s="1">
        <f>AVERAGE(VLOOKUP(Table7[[#This Row],[Student_ID]],student_skills[],3,0),VLOOKUP(Table7[[#This Row],[Student_ID]],student_skills[],4,0),VLOOKUP(Table7[[#This Row],[Student_ID]],student_skills[],5,0),VLOOKUP(Table7[[#This Row],[Student_ID]],student_skills[],6,0))</f>
        <v>4.5</v>
      </c>
      <c r="E707" s="1" t="str">
        <f>IF(VLOOKUP(Table7[[#This Row],[Student_ID]],student_internships[#All],2,0)&gt;1,"EXPERIENCED",IF(VLOOKUP(Table7[[#This Row],[Student_ID]],student_internships[#All],2,0)=1,"BEGINNER","NOT EXPERIENCED"))</f>
        <v>NOT EXPERIENCED</v>
      </c>
      <c r="F707" s="1">
        <f>VLOOKUP(Table7[[#This Row],[Student_ID]],student_data[],5,0)</f>
        <v>7.68</v>
      </c>
      <c r="G707" s="1">
        <f>VLOOKUP(Table7[[#This Row],[Student_ID]],student_data[#All],6,0)</f>
        <v>1</v>
      </c>
      <c r="H707" s="1">
        <f>VLOOKUP(Table7[[#This Row],[Student_ID]],student_internships[],2,0)</f>
        <v>0</v>
      </c>
      <c r="I707" s="1">
        <f>VLOOKUP(Table7[[#This Row],[Student_ID]],Placements!A707:E1706,5,0)</f>
        <v>4.12</v>
      </c>
      <c r="J707" s="1" t="str">
        <f>IF(VLOOKUP(Table7[[#This Row],[Student_ID]],student_data[#All],5,0)&gt;8,"HIGH",IF(VLOOKUP(Table7[[#This Row],[Student_ID]],student_data[#All],5,0)&lt;6.5,"LOW","MEDIUM"))</f>
        <v>MEDIUM</v>
      </c>
    </row>
    <row r="708" spans="1:10" x14ac:dyDescent="0.2">
      <c r="A708" s="1" t="s">
        <v>717</v>
      </c>
      <c r="B708" s="1" t="str">
        <f>VLOOKUP(Table7[[#This Row],[Student_ID]],student_data[#All],2,0)</f>
        <v>Computer Science</v>
      </c>
      <c r="C708" s="1">
        <f>(VLOOKUP(Table7[[#This Row],[Student_ID]],student_data[],5,0)*5)+(VLOOKUP(Table7[[#This Row],[Student_ID]],student_data[],6,0)*3)+(VLOOKUP(Table7[[#This Row],[Student_ID]],student_skills[],6,0)*2)+(VLOOKUP(Table7[[#This Row],[Student_ID]],student_internships[],2,0)*5)</f>
        <v>50.599999999999994</v>
      </c>
      <c r="D708" s="1">
        <f>AVERAGE(VLOOKUP(Table7[[#This Row],[Student_ID]],student_skills[],3,0),VLOOKUP(Table7[[#This Row],[Student_ID]],student_skills[],4,0),VLOOKUP(Table7[[#This Row],[Student_ID]],student_skills[],5,0),VLOOKUP(Table7[[#This Row],[Student_ID]],student_skills[],6,0))</f>
        <v>3.75</v>
      </c>
      <c r="E708" s="1" t="str">
        <f>IF(VLOOKUP(Table7[[#This Row],[Student_ID]],student_internships[#All],2,0)&gt;1,"EXPERIENCED",IF(VLOOKUP(Table7[[#This Row],[Student_ID]],student_internships[#All],2,0)=1,"BEGINNER","NOT EXPERIENCED"))</f>
        <v>NOT EXPERIENCED</v>
      </c>
      <c r="F708" s="1">
        <f>VLOOKUP(Table7[[#This Row],[Student_ID]],student_data[],5,0)</f>
        <v>5.72</v>
      </c>
      <c r="G708" s="1">
        <f>VLOOKUP(Table7[[#This Row],[Student_ID]],student_data[#All],6,0)</f>
        <v>2</v>
      </c>
      <c r="H708" s="1">
        <f>VLOOKUP(Table7[[#This Row],[Student_ID]],student_internships[],2,0)</f>
        <v>0</v>
      </c>
      <c r="I708" s="1">
        <f>VLOOKUP(Table7[[#This Row],[Student_ID]],Placements!A708:E1707,5,0)</f>
        <v>5.41</v>
      </c>
      <c r="J708" s="1" t="str">
        <f>IF(VLOOKUP(Table7[[#This Row],[Student_ID]],student_data[#All],5,0)&gt;8,"HIGH",IF(VLOOKUP(Table7[[#This Row],[Student_ID]],student_data[#All],5,0)&lt;6.5,"LOW","MEDIUM"))</f>
        <v>LOW</v>
      </c>
    </row>
    <row r="709" spans="1:10" x14ac:dyDescent="0.2">
      <c r="A709" s="1" t="s">
        <v>718</v>
      </c>
      <c r="B709" s="1" t="str">
        <f>VLOOKUP(Table7[[#This Row],[Student_ID]],student_data[#All],2,0)</f>
        <v>Civil</v>
      </c>
      <c r="C709" s="1">
        <f>(VLOOKUP(Table7[[#This Row],[Student_ID]],student_data[],5,0)*5)+(VLOOKUP(Table7[[#This Row],[Student_ID]],student_data[],6,0)*3)+(VLOOKUP(Table7[[#This Row],[Student_ID]],student_skills[],6,0)*2)+(VLOOKUP(Table7[[#This Row],[Student_ID]],student_internships[],2,0)*5)</f>
        <v>77.599999999999994</v>
      </c>
      <c r="D709" s="1">
        <f>AVERAGE(VLOOKUP(Table7[[#This Row],[Student_ID]],student_skills[],3,0),VLOOKUP(Table7[[#This Row],[Student_ID]],student_skills[],4,0),VLOOKUP(Table7[[#This Row],[Student_ID]],student_skills[],5,0),VLOOKUP(Table7[[#This Row],[Student_ID]],student_skills[],6,0))</f>
        <v>4.5</v>
      </c>
      <c r="E709" s="1" t="str">
        <f>IF(VLOOKUP(Table7[[#This Row],[Student_ID]],student_internships[#All],2,0)&gt;1,"EXPERIENCED",IF(VLOOKUP(Table7[[#This Row],[Student_ID]],student_internships[#All],2,0)=1,"BEGINNER","NOT EXPERIENCED"))</f>
        <v>EXPERIENCED</v>
      </c>
      <c r="F709" s="1">
        <f>VLOOKUP(Table7[[#This Row],[Student_ID]],student_data[],5,0)</f>
        <v>8.92</v>
      </c>
      <c r="G709" s="1">
        <f>VLOOKUP(Table7[[#This Row],[Student_ID]],student_data[#All],6,0)</f>
        <v>2</v>
      </c>
      <c r="H709" s="1">
        <f>VLOOKUP(Table7[[#This Row],[Student_ID]],student_internships[],2,0)</f>
        <v>3</v>
      </c>
      <c r="I709" s="1">
        <f>VLOOKUP(Table7[[#This Row],[Student_ID]],Placements!A709:E1708,5,0)</f>
        <v>4.5599999999999996</v>
      </c>
      <c r="J709" s="1" t="str">
        <f>IF(VLOOKUP(Table7[[#This Row],[Student_ID]],student_data[#All],5,0)&gt;8,"HIGH",IF(VLOOKUP(Table7[[#This Row],[Student_ID]],student_data[#All],5,0)&lt;6.5,"LOW","MEDIUM"))</f>
        <v>HIGH</v>
      </c>
    </row>
    <row r="710" spans="1:10" x14ac:dyDescent="0.2">
      <c r="A710" s="1" t="s">
        <v>719</v>
      </c>
      <c r="B710" s="1" t="str">
        <f>VLOOKUP(Table7[[#This Row],[Student_ID]],student_data[#All],2,0)</f>
        <v>Information Technology</v>
      </c>
      <c r="C710" s="1">
        <f>(VLOOKUP(Table7[[#This Row],[Student_ID]],student_data[],5,0)*5)+(VLOOKUP(Table7[[#This Row],[Student_ID]],student_data[],6,0)*3)+(VLOOKUP(Table7[[#This Row],[Student_ID]],student_skills[],6,0)*2)+(VLOOKUP(Table7[[#This Row],[Student_ID]],student_internships[],2,0)*5)</f>
        <v>56.5</v>
      </c>
      <c r="D710" s="1">
        <f>AVERAGE(VLOOKUP(Table7[[#This Row],[Student_ID]],student_skills[],3,0),VLOOKUP(Table7[[#This Row],[Student_ID]],student_skills[],4,0),VLOOKUP(Table7[[#This Row],[Student_ID]],student_skills[],5,0),VLOOKUP(Table7[[#This Row],[Student_ID]],student_skills[],6,0))</f>
        <v>5.75</v>
      </c>
      <c r="E710" s="1" t="str">
        <f>IF(VLOOKUP(Table7[[#This Row],[Student_ID]],student_internships[#All],2,0)&gt;1,"EXPERIENCED",IF(VLOOKUP(Table7[[#This Row],[Student_ID]],student_internships[#All],2,0)=1,"BEGINNER","NOT EXPERIENCED"))</f>
        <v>BEGINNER</v>
      </c>
      <c r="F710" s="1">
        <f>VLOOKUP(Table7[[#This Row],[Student_ID]],student_data[],5,0)</f>
        <v>7.1</v>
      </c>
      <c r="G710" s="1">
        <f>VLOOKUP(Table7[[#This Row],[Student_ID]],student_data[#All],6,0)</f>
        <v>2</v>
      </c>
      <c r="H710" s="1">
        <f>VLOOKUP(Table7[[#This Row],[Student_ID]],student_internships[],2,0)</f>
        <v>1</v>
      </c>
      <c r="I710" s="1">
        <f>VLOOKUP(Table7[[#This Row],[Student_ID]],Placements!A710:E1709,5,0)</f>
        <v>5.19</v>
      </c>
      <c r="J710" s="1" t="str">
        <f>IF(VLOOKUP(Table7[[#This Row],[Student_ID]],student_data[#All],5,0)&gt;8,"HIGH",IF(VLOOKUP(Table7[[#This Row],[Student_ID]],student_data[#All],5,0)&lt;6.5,"LOW","MEDIUM"))</f>
        <v>MEDIUM</v>
      </c>
    </row>
    <row r="711" spans="1:10" x14ac:dyDescent="0.2">
      <c r="A711" s="1" t="s">
        <v>720</v>
      </c>
      <c r="B711" s="1" t="str">
        <f>VLOOKUP(Table7[[#This Row],[Student_ID]],student_data[#All],2,0)</f>
        <v>Mechanical</v>
      </c>
      <c r="C711" s="1">
        <f>(VLOOKUP(Table7[[#This Row],[Student_ID]],student_data[],5,0)*5)+(VLOOKUP(Table7[[#This Row],[Student_ID]],student_data[],6,0)*3)+(VLOOKUP(Table7[[#This Row],[Student_ID]],student_skills[],6,0)*2)+(VLOOKUP(Table7[[#This Row],[Student_ID]],student_internships[],2,0)*5)</f>
        <v>71.5</v>
      </c>
      <c r="D711" s="1">
        <f>AVERAGE(VLOOKUP(Table7[[#This Row],[Student_ID]],student_skills[],3,0),VLOOKUP(Table7[[#This Row],[Student_ID]],student_skills[],4,0),VLOOKUP(Table7[[#This Row],[Student_ID]],student_skills[],5,0),VLOOKUP(Table7[[#This Row],[Student_ID]],student_skills[],6,0))</f>
        <v>5.75</v>
      </c>
      <c r="E711" s="1" t="str">
        <f>IF(VLOOKUP(Table7[[#This Row],[Student_ID]],student_internships[#All],2,0)&gt;1,"EXPERIENCED",IF(VLOOKUP(Table7[[#This Row],[Student_ID]],student_internships[#All],2,0)=1,"BEGINNER","NOT EXPERIENCED"))</f>
        <v>EXPERIENCED</v>
      </c>
      <c r="F711" s="1">
        <f>VLOOKUP(Table7[[#This Row],[Student_ID]],student_data[],5,0)</f>
        <v>7.5</v>
      </c>
      <c r="G711" s="1">
        <f>VLOOKUP(Table7[[#This Row],[Student_ID]],student_data[#All],6,0)</f>
        <v>4</v>
      </c>
      <c r="H711" s="1">
        <f>VLOOKUP(Table7[[#This Row],[Student_ID]],student_internships[],2,0)</f>
        <v>2</v>
      </c>
      <c r="I711" s="1">
        <f>VLOOKUP(Table7[[#This Row],[Student_ID]],Placements!A711:E1710,5,0)</f>
        <v>4.1100000000000003</v>
      </c>
      <c r="J711" s="1" t="str">
        <f>IF(VLOOKUP(Table7[[#This Row],[Student_ID]],student_data[#All],5,0)&gt;8,"HIGH",IF(VLOOKUP(Table7[[#This Row],[Student_ID]],student_data[#All],5,0)&lt;6.5,"LOW","MEDIUM"))</f>
        <v>MEDIUM</v>
      </c>
    </row>
    <row r="712" spans="1:10" x14ac:dyDescent="0.2">
      <c r="A712" s="1" t="s">
        <v>721</v>
      </c>
      <c r="B712" s="1" t="str">
        <f>VLOOKUP(Table7[[#This Row],[Student_ID]],student_data[#All],2,0)</f>
        <v>Computer Science</v>
      </c>
      <c r="C712" s="1">
        <f>(VLOOKUP(Table7[[#This Row],[Student_ID]],student_data[],5,0)*5)+(VLOOKUP(Table7[[#This Row],[Student_ID]],student_data[],6,0)*3)+(VLOOKUP(Table7[[#This Row],[Student_ID]],student_skills[],6,0)*2)+(VLOOKUP(Table7[[#This Row],[Student_ID]],student_internships[],2,0)*5)</f>
        <v>66.650000000000006</v>
      </c>
      <c r="D712" s="1">
        <f>AVERAGE(VLOOKUP(Table7[[#This Row],[Student_ID]],student_skills[],3,0),VLOOKUP(Table7[[#This Row],[Student_ID]],student_skills[],4,0),VLOOKUP(Table7[[#This Row],[Student_ID]],student_skills[],5,0),VLOOKUP(Table7[[#This Row],[Student_ID]],student_skills[],6,0))</f>
        <v>3</v>
      </c>
      <c r="E712" s="1" t="str">
        <f>IF(VLOOKUP(Table7[[#This Row],[Student_ID]],student_internships[#All],2,0)&gt;1,"EXPERIENCED",IF(VLOOKUP(Table7[[#This Row],[Student_ID]],student_internships[#All],2,0)=1,"BEGINNER","NOT EXPERIENCED"))</f>
        <v>NOT EXPERIENCED</v>
      </c>
      <c r="F712" s="1">
        <f>VLOOKUP(Table7[[#This Row],[Student_ID]],student_data[],5,0)</f>
        <v>8.93</v>
      </c>
      <c r="G712" s="1">
        <f>VLOOKUP(Table7[[#This Row],[Student_ID]],student_data[#All],6,0)</f>
        <v>4</v>
      </c>
      <c r="H712" s="1">
        <f>VLOOKUP(Table7[[#This Row],[Student_ID]],student_internships[],2,0)</f>
        <v>0</v>
      </c>
      <c r="I712" s="1">
        <f>VLOOKUP(Table7[[#This Row],[Student_ID]],Placements!A712:E1711,5,0)</f>
        <v>5.03</v>
      </c>
      <c r="J712" s="1" t="str">
        <f>IF(VLOOKUP(Table7[[#This Row],[Student_ID]],student_data[#All],5,0)&gt;8,"HIGH",IF(VLOOKUP(Table7[[#This Row],[Student_ID]],student_data[#All],5,0)&lt;6.5,"LOW","MEDIUM"))</f>
        <v>HIGH</v>
      </c>
    </row>
    <row r="713" spans="1:10" x14ac:dyDescent="0.2">
      <c r="A713" s="1" t="s">
        <v>722</v>
      </c>
      <c r="B713" s="1" t="str">
        <f>VLOOKUP(Table7[[#This Row],[Student_ID]],student_data[#All],2,0)</f>
        <v>Computer Science</v>
      </c>
      <c r="C713" s="1">
        <f>(VLOOKUP(Table7[[#This Row],[Student_ID]],student_data[],5,0)*5)+(VLOOKUP(Table7[[#This Row],[Student_ID]],student_data[],6,0)*3)+(VLOOKUP(Table7[[#This Row],[Student_ID]],student_skills[],6,0)*2)+(VLOOKUP(Table7[[#This Row],[Student_ID]],student_internships[],2,0)*5)</f>
        <v>75.95</v>
      </c>
      <c r="D713" s="1">
        <f>AVERAGE(VLOOKUP(Table7[[#This Row],[Student_ID]],student_skills[],3,0),VLOOKUP(Table7[[#This Row],[Student_ID]],student_skills[],4,0),VLOOKUP(Table7[[#This Row],[Student_ID]],student_skills[],5,0),VLOOKUP(Table7[[#This Row],[Student_ID]],student_skills[],6,0))</f>
        <v>6.25</v>
      </c>
      <c r="E713" s="1" t="str">
        <f>IF(VLOOKUP(Table7[[#This Row],[Student_ID]],student_internships[#All],2,0)&gt;1,"EXPERIENCED",IF(VLOOKUP(Table7[[#This Row],[Student_ID]],student_internships[#All],2,0)=1,"BEGINNER","NOT EXPERIENCED"))</f>
        <v>BEGINNER</v>
      </c>
      <c r="F713" s="1">
        <f>VLOOKUP(Table7[[#This Row],[Student_ID]],student_data[],5,0)</f>
        <v>7.99</v>
      </c>
      <c r="G713" s="1">
        <f>VLOOKUP(Table7[[#This Row],[Student_ID]],student_data[#All],6,0)</f>
        <v>5</v>
      </c>
      <c r="H713" s="1">
        <f>VLOOKUP(Table7[[#This Row],[Student_ID]],student_internships[],2,0)</f>
        <v>1</v>
      </c>
      <c r="I713" s="1">
        <f>VLOOKUP(Table7[[#This Row],[Student_ID]],Placements!A713:E1712,5,0)</f>
        <v>0</v>
      </c>
      <c r="J713" s="1" t="str">
        <f>IF(VLOOKUP(Table7[[#This Row],[Student_ID]],student_data[#All],5,0)&gt;8,"HIGH",IF(VLOOKUP(Table7[[#This Row],[Student_ID]],student_data[#All],5,0)&lt;6.5,"LOW","MEDIUM"))</f>
        <v>MEDIUM</v>
      </c>
    </row>
    <row r="714" spans="1:10" x14ac:dyDescent="0.2">
      <c r="A714" s="1" t="s">
        <v>723</v>
      </c>
      <c r="B714" s="1" t="str">
        <f>VLOOKUP(Table7[[#This Row],[Student_ID]],student_data[#All],2,0)</f>
        <v>Information Technology</v>
      </c>
      <c r="C714" s="1">
        <f>(VLOOKUP(Table7[[#This Row],[Student_ID]],student_data[],5,0)*5)+(VLOOKUP(Table7[[#This Row],[Student_ID]],student_data[],6,0)*3)+(VLOOKUP(Table7[[#This Row],[Student_ID]],student_skills[],6,0)*2)+(VLOOKUP(Table7[[#This Row],[Student_ID]],student_internships[],2,0)*5)</f>
        <v>54.05</v>
      </c>
      <c r="D714" s="1">
        <f>AVERAGE(VLOOKUP(Table7[[#This Row],[Student_ID]],student_skills[],3,0),VLOOKUP(Table7[[#This Row],[Student_ID]],student_skills[],4,0),VLOOKUP(Table7[[#This Row],[Student_ID]],student_skills[],5,0),VLOOKUP(Table7[[#This Row],[Student_ID]],student_skills[],6,0))</f>
        <v>6.25</v>
      </c>
      <c r="E714" s="1" t="str">
        <f>IF(VLOOKUP(Table7[[#This Row],[Student_ID]],student_internships[#All],2,0)&gt;1,"EXPERIENCED",IF(VLOOKUP(Table7[[#This Row],[Student_ID]],student_internships[#All],2,0)=1,"BEGINNER","NOT EXPERIENCED"))</f>
        <v>EXPERIENCED</v>
      </c>
      <c r="F714" s="1">
        <f>VLOOKUP(Table7[[#This Row],[Student_ID]],student_data[],5,0)</f>
        <v>6.01</v>
      </c>
      <c r="G714" s="1">
        <f>VLOOKUP(Table7[[#This Row],[Student_ID]],student_data[#All],6,0)</f>
        <v>4</v>
      </c>
      <c r="H714" s="1">
        <f>VLOOKUP(Table7[[#This Row],[Student_ID]],student_internships[],2,0)</f>
        <v>2</v>
      </c>
      <c r="I714" s="1">
        <f>VLOOKUP(Table7[[#This Row],[Student_ID]],Placements!A714:E1713,5,0)</f>
        <v>9.39</v>
      </c>
      <c r="J714" s="1" t="str">
        <f>IF(VLOOKUP(Table7[[#This Row],[Student_ID]],student_data[#All],5,0)&gt;8,"HIGH",IF(VLOOKUP(Table7[[#This Row],[Student_ID]],student_data[#All],5,0)&lt;6.5,"LOW","MEDIUM"))</f>
        <v>LOW</v>
      </c>
    </row>
    <row r="715" spans="1:10" x14ac:dyDescent="0.2">
      <c r="A715" s="1" t="s">
        <v>724</v>
      </c>
      <c r="B715" s="1" t="str">
        <f>VLOOKUP(Table7[[#This Row],[Student_ID]],student_data[#All],2,0)</f>
        <v>Information Technology</v>
      </c>
      <c r="C715" s="1">
        <f>(VLOOKUP(Table7[[#This Row],[Student_ID]],student_data[],5,0)*5)+(VLOOKUP(Table7[[#This Row],[Student_ID]],student_data[],6,0)*3)+(VLOOKUP(Table7[[#This Row],[Student_ID]],student_skills[],6,0)*2)+(VLOOKUP(Table7[[#This Row],[Student_ID]],student_internships[],2,0)*5)</f>
        <v>58.75</v>
      </c>
      <c r="D715" s="1">
        <f>AVERAGE(VLOOKUP(Table7[[#This Row],[Student_ID]],student_skills[],3,0),VLOOKUP(Table7[[#This Row],[Student_ID]],student_skills[],4,0),VLOOKUP(Table7[[#This Row],[Student_ID]],student_skills[],5,0),VLOOKUP(Table7[[#This Row],[Student_ID]],student_skills[],6,0))</f>
        <v>5.5</v>
      </c>
      <c r="E715" s="1" t="str">
        <f>IF(VLOOKUP(Table7[[#This Row],[Student_ID]],student_internships[#All],2,0)&gt;1,"EXPERIENCED",IF(VLOOKUP(Table7[[#This Row],[Student_ID]],student_internships[#All],2,0)=1,"BEGINNER","NOT EXPERIENCED"))</f>
        <v>BEGINNER</v>
      </c>
      <c r="F715" s="1">
        <f>VLOOKUP(Table7[[#This Row],[Student_ID]],student_data[],5,0)</f>
        <v>7.95</v>
      </c>
      <c r="G715" s="1">
        <f>VLOOKUP(Table7[[#This Row],[Student_ID]],student_data[#All],6,0)</f>
        <v>0</v>
      </c>
      <c r="H715" s="1">
        <f>VLOOKUP(Table7[[#This Row],[Student_ID]],student_internships[],2,0)</f>
        <v>1</v>
      </c>
      <c r="I715" s="1">
        <f>VLOOKUP(Table7[[#This Row],[Student_ID]],Placements!A715:E1714,5,0)</f>
        <v>4.5</v>
      </c>
      <c r="J715" s="1" t="str">
        <f>IF(VLOOKUP(Table7[[#This Row],[Student_ID]],student_data[#All],5,0)&gt;8,"HIGH",IF(VLOOKUP(Table7[[#This Row],[Student_ID]],student_data[#All],5,0)&lt;6.5,"LOW","MEDIUM"))</f>
        <v>MEDIUM</v>
      </c>
    </row>
    <row r="716" spans="1:10" x14ac:dyDescent="0.2">
      <c r="A716" s="1" t="s">
        <v>725</v>
      </c>
      <c r="B716" s="1" t="str">
        <f>VLOOKUP(Table7[[#This Row],[Student_ID]],student_data[#All],2,0)</f>
        <v>Electronics</v>
      </c>
      <c r="C716" s="1">
        <f>(VLOOKUP(Table7[[#This Row],[Student_ID]],student_data[],5,0)*5)+(VLOOKUP(Table7[[#This Row],[Student_ID]],student_data[],6,0)*3)+(VLOOKUP(Table7[[#This Row],[Student_ID]],student_skills[],6,0)*2)+(VLOOKUP(Table7[[#This Row],[Student_ID]],student_internships[],2,0)*5)</f>
        <v>75.2</v>
      </c>
      <c r="D716" s="1">
        <f>AVERAGE(VLOOKUP(Table7[[#This Row],[Student_ID]],student_skills[],3,0),VLOOKUP(Table7[[#This Row],[Student_ID]],student_skills[],4,0),VLOOKUP(Table7[[#This Row],[Student_ID]],student_skills[],5,0),VLOOKUP(Table7[[#This Row],[Student_ID]],student_skills[],6,0))</f>
        <v>5.75</v>
      </c>
      <c r="E716" s="1" t="str">
        <f>IF(VLOOKUP(Table7[[#This Row],[Student_ID]],student_internships[#All],2,0)&gt;1,"EXPERIENCED",IF(VLOOKUP(Table7[[#This Row],[Student_ID]],student_internships[#All],2,0)=1,"BEGINNER","NOT EXPERIENCED"))</f>
        <v>BEGINNER</v>
      </c>
      <c r="F716" s="1">
        <f>VLOOKUP(Table7[[#This Row],[Student_ID]],student_data[],5,0)</f>
        <v>7.04</v>
      </c>
      <c r="G716" s="1">
        <f>VLOOKUP(Table7[[#This Row],[Student_ID]],student_data[#All],6,0)</f>
        <v>5</v>
      </c>
      <c r="H716" s="1">
        <f>VLOOKUP(Table7[[#This Row],[Student_ID]],student_internships[],2,0)</f>
        <v>1</v>
      </c>
      <c r="I716" s="1">
        <f>VLOOKUP(Table7[[#This Row],[Student_ID]],Placements!A716:E1715,5,0)</f>
        <v>4.1900000000000004</v>
      </c>
      <c r="J716" s="1" t="str">
        <f>IF(VLOOKUP(Table7[[#This Row],[Student_ID]],student_data[#All],5,0)&gt;8,"HIGH",IF(VLOOKUP(Table7[[#This Row],[Student_ID]],student_data[#All],5,0)&lt;6.5,"LOW","MEDIUM"))</f>
        <v>MEDIUM</v>
      </c>
    </row>
    <row r="717" spans="1:10" x14ac:dyDescent="0.2">
      <c r="A717" s="1" t="s">
        <v>726</v>
      </c>
      <c r="B717" s="1" t="str">
        <f>VLOOKUP(Table7[[#This Row],[Student_ID]],student_data[#All],2,0)</f>
        <v>Mechanical</v>
      </c>
      <c r="C717" s="1">
        <f>(VLOOKUP(Table7[[#This Row],[Student_ID]],student_data[],5,0)*5)+(VLOOKUP(Table7[[#This Row],[Student_ID]],student_data[],6,0)*3)+(VLOOKUP(Table7[[#This Row],[Student_ID]],student_skills[],6,0)*2)+(VLOOKUP(Table7[[#This Row],[Student_ID]],student_internships[],2,0)*5)</f>
        <v>64.75</v>
      </c>
      <c r="D717" s="1">
        <f>AVERAGE(VLOOKUP(Table7[[#This Row],[Student_ID]],student_skills[],3,0),VLOOKUP(Table7[[#This Row],[Student_ID]],student_skills[],4,0),VLOOKUP(Table7[[#This Row],[Student_ID]],student_skills[],5,0),VLOOKUP(Table7[[#This Row],[Student_ID]],student_skills[],6,0))</f>
        <v>6</v>
      </c>
      <c r="E717" s="1" t="str">
        <f>IF(VLOOKUP(Table7[[#This Row],[Student_ID]],student_internships[#All],2,0)&gt;1,"EXPERIENCED",IF(VLOOKUP(Table7[[#This Row],[Student_ID]],student_internships[#All],2,0)=1,"BEGINNER","NOT EXPERIENCED"))</f>
        <v>BEGINNER</v>
      </c>
      <c r="F717" s="1">
        <f>VLOOKUP(Table7[[#This Row],[Student_ID]],student_data[],5,0)</f>
        <v>7.35</v>
      </c>
      <c r="G717" s="1">
        <f>VLOOKUP(Table7[[#This Row],[Student_ID]],student_data[#All],6,0)</f>
        <v>1</v>
      </c>
      <c r="H717" s="1">
        <f>VLOOKUP(Table7[[#This Row],[Student_ID]],student_internships[],2,0)</f>
        <v>1</v>
      </c>
      <c r="I717" s="1">
        <f>VLOOKUP(Table7[[#This Row],[Student_ID]],Placements!A717:E1716,5,0)</f>
        <v>4.3499999999999996</v>
      </c>
      <c r="J717" s="1" t="str">
        <f>IF(VLOOKUP(Table7[[#This Row],[Student_ID]],student_data[#All],5,0)&gt;8,"HIGH",IF(VLOOKUP(Table7[[#This Row],[Student_ID]],student_data[#All],5,0)&lt;6.5,"LOW","MEDIUM"))</f>
        <v>MEDIUM</v>
      </c>
    </row>
    <row r="718" spans="1:10" x14ac:dyDescent="0.2">
      <c r="A718" s="1" t="s">
        <v>727</v>
      </c>
      <c r="B718" s="1" t="str">
        <f>VLOOKUP(Table7[[#This Row],[Student_ID]],student_data[#All],2,0)</f>
        <v>Mechanical</v>
      </c>
      <c r="C718" s="1">
        <f>(VLOOKUP(Table7[[#This Row],[Student_ID]],student_data[],5,0)*5)+(VLOOKUP(Table7[[#This Row],[Student_ID]],student_data[],6,0)*3)+(VLOOKUP(Table7[[#This Row],[Student_ID]],student_skills[],6,0)*2)+(VLOOKUP(Table7[[#This Row],[Student_ID]],student_internships[],2,0)*5)</f>
        <v>43.7</v>
      </c>
      <c r="D718" s="1">
        <f>AVERAGE(VLOOKUP(Table7[[#This Row],[Student_ID]],student_skills[],3,0),VLOOKUP(Table7[[#This Row],[Student_ID]],student_skills[],4,0),VLOOKUP(Table7[[#This Row],[Student_ID]],student_skills[],5,0),VLOOKUP(Table7[[#This Row],[Student_ID]],student_skills[],6,0))</f>
        <v>5.75</v>
      </c>
      <c r="E718" s="1" t="str">
        <f>IF(VLOOKUP(Table7[[#This Row],[Student_ID]],student_internships[#All],2,0)&gt;1,"EXPERIENCED",IF(VLOOKUP(Table7[[#This Row],[Student_ID]],student_internships[#All],2,0)=1,"BEGINNER","NOT EXPERIENCED"))</f>
        <v>BEGINNER</v>
      </c>
      <c r="F718" s="1">
        <f>VLOOKUP(Table7[[#This Row],[Student_ID]],student_data[],5,0)</f>
        <v>5.14</v>
      </c>
      <c r="G718" s="1">
        <f>VLOOKUP(Table7[[#This Row],[Student_ID]],student_data[#All],6,0)</f>
        <v>3</v>
      </c>
      <c r="H718" s="1">
        <f>VLOOKUP(Table7[[#This Row],[Student_ID]],student_internships[],2,0)</f>
        <v>1</v>
      </c>
      <c r="I718" s="1">
        <f>VLOOKUP(Table7[[#This Row],[Student_ID]],Placements!A718:E1717,5,0)</f>
        <v>4.12</v>
      </c>
      <c r="J718" s="1" t="str">
        <f>IF(VLOOKUP(Table7[[#This Row],[Student_ID]],student_data[#All],5,0)&gt;8,"HIGH",IF(VLOOKUP(Table7[[#This Row],[Student_ID]],student_data[#All],5,0)&lt;6.5,"LOW","MEDIUM"))</f>
        <v>LOW</v>
      </c>
    </row>
    <row r="719" spans="1:10" x14ac:dyDescent="0.2">
      <c r="A719" s="1" t="s">
        <v>728</v>
      </c>
      <c r="B719" s="1" t="str">
        <f>VLOOKUP(Table7[[#This Row],[Student_ID]],student_data[#All],2,0)</f>
        <v>Civil</v>
      </c>
      <c r="C719" s="1">
        <f>(VLOOKUP(Table7[[#This Row],[Student_ID]],student_data[],5,0)*5)+(VLOOKUP(Table7[[#This Row],[Student_ID]],student_data[],6,0)*3)+(VLOOKUP(Table7[[#This Row],[Student_ID]],student_skills[],6,0)*2)+(VLOOKUP(Table7[[#This Row],[Student_ID]],student_internships[],2,0)*5)</f>
        <v>63.25</v>
      </c>
      <c r="D719" s="1">
        <f>AVERAGE(VLOOKUP(Table7[[#This Row],[Student_ID]],student_skills[],3,0),VLOOKUP(Table7[[#This Row],[Student_ID]],student_skills[],4,0),VLOOKUP(Table7[[#This Row],[Student_ID]],student_skills[],5,0),VLOOKUP(Table7[[#This Row],[Student_ID]],student_skills[],6,0))</f>
        <v>6.5</v>
      </c>
      <c r="E719" s="1" t="str">
        <f>IF(VLOOKUP(Table7[[#This Row],[Student_ID]],student_internships[#All],2,0)&gt;1,"EXPERIENCED",IF(VLOOKUP(Table7[[#This Row],[Student_ID]],student_internships[#All],2,0)=1,"BEGINNER","NOT EXPERIENCED"))</f>
        <v>EXPERIENCED</v>
      </c>
      <c r="F719" s="1">
        <f>VLOOKUP(Table7[[#This Row],[Student_ID]],student_data[],5,0)</f>
        <v>6.05</v>
      </c>
      <c r="G719" s="1">
        <f>VLOOKUP(Table7[[#This Row],[Student_ID]],student_data[#All],6,0)</f>
        <v>0</v>
      </c>
      <c r="H719" s="1">
        <f>VLOOKUP(Table7[[#This Row],[Student_ID]],student_internships[],2,0)</f>
        <v>3</v>
      </c>
      <c r="I719" s="1">
        <f>VLOOKUP(Table7[[#This Row],[Student_ID]],Placements!A719:E1718,5,0)</f>
        <v>5.13</v>
      </c>
      <c r="J719" s="1" t="str">
        <f>IF(VLOOKUP(Table7[[#This Row],[Student_ID]],student_data[#All],5,0)&gt;8,"HIGH",IF(VLOOKUP(Table7[[#This Row],[Student_ID]],student_data[#All],5,0)&lt;6.5,"LOW","MEDIUM"))</f>
        <v>LOW</v>
      </c>
    </row>
    <row r="720" spans="1:10" x14ac:dyDescent="0.2">
      <c r="A720" s="1" t="s">
        <v>729</v>
      </c>
      <c r="B720" s="1" t="str">
        <f>VLOOKUP(Table7[[#This Row],[Student_ID]],student_data[#All],2,0)</f>
        <v>Electronics</v>
      </c>
      <c r="C720" s="1">
        <f>(VLOOKUP(Table7[[#This Row],[Student_ID]],student_data[],5,0)*5)+(VLOOKUP(Table7[[#This Row],[Student_ID]],student_data[],6,0)*3)+(VLOOKUP(Table7[[#This Row],[Student_ID]],student_skills[],6,0)*2)+(VLOOKUP(Table7[[#This Row],[Student_ID]],student_internships[],2,0)*5)</f>
        <v>47.05</v>
      </c>
      <c r="D720" s="1">
        <f>AVERAGE(VLOOKUP(Table7[[#This Row],[Student_ID]],student_skills[],3,0),VLOOKUP(Table7[[#This Row],[Student_ID]],student_skills[],4,0),VLOOKUP(Table7[[#This Row],[Student_ID]],student_skills[],5,0),VLOOKUP(Table7[[#This Row],[Student_ID]],student_skills[],6,0))</f>
        <v>2.75</v>
      </c>
      <c r="E720" s="1" t="str">
        <f>IF(VLOOKUP(Table7[[#This Row],[Student_ID]],student_internships[#All],2,0)&gt;1,"EXPERIENCED",IF(VLOOKUP(Table7[[#This Row],[Student_ID]],student_internships[#All],2,0)=1,"BEGINNER","NOT EXPERIENCED"))</f>
        <v>EXPERIENCED</v>
      </c>
      <c r="F720" s="1">
        <f>VLOOKUP(Table7[[#This Row],[Student_ID]],student_data[],5,0)</f>
        <v>6.41</v>
      </c>
      <c r="G720" s="1">
        <f>VLOOKUP(Table7[[#This Row],[Student_ID]],student_data[#All],6,0)</f>
        <v>1</v>
      </c>
      <c r="H720" s="1">
        <f>VLOOKUP(Table7[[#This Row],[Student_ID]],student_internships[],2,0)</f>
        <v>2</v>
      </c>
      <c r="I720" s="1">
        <f>VLOOKUP(Table7[[#This Row],[Student_ID]],Placements!A720:E1719,5,0)</f>
        <v>0</v>
      </c>
      <c r="J720" s="1" t="str">
        <f>IF(VLOOKUP(Table7[[#This Row],[Student_ID]],student_data[#All],5,0)&gt;8,"HIGH",IF(VLOOKUP(Table7[[#This Row],[Student_ID]],student_data[#All],5,0)&lt;6.5,"LOW","MEDIUM"))</f>
        <v>LOW</v>
      </c>
    </row>
    <row r="721" spans="1:10" x14ac:dyDescent="0.2">
      <c r="A721" s="1" t="s">
        <v>730</v>
      </c>
      <c r="B721" s="1" t="str">
        <f>VLOOKUP(Table7[[#This Row],[Student_ID]],student_data[#All],2,0)</f>
        <v>Electronics</v>
      </c>
      <c r="C721" s="1">
        <f>(VLOOKUP(Table7[[#This Row],[Student_ID]],student_data[],5,0)*5)+(VLOOKUP(Table7[[#This Row],[Student_ID]],student_data[],6,0)*3)+(VLOOKUP(Table7[[#This Row],[Student_ID]],student_skills[],6,0)*2)+(VLOOKUP(Table7[[#This Row],[Student_ID]],student_internships[],2,0)*5)</f>
        <v>80.800000000000011</v>
      </c>
      <c r="D721" s="1">
        <f>AVERAGE(VLOOKUP(Table7[[#This Row],[Student_ID]],student_skills[],3,0),VLOOKUP(Table7[[#This Row],[Student_ID]],student_skills[],4,0),VLOOKUP(Table7[[#This Row],[Student_ID]],student_skills[],5,0),VLOOKUP(Table7[[#This Row],[Student_ID]],student_skills[],6,0))</f>
        <v>4.25</v>
      </c>
      <c r="E721" s="1" t="str">
        <f>IF(VLOOKUP(Table7[[#This Row],[Student_ID]],student_internships[#All],2,0)&gt;1,"EXPERIENCED",IF(VLOOKUP(Table7[[#This Row],[Student_ID]],student_internships[#All],2,0)=1,"BEGINNER","NOT EXPERIENCED"))</f>
        <v>EXPERIENCED</v>
      </c>
      <c r="F721" s="1">
        <f>VLOOKUP(Table7[[#This Row],[Student_ID]],student_data[],5,0)</f>
        <v>8.56</v>
      </c>
      <c r="G721" s="1">
        <f>VLOOKUP(Table7[[#This Row],[Student_ID]],student_data[#All],6,0)</f>
        <v>1</v>
      </c>
      <c r="H721" s="1">
        <f>VLOOKUP(Table7[[#This Row],[Student_ID]],student_internships[],2,0)</f>
        <v>3</v>
      </c>
      <c r="I721" s="1">
        <f>VLOOKUP(Table7[[#This Row],[Student_ID]],Placements!A721:E1720,5,0)</f>
        <v>5.65</v>
      </c>
      <c r="J721" s="1" t="str">
        <f>IF(VLOOKUP(Table7[[#This Row],[Student_ID]],student_data[#All],5,0)&gt;8,"HIGH",IF(VLOOKUP(Table7[[#This Row],[Student_ID]],student_data[#All],5,0)&lt;6.5,"LOW","MEDIUM"))</f>
        <v>HIGH</v>
      </c>
    </row>
    <row r="722" spans="1:10" x14ac:dyDescent="0.2">
      <c r="A722" s="1" t="s">
        <v>731</v>
      </c>
      <c r="B722" s="1" t="str">
        <f>VLOOKUP(Table7[[#This Row],[Student_ID]],student_data[#All],2,0)</f>
        <v>Electronics</v>
      </c>
      <c r="C722" s="1">
        <f>(VLOOKUP(Table7[[#This Row],[Student_ID]],student_data[],5,0)*5)+(VLOOKUP(Table7[[#This Row],[Student_ID]],student_data[],6,0)*3)+(VLOOKUP(Table7[[#This Row],[Student_ID]],student_skills[],6,0)*2)+(VLOOKUP(Table7[[#This Row],[Student_ID]],student_internships[],2,0)*5)</f>
        <v>52.3</v>
      </c>
      <c r="D722" s="1">
        <f>AVERAGE(VLOOKUP(Table7[[#This Row],[Student_ID]],student_skills[],3,0),VLOOKUP(Table7[[#This Row],[Student_ID]],student_skills[],4,0),VLOOKUP(Table7[[#This Row],[Student_ID]],student_skills[],5,0),VLOOKUP(Table7[[#This Row],[Student_ID]],student_skills[],6,0))</f>
        <v>7.5</v>
      </c>
      <c r="E722" s="1" t="str">
        <f>IF(VLOOKUP(Table7[[#This Row],[Student_ID]],student_internships[#All],2,0)&gt;1,"EXPERIENCED",IF(VLOOKUP(Table7[[#This Row],[Student_ID]],student_internships[#All],2,0)=1,"BEGINNER","NOT EXPERIENCED"))</f>
        <v>NOT EXPERIENCED</v>
      </c>
      <c r="F722" s="1">
        <f>VLOOKUP(Table7[[#This Row],[Student_ID]],student_data[],5,0)</f>
        <v>5.0599999999999996</v>
      </c>
      <c r="G722" s="1">
        <f>VLOOKUP(Table7[[#This Row],[Student_ID]],student_data[#All],6,0)</f>
        <v>5</v>
      </c>
      <c r="H722" s="1">
        <f>VLOOKUP(Table7[[#This Row],[Student_ID]],student_internships[],2,0)</f>
        <v>0</v>
      </c>
      <c r="I722" s="1">
        <f>VLOOKUP(Table7[[#This Row],[Student_ID]],Placements!A722:E1721,5,0)</f>
        <v>5.19</v>
      </c>
      <c r="J722" s="1" t="str">
        <f>IF(VLOOKUP(Table7[[#This Row],[Student_ID]],student_data[#All],5,0)&gt;8,"HIGH",IF(VLOOKUP(Table7[[#This Row],[Student_ID]],student_data[#All],5,0)&lt;6.5,"LOW","MEDIUM"))</f>
        <v>LOW</v>
      </c>
    </row>
    <row r="723" spans="1:10" x14ac:dyDescent="0.2">
      <c r="A723" s="1" t="s">
        <v>732</v>
      </c>
      <c r="B723" s="1" t="str">
        <f>VLOOKUP(Table7[[#This Row],[Student_ID]],student_data[#All],2,0)</f>
        <v>Electronics</v>
      </c>
      <c r="C723" s="1">
        <f>(VLOOKUP(Table7[[#This Row],[Student_ID]],student_data[],5,0)*5)+(VLOOKUP(Table7[[#This Row],[Student_ID]],student_data[],6,0)*3)+(VLOOKUP(Table7[[#This Row],[Student_ID]],student_skills[],6,0)*2)+(VLOOKUP(Table7[[#This Row],[Student_ID]],student_internships[],2,0)*5)</f>
        <v>69.2</v>
      </c>
      <c r="D723" s="1">
        <f>AVERAGE(VLOOKUP(Table7[[#This Row],[Student_ID]],student_skills[],3,0),VLOOKUP(Table7[[#This Row],[Student_ID]],student_skills[],4,0),VLOOKUP(Table7[[#This Row],[Student_ID]],student_skills[],5,0),VLOOKUP(Table7[[#This Row],[Student_ID]],student_skills[],6,0))</f>
        <v>5.75</v>
      </c>
      <c r="E723" s="1" t="str">
        <f>IF(VLOOKUP(Table7[[#This Row],[Student_ID]],student_internships[#All],2,0)&gt;1,"EXPERIENCED",IF(VLOOKUP(Table7[[#This Row],[Student_ID]],student_internships[#All],2,0)=1,"BEGINNER","NOT EXPERIENCED"))</f>
        <v>EXPERIENCED</v>
      </c>
      <c r="F723" s="1">
        <f>VLOOKUP(Table7[[#This Row],[Student_ID]],student_data[],5,0)</f>
        <v>7.04</v>
      </c>
      <c r="G723" s="1">
        <f>VLOOKUP(Table7[[#This Row],[Student_ID]],student_data[#All],6,0)</f>
        <v>2</v>
      </c>
      <c r="H723" s="1">
        <f>VLOOKUP(Table7[[#This Row],[Student_ID]],student_internships[],2,0)</f>
        <v>2</v>
      </c>
      <c r="I723" s="1">
        <f>VLOOKUP(Table7[[#This Row],[Student_ID]],Placements!A723:E1722,5,0)</f>
        <v>5.13</v>
      </c>
      <c r="J723" s="1" t="str">
        <f>IF(VLOOKUP(Table7[[#This Row],[Student_ID]],student_data[#All],5,0)&gt;8,"HIGH",IF(VLOOKUP(Table7[[#This Row],[Student_ID]],student_data[#All],5,0)&lt;6.5,"LOW","MEDIUM"))</f>
        <v>MEDIUM</v>
      </c>
    </row>
    <row r="724" spans="1:10" x14ac:dyDescent="0.2">
      <c r="A724" s="1" t="s">
        <v>733</v>
      </c>
      <c r="B724" s="1" t="str">
        <f>VLOOKUP(Table7[[#This Row],[Student_ID]],student_data[#All],2,0)</f>
        <v>Mechanical</v>
      </c>
      <c r="C724" s="1">
        <f>(VLOOKUP(Table7[[#This Row],[Student_ID]],student_data[],5,0)*5)+(VLOOKUP(Table7[[#This Row],[Student_ID]],student_data[],6,0)*3)+(VLOOKUP(Table7[[#This Row],[Student_ID]],student_skills[],6,0)*2)+(VLOOKUP(Table7[[#This Row],[Student_ID]],student_internships[],2,0)*5)</f>
        <v>71.099999999999994</v>
      </c>
      <c r="D724" s="1">
        <f>AVERAGE(VLOOKUP(Table7[[#This Row],[Student_ID]],student_skills[],3,0),VLOOKUP(Table7[[#This Row],[Student_ID]],student_skills[],4,0),VLOOKUP(Table7[[#This Row],[Student_ID]],student_skills[],5,0),VLOOKUP(Table7[[#This Row],[Student_ID]],student_skills[],6,0))</f>
        <v>6</v>
      </c>
      <c r="E724" s="1" t="str">
        <f>IF(VLOOKUP(Table7[[#This Row],[Student_ID]],student_internships[#All],2,0)&gt;1,"EXPERIENCED",IF(VLOOKUP(Table7[[#This Row],[Student_ID]],student_internships[#All],2,0)=1,"BEGINNER","NOT EXPERIENCED"))</f>
        <v>EXPERIENCED</v>
      </c>
      <c r="F724" s="1">
        <f>VLOOKUP(Table7[[#This Row],[Student_ID]],student_data[],5,0)</f>
        <v>9.6199999999999992</v>
      </c>
      <c r="G724" s="1">
        <f>VLOOKUP(Table7[[#This Row],[Student_ID]],student_data[#All],6,0)</f>
        <v>2</v>
      </c>
      <c r="H724" s="1">
        <f>VLOOKUP(Table7[[#This Row],[Student_ID]],student_internships[],2,0)</f>
        <v>3</v>
      </c>
      <c r="I724" s="1">
        <f>VLOOKUP(Table7[[#This Row],[Student_ID]],Placements!A724:E1723,5,0)</f>
        <v>0</v>
      </c>
      <c r="J724" s="1" t="str">
        <f>IF(VLOOKUP(Table7[[#This Row],[Student_ID]],student_data[#All],5,0)&gt;8,"HIGH",IF(VLOOKUP(Table7[[#This Row],[Student_ID]],student_data[#All],5,0)&lt;6.5,"LOW","MEDIUM"))</f>
        <v>HIGH</v>
      </c>
    </row>
    <row r="725" spans="1:10" x14ac:dyDescent="0.2">
      <c r="A725" s="1" t="s">
        <v>734</v>
      </c>
      <c r="B725" s="1" t="str">
        <f>VLOOKUP(Table7[[#This Row],[Student_ID]],student_data[#All],2,0)</f>
        <v>Mechanical</v>
      </c>
      <c r="C725" s="1">
        <f>(VLOOKUP(Table7[[#This Row],[Student_ID]],student_data[],5,0)*5)+(VLOOKUP(Table7[[#This Row],[Student_ID]],student_data[],6,0)*3)+(VLOOKUP(Table7[[#This Row],[Student_ID]],student_skills[],6,0)*2)+(VLOOKUP(Table7[[#This Row],[Student_ID]],student_internships[],2,0)*5)</f>
        <v>35.799999999999997</v>
      </c>
      <c r="D725" s="1">
        <f>AVERAGE(VLOOKUP(Table7[[#This Row],[Student_ID]],student_skills[],3,0),VLOOKUP(Table7[[#This Row],[Student_ID]],student_skills[],4,0),VLOOKUP(Table7[[#This Row],[Student_ID]],student_skills[],5,0),VLOOKUP(Table7[[#This Row],[Student_ID]],student_skills[],6,0))</f>
        <v>6</v>
      </c>
      <c r="E725" s="1" t="str">
        <f>IF(VLOOKUP(Table7[[#This Row],[Student_ID]],student_internships[#All],2,0)&gt;1,"EXPERIENCED",IF(VLOOKUP(Table7[[#This Row],[Student_ID]],student_internships[#All],2,0)=1,"BEGINNER","NOT EXPERIENCED"))</f>
        <v>NOT EXPERIENCED</v>
      </c>
      <c r="F725" s="1">
        <f>VLOOKUP(Table7[[#This Row],[Student_ID]],student_data[],5,0)</f>
        <v>5.56</v>
      </c>
      <c r="G725" s="1">
        <f>VLOOKUP(Table7[[#This Row],[Student_ID]],student_data[#All],6,0)</f>
        <v>0</v>
      </c>
      <c r="H725" s="1">
        <f>VLOOKUP(Table7[[#This Row],[Student_ID]],student_internships[],2,0)</f>
        <v>0</v>
      </c>
      <c r="I725" s="1">
        <f>VLOOKUP(Table7[[#This Row],[Student_ID]],Placements!A725:E1724,5,0)</f>
        <v>5.03</v>
      </c>
      <c r="J725" s="1" t="str">
        <f>IF(VLOOKUP(Table7[[#This Row],[Student_ID]],student_data[#All],5,0)&gt;8,"HIGH",IF(VLOOKUP(Table7[[#This Row],[Student_ID]],student_data[#All],5,0)&lt;6.5,"LOW","MEDIUM"))</f>
        <v>LOW</v>
      </c>
    </row>
    <row r="726" spans="1:10" x14ac:dyDescent="0.2">
      <c r="A726" s="1" t="s">
        <v>735</v>
      </c>
      <c r="B726" s="1" t="str">
        <f>VLOOKUP(Table7[[#This Row],[Student_ID]],student_data[#All],2,0)</f>
        <v>Electronics</v>
      </c>
      <c r="C726" s="1">
        <f>(VLOOKUP(Table7[[#This Row],[Student_ID]],student_data[],5,0)*5)+(VLOOKUP(Table7[[#This Row],[Student_ID]],student_data[],6,0)*3)+(VLOOKUP(Table7[[#This Row],[Student_ID]],student_skills[],6,0)*2)+(VLOOKUP(Table7[[#This Row],[Student_ID]],student_internships[],2,0)*5)</f>
        <v>51.9</v>
      </c>
      <c r="D726" s="1">
        <f>AVERAGE(VLOOKUP(Table7[[#This Row],[Student_ID]],student_skills[],3,0),VLOOKUP(Table7[[#This Row],[Student_ID]],student_skills[],4,0),VLOOKUP(Table7[[#This Row],[Student_ID]],student_skills[],5,0),VLOOKUP(Table7[[#This Row],[Student_ID]],student_skills[],6,0))</f>
        <v>5.75</v>
      </c>
      <c r="E726" s="1" t="str">
        <f>IF(VLOOKUP(Table7[[#This Row],[Student_ID]],student_internships[#All],2,0)&gt;1,"EXPERIENCED",IF(VLOOKUP(Table7[[#This Row],[Student_ID]],student_internships[#All],2,0)=1,"BEGINNER","NOT EXPERIENCED"))</f>
        <v>NOT EXPERIENCED</v>
      </c>
      <c r="F726" s="1">
        <f>VLOOKUP(Table7[[#This Row],[Student_ID]],student_data[],5,0)</f>
        <v>7.58</v>
      </c>
      <c r="G726" s="1">
        <f>VLOOKUP(Table7[[#This Row],[Student_ID]],student_data[#All],6,0)</f>
        <v>2</v>
      </c>
      <c r="H726" s="1">
        <f>VLOOKUP(Table7[[#This Row],[Student_ID]],student_internships[],2,0)</f>
        <v>0</v>
      </c>
      <c r="I726" s="1">
        <f>VLOOKUP(Table7[[#This Row],[Student_ID]],Placements!A726:E1725,5,0)</f>
        <v>3.95</v>
      </c>
      <c r="J726" s="1" t="str">
        <f>IF(VLOOKUP(Table7[[#This Row],[Student_ID]],student_data[#All],5,0)&gt;8,"HIGH",IF(VLOOKUP(Table7[[#This Row],[Student_ID]],student_data[#All],5,0)&lt;6.5,"LOW","MEDIUM"))</f>
        <v>MEDIUM</v>
      </c>
    </row>
    <row r="727" spans="1:10" x14ac:dyDescent="0.2">
      <c r="A727" s="1" t="s">
        <v>736</v>
      </c>
      <c r="B727" s="1" t="str">
        <f>VLOOKUP(Table7[[#This Row],[Student_ID]],student_data[#All],2,0)</f>
        <v>Civil</v>
      </c>
      <c r="C727" s="1">
        <f>(VLOOKUP(Table7[[#This Row],[Student_ID]],student_data[],5,0)*5)+(VLOOKUP(Table7[[#This Row],[Student_ID]],student_data[],6,0)*3)+(VLOOKUP(Table7[[#This Row],[Student_ID]],student_skills[],6,0)*2)+(VLOOKUP(Table7[[#This Row],[Student_ID]],student_internships[],2,0)*5)</f>
        <v>75.650000000000006</v>
      </c>
      <c r="D727" s="1">
        <f>AVERAGE(VLOOKUP(Table7[[#This Row],[Student_ID]],student_skills[],3,0),VLOOKUP(Table7[[#This Row],[Student_ID]],student_skills[],4,0),VLOOKUP(Table7[[#This Row],[Student_ID]],student_skills[],5,0),VLOOKUP(Table7[[#This Row],[Student_ID]],student_skills[],6,0))</f>
        <v>5.75</v>
      </c>
      <c r="E727" s="1" t="str">
        <f>IF(VLOOKUP(Table7[[#This Row],[Student_ID]],student_internships[#All],2,0)&gt;1,"EXPERIENCED",IF(VLOOKUP(Table7[[#This Row],[Student_ID]],student_internships[#All],2,0)=1,"BEGINNER","NOT EXPERIENCED"))</f>
        <v>EXPERIENCED</v>
      </c>
      <c r="F727" s="1">
        <f>VLOOKUP(Table7[[#This Row],[Student_ID]],student_data[],5,0)</f>
        <v>8.93</v>
      </c>
      <c r="G727" s="1">
        <f>VLOOKUP(Table7[[#This Row],[Student_ID]],student_data[#All],6,0)</f>
        <v>1</v>
      </c>
      <c r="H727" s="1">
        <f>VLOOKUP(Table7[[#This Row],[Student_ID]],student_internships[],2,0)</f>
        <v>2</v>
      </c>
      <c r="I727" s="1">
        <f>VLOOKUP(Table7[[#This Row],[Student_ID]],Placements!A727:E1726,5,0)</f>
        <v>4.5</v>
      </c>
      <c r="J727" s="1" t="str">
        <f>IF(VLOOKUP(Table7[[#This Row],[Student_ID]],student_data[#All],5,0)&gt;8,"HIGH",IF(VLOOKUP(Table7[[#This Row],[Student_ID]],student_data[#All],5,0)&lt;6.5,"LOW","MEDIUM"))</f>
        <v>HIGH</v>
      </c>
    </row>
    <row r="728" spans="1:10" x14ac:dyDescent="0.2">
      <c r="A728" s="1" t="s">
        <v>737</v>
      </c>
      <c r="B728" s="1" t="str">
        <f>VLOOKUP(Table7[[#This Row],[Student_ID]],student_data[#All],2,0)</f>
        <v>Computer Science</v>
      </c>
      <c r="C728" s="1">
        <f>(VLOOKUP(Table7[[#This Row],[Student_ID]],student_data[],5,0)*5)+(VLOOKUP(Table7[[#This Row],[Student_ID]],student_data[],6,0)*3)+(VLOOKUP(Table7[[#This Row],[Student_ID]],student_skills[],6,0)*2)+(VLOOKUP(Table7[[#This Row],[Student_ID]],student_internships[],2,0)*5)</f>
        <v>69.550000000000011</v>
      </c>
      <c r="D728" s="1">
        <f>AVERAGE(VLOOKUP(Table7[[#This Row],[Student_ID]],student_skills[],3,0),VLOOKUP(Table7[[#This Row],[Student_ID]],student_skills[],4,0),VLOOKUP(Table7[[#This Row],[Student_ID]],student_skills[],5,0),VLOOKUP(Table7[[#This Row],[Student_ID]],student_skills[],6,0))</f>
        <v>4.75</v>
      </c>
      <c r="E728" s="1" t="str">
        <f>IF(VLOOKUP(Table7[[#This Row],[Student_ID]],student_internships[#All],2,0)&gt;1,"EXPERIENCED",IF(VLOOKUP(Table7[[#This Row],[Student_ID]],student_internships[#All],2,0)=1,"BEGINNER","NOT EXPERIENCED"))</f>
        <v>BEGINNER</v>
      </c>
      <c r="F728" s="1">
        <f>VLOOKUP(Table7[[#This Row],[Student_ID]],student_data[],5,0)</f>
        <v>9.7100000000000009</v>
      </c>
      <c r="G728" s="1">
        <f>VLOOKUP(Table7[[#This Row],[Student_ID]],student_data[#All],6,0)</f>
        <v>2</v>
      </c>
      <c r="H728" s="1">
        <f>VLOOKUP(Table7[[#This Row],[Student_ID]],student_internships[],2,0)</f>
        <v>1</v>
      </c>
      <c r="I728" s="1">
        <f>VLOOKUP(Table7[[#This Row],[Student_ID]],Placements!A728:E1727,5,0)</f>
        <v>0</v>
      </c>
      <c r="J728" s="1" t="str">
        <f>IF(VLOOKUP(Table7[[#This Row],[Student_ID]],student_data[#All],5,0)&gt;8,"HIGH",IF(VLOOKUP(Table7[[#This Row],[Student_ID]],student_data[#All],5,0)&lt;6.5,"LOW","MEDIUM"))</f>
        <v>HIGH</v>
      </c>
    </row>
    <row r="729" spans="1:10" x14ac:dyDescent="0.2">
      <c r="A729" s="1" t="s">
        <v>738</v>
      </c>
      <c r="B729" s="1" t="str">
        <f>VLOOKUP(Table7[[#This Row],[Student_ID]],student_data[#All],2,0)</f>
        <v>Computer Science</v>
      </c>
      <c r="C729" s="1">
        <f>(VLOOKUP(Table7[[#This Row],[Student_ID]],student_data[],5,0)*5)+(VLOOKUP(Table7[[#This Row],[Student_ID]],student_data[],6,0)*3)+(VLOOKUP(Table7[[#This Row],[Student_ID]],student_skills[],6,0)*2)+(VLOOKUP(Table7[[#This Row],[Student_ID]],student_internships[],2,0)*5)</f>
        <v>75.650000000000006</v>
      </c>
      <c r="D729" s="1">
        <f>AVERAGE(VLOOKUP(Table7[[#This Row],[Student_ID]],student_skills[],3,0),VLOOKUP(Table7[[#This Row],[Student_ID]],student_skills[],4,0),VLOOKUP(Table7[[#This Row],[Student_ID]],student_skills[],5,0),VLOOKUP(Table7[[#This Row],[Student_ID]],student_skills[],6,0))</f>
        <v>4.25</v>
      </c>
      <c r="E729" s="1" t="str">
        <f>IF(VLOOKUP(Table7[[#This Row],[Student_ID]],student_internships[#All],2,0)&gt;1,"EXPERIENCED",IF(VLOOKUP(Table7[[#This Row],[Student_ID]],student_internships[#All],2,0)=1,"BEGINNER","NOT EXPERIENCED"))</f>
        <v>EXPERIENCED</v>
      </c>
      <c r="F729" s="1">
        <f>VLOOKUP(Table7[[#This Row],[Student_ID]],student_data[],5,0)</f>
        <v>8.73</v>
      </c>
      <c r="G729" s="1">
        <f>VLOOKUP(Table7[[#This Row],[Student_ID]],student_data[#All],6,0)</f>
        <v>4</v>
      </c>
      <c r="H729" s="1">
        <f>VLOOKUP(Table7[[#This Row],[Student_ID]],student_internships[],2,0)</f>
        <v>2</v>
      </c>
      <c r="I729" s="1">
        <f>VLOOKUP(Table7[[#This Row],[Student_ID]],Placements!A729:E1728,5,0)</f>
        <v>0</v>
      </c>
      <c r="J729" s="1" t="str">
        <f>IF(VLOOKUP(Table7[[#This Row],[Student_ID]],student_data[#All],5,0)&gt;8,"HIGH",IF(VLOOKUP(Table7[[#This Row],[Student_ID]],student_data[#All],5,0)&lt;6.5,"LOW","MEDIUM"))</f>
        <v>HIGH</v>
      </c>
    </row>
    <row r="730" spans="1:10" x14ac:dyDescent="0.2">
      <c r="A730" s="1" t="s">
        <v>739</v>
      </c>
      <c r="B730" s="1" t="str">
        <f>VLOOKUP(Table7[[#This Row],[Student_ID]],student_data[#All],2,0)</f>
        <v>Civil</v>
      </c>
      <c r="C730" s="1">
        <f>(VLOOKUP(Table7[[#This Row],[Student_ID]],student_data[],5,0)*5)+(VLOOKUP(Table7[[#This Row],[Student_ID]],student_data[],6,0)*3)+(VLOOKUP(Table7[[#This Row],[Student_ID]],student_skills[],6,0)*2)+(VLOOKUP(Table7[[#This Row],[Student_ID]],student_internships[],2,0)*5)</f>
        <v>61</v>
      </c>
      <c r="D730" s="1">
        <f>AVERAGE(VLOOKUP(Table7[[#This Row],[Student_ID]],student_skills[],3,0),VLOOKUP(Table7[[#This Row],[Student_ID]],student_skills[],4,0),VLOOKUP(Table7[[#This Row],[Student_ID]],student_skills[],5,0),VLOOKUP(Table7[[#This Row],[Student_ID]],student_skills[],6,0))</f>
        <v>7.25</v>
      </c>
      <c r="E730" s="1" t="str">
        <f>IF(VLOOKUP(Table7[[#This Row],[Student_ID]],student_internships[#All],2,0)&gt;1,"EXPERIENCED",IF(VLOOKUP(Table7[[#This Row],[Student_ID]],student_internships[#All],2,0)=1,"BEGINNER","NOT EXPERIENCED"))</f>
        <v>NOT EXPERIENCED</v>
      </c>
      <c r="F730" s="1">
        <f>VLOOKUP(Table7[[#This Row],[Student_ID]],student_data[],5,0)</f>
        <v>8.6</v>
      </c>
      <c r="G730" s="1">
        <f>VLOOKUP(Table7[[#This Row],[Student_ID]],student_data[#All],6,0)</f>
        <v>2</v>
      </c>
      <c r="H730" s="1">
        <f>VLOOKUP(Table7[[#This Row],[Student_ID]],student_internships[],2,0)</f>
        <v>0</v>
      </c>
      <c r="I730" s="1">
        <f>VLOOKUP(Table7[[#This Row],[Student_ID]],Placements!A730:E1729,5,0)</f>
        <v>4.5</v>
      </c>
      <c r="J730" s="1" t="str">
        <f>IF(VLOOKUP(Table7[[#This Row],[Student_ID]],student_data[#All],5,0)&gt;8,"HIGH",IF(VLOOKUP(Table7[[#This Row],[Student_ID]],student_data[#All],5,0)&lt;6.5,"LOW","MEDIUM"))</f>
        <v>HIGH</v>
      </c>
    </row>
    <row r="731" spans="1:10" x14ac:dyDescent="0.2">
      <c r="A731" s="1" t="s">
        <v>740</v>
      </c>
      <c r="B731" s="1" t="str">
        <f>VLOOKUP(Table7[[#This Row],[Student_ID]],student_data[#All],2,0)</f>
        <v>Electronics</v>
      </c>
      <c r="C731" s="1">
        <f>(VLOOKUP(Table7[[#This Row],[Student_ID]],student_data[],5,0)*5)+(VLOOKUP(Table7[[#This Row],[Student_ID]],student_data[],6,0)*3)+(VLOOKUP(Table7[[#This Row],[Student_ID]],student_skills[],6,0)*2)+(VLOOKUP(Table7[[#This Row],[Student_ID]],student_internships[],2,0)*5)</f>
        <v>60.650000000000006</v>
      </c>
      <c r="D731" s="1">
        <f>AVERAGE(VLOOKUP(Table7[[#This Row],[Student_ID]],student_skills[],3,0),VLOOKUP(Table7[[#This Row],[Student_ID]],student_skills[],4,0),VLOOKUP(Table7[[#This Row],[Student_ID]],student_skills[],5,0),VLOOKUP(Table7[[#This Row],[Student_ID]],student_skills[],6,0))</f>
        <v>4.25</v>
      </c>
      <c r="E731" s="1" t="str">
        <f>IF(VLOOKUP(Table7[[#This Row],[Student_ID]],student_internships[#All],2,0)&gt;1,"EXPERIENCED",IF(VLOOKUP(Table7[[#This Row],[Student_ID]],student_internships[#All],2,0)=1,"BEGINNER","NOT EXPERIENCED"))</f>
        <v>EXPERIENCED</v>
      </c>
      <c r="F731" s="1">
        <f>VLOOKUP(Table7[[#This Row],[Student_ID]],student_data[],5,0)</f>
        <v>9.1300000000000008</v>
      </c>
      <c r="G731" s="1">
        <f>VLOOKUP(Table7[[#This Row],[Student_ID]],student_data[#All],6,0)</f>
        <v>1</v>
      </c>
      <c r="H731" s="1">
        <f>VLOOKUP(Table7[[#This Row],[Student_ID]],student_internships[],2,0)</f>
        <v>2</v>
      </c>
      <c r="I731" s="1">
        <f>VLOOKUP(Table7[[#This Row],[Student_ID]],Placements!A731:E1730,5,0)</f>
        <v>5.19</v>
      </c>
      <c r="J731" s="1" t="str">
        <f>IF(VLOOKUP(Table7[[#This Row],[Student_ID]],student_data[#All],5,0)&gt;8,"HIGH",IF(VLOOKUP(Table7[[#This Row],[Student_ID]],student_data[#All],5,0)&lt;6.5,"LOW","MEDIUM"))</f>
        <v>HIGH</v>
      </c>
    </row>
    <row r="732" spans="1:10" x14ac:dyDescent="0.2">
      <c r="A732" s="1" t="s">
        <v>741</v>
      </c>
      <c r="B732" s="1" t="str">
        <f>VLOOKUP(Table7[[#This Row],[Student_ID]],student_data[#All],2,0)</f>
        <v>Mechanical</v>
      </c>
      <c r="C732" s="1">
        <f>(VLOOKUP(Table7[[#This Row],[Student_ID]],student_data[],5,0)*5)+(VLOOKUP(Table7[[#This Row],[Student_ID]],student_data[],6,0)*3)+(VLOOKUP(Table7[[#This Row],[Student_ID]],student_skills[],6,0)*2)+(VLOOKUP(Table7[[#This Row],[Student_ID]],student_internships[],2,0)*5)</f>
        <v>53.150000000000006</v>
      </c>
      <c r="D732" s="1">
        <f>AVERAGE(VLOOKUP(Table7[[#This Row],[Student_ID]],student_skills[],3,0),VLOOKUP(Table7[[#This Row],[Student_ID]],student_skills[],4,0),VLOOKUP(Table7[[#This Row],[Student_ID]],student_skills[],5,0),VLOOKUP(Table7[[#This Row],[Student_ID]],student_skills[],6,0))</f>
        <v>5</v>
      </c>
      <c r="E732" s="1" t="str">
        <f>IF(VLOOKUP(Table7[[#This Row],[Student_ID]],student_internships[#All],2,0)&gt;1,"EXPERIENCED",IF(VLOOKUP(Table7[[#This Row],[Student_ID]],student_internships[#All],2,0)=1,"BEGINNER","NOT EXPERIENCED"))</f>
        <v>NOT EXPERIENCED</v>
      </c>
      <c r="F732" s="1">
        <f>VLOOKUP(Table7[[#This Row],[Student_ID]],student_data[],5,0)</f>
        <v>7.23</v>
      </c>
      <c r="G732" s="1">
        <f>VLOOKUP(Table7[[#This Row],[Student_ID]],student_data[#All],6,0)</f>
        <v>5</v>
      </c>
      <c r="H732" s="1">
        <f>VLOOKUP(Table7[[#This Row],[Student_ID]],student_internships[],2,0)</f>
        <v>0</v>
      </c>
      <c r="I732" s="1">
        <f>VLOOKUP(Table7[[#This Row],[Student_ID]],Placements!A732:E1731,5,0)</f>
        <v>5.15</v>
      </c>
      <c r="J732" s="1" t="str">
        <f>IF(VLOOKUP(Table7[[#This Row],[Student_ID]],student_data[#All],5,0)&gt;8,"HIGH",IF(VLOOKUP(Table7[[#This Row],[Student_ID]],student_data[#All],5,0)&lt;6.5,"LOW","MEDIUM"))</f>
        <v>MEDIUM</v>
      </c>
    </row>
    <row r="733" spans="1:10" x14ac:dyDescent="0.2">
      <c r="A733" s="1" t="s">
        <v>742</v>
      </c>
      <c r="B733" s="1" t="str">
        <f>VLOOKUP(Table7[[#This Row],[Student_ID]],student_data[#All],2,0)</f>
        <v>Computer Science</v>
      </c>
      <c r="C733" s="1">
        <f>(VLOOKUP(Table7[[#This Row],[Student_ID]],student_data[],5,0)*5)+(VLOOKUP(Table7[[#This Row],[Student_ID]],student_data[],6,0)*3)+(VLOOKUP(Table7[[#This Row],[Student_ID]],student_skills[],6,0)*2)+(VLOOKUP(Table7[[#This Row],[Student_ID]],student_internships[],2,0)*5)</f>
        <v>63.15</v>
      </c>
      <c r="D733" s="1">
        <f>AVERAGE(VLOOKUP(Table7[[#This Row],[Student_ID]],student_skills[],3,0),VLOOKUP(Table7[[#This Row],[Student_ID]],student_skills[],4,0),VLOOKUP(Table7[[#This Row],[Student_ID]],student_skills[],5,0),VLOOKUP(Table7[[#This Row],[Student_ID]],student_skills[],6,0))</f>
        <v>7.75</v>
      </c>
      <c r="E733" s="1" t="str">
        <f>IF(VLOOKUP(Table7[[#This Row],[Student_ID]],student_internships[#All],2,0)&gt;1,"EXPERIENCED",IF(VLOOKUP(Table7[[#This Row],[Student_ID]],student_internships[#All],2,0)=1,"BEGINNER","NOT EXPERIENCED"))</f>
        <v>NOT EXPERIENCED</v>
      </c>
      <c r="F733" s="1">
        <f>VLOOKUP(Table7[[#This Row],[Student_ID]],student_data[],5,0)</f>
        <v>9.0299999999999994</v>
      </c>
      <c r="G733" s="1">
        <f>VLOOKUP(Table7[[#This Row],[Student_ID]],student_data[#All],6,0)</f>
        <v>0</v>
      </c>
      <c r="H733" s="1">
        <f>VLOOKUP(Table7[[#This Row],[Student_ID]],student_internships[],2,0)</f>
        <v>0</v>
      </c>
      <c r="I733" s="1">
        <f>VLOOKUP(Table7[[#This Row],[Student_ID]],Placements!A733:E1732,5,0)</f>
        <v>4.1100000000000003</v>
      </c>
      <c r="J733" s="1" t="str">
        <f>IF(VLOOKUP(Table7[[#This Row],[Student_ID]],student_data[#All],5,0)&gt;8,"HIGH",IF(VLOOKUP(Table7[[#This Row],[Student_ID]],student_data[#All],5,0)&lt;6.5,"LOW","MEDIUM"))</f>
        <v>HIGH</v>
      </c>
    </row>
    <row r="734" spans="1:10" x14ac:dyDescent="0.2">
      <c r="A734" s="1" t="s">
        <v>743</v>
      </c>
      <c r="B734" s="1" t="str">
        <f>VLOOKUP(Table7[[#This Row],[Student_ID]],student_data[#All],2,0)</f>
        <v>Information Technology</v>
      </c>
      <c r="C734" s="1">
        <f>(VLOOKUP(Table7[[#This Row],[Student_ID]],student_data[],5,0)*5)+(VLOOKUP(Table7[[#This Row],[Student_ID]],student_data[],6,0)*3)+(VLOOKUP(Table7[[#This Row],[Student_ID]],student_skills[],6,0)*2)+(VLOOKUP(Table7[[#This Row],[Student_ID]],student_internships[],2,0)*5)</f>
        <v>40.200000000000003</v>
      </c>
      <c r="D734" s="1">
        <f>AVERAGE(VLOOKUP(Table7[[#This Row],[Student_ID]],student_skills[],3,0),VLOOKUP(Table7[[#This Row],[Student_ID]],student_skills[],4,0),VLOOKUP(Table7[[#This Row],[Student_ID]],student_skills[],5,0),VLOOKUP(Table7[[#This Row],[Student_ID]],student_skills[],6,0))</f>
        <v>4.25</v>
      </c>
      <c r="E734" s="1" t="str">
        <f>IF(VLOOKUP(Table7[[#This Row],[Student_ID]],student_internships[#All],2,0)&gt;1,"EXPERIENCED",IF(VLOOKUP(Table7[[#This Row],[Student_ID]],student_internships[#All],2,0)=1,"BEGINNER","NOT EXPERIENCED"))</f>
        <v>NOT EXPERIENCED</v>
      </c>
      <c r="F734" s="1">
        <f>VLOOKUP(Table7[[#This Row],[Student_ID]],student_data[],5,0)</f>
        <v>5.04</v>
      </c>
      <c r="G734" s="1">
        <f>VLOOKUP(Table7[[#This Row],[Student_ID]],student_data[#All],6,0)</f>
        <v>3</v>
      </c>
      <c r="H734" s="1">
        <f>VLOOKUP(Table7[[#This Row],[Student_ID]],student_internships[],2,0)</f>
        <v>0</v>
      </c>
      <c r="I734" s="1">
        <f>VLOOKUP(Table7[[#This Row],[Student_ID]],Placements!A734:E1733,5,0)</f>
        <v>0</v>
      </c>
      <c r="J734" s="1" t="str">
        <f>IF(VLOOKUP(Table7[[#This Row],[Student_ID]],student_data[#All],5,0)&gt;8,"HIGH",IF(VLOOKUP(Table7[[#This Row],[Student_ID]],student_data[#All],5,0)&lt;6.5,"LOW","MEDIUM"))</f>
        <v>LOW</v>
      </c>
    </row>
    <row r="735" spans="1:10" x14ac:dyDescent="0.2">
      <c r="A735" s="1" t="s">
        <v>744</v>
      </c>
      <c r="B735" s="1" t="str">
        <f>VLOOKUP(Table7[[#This Row],[Student_ID]],student_data[#All],2,0)</f>
        <v>Information Technology</v>
      </c>
      <c r="C735" s="1">
        <f>(VLOOKUP(Table7[[#This Row],[Student_ID]],student_data[],5,0)*5)+(VLOOKUP(Table7[[#This Row],[Student_ID]],student_data[],6,0)*3)+(VLOOKUP(Table7[[#This Row],[Student_ID]],student_skills[],6,0)*2)+(VLOOKUP(Table7[[#This Row],[Student_ID]],student_internships[],2,0)*5)</f>
        <v>72.099999999999994</v>
      </c>
      <c r="D735" s="1">
        <f>AVERAGE(VLOOKUP(Table7[[#This Row],[Student_ID]],student_skills[],3,0),VLOOKUP(Table7[[#This Row],[Student_ID]],student_skills[],4,0),VLOOKUP(Table7[[#This Row],[Student_ID]],student_skills[],5,0),VLOOKUP(Table7[[#This Row],[Student_ID]],student_skills[],6,0))</f>
        <v>4.5</v>
      </c>
      <c r="E735" s="1" t="str">
        <f>IF(VLOOKUP(Table7[[#This Row],[Student_ID]],student_internships[#All],2,0)&gt;1,"EXPERIENCED",IF(VLOOKUP(Table7[[#This Row],[Student_ID]],student_internships[#All],2,0)=1,"BEGINNER","NOT EXPERIENCED"))</f>
        <v>EXPERIENCED</v>
      </c>
      <c r="F735" s="1">
        <f>VLOOKUP(Table7[[#This Row],[Student_ID]],student_data[],5,0)</f>
        <v>9.6199999999999992</v>
      </c>
      <c r="G735" s="1">
        <f>VLOOKUP(Table7[[#This Row],[Student_ID]],student_data[#All],6,0)</f>
        <v>2</v>
      </c>
      <c r="H735" s="1">
        <f>VLOOKUP(Table7[[#This Row],[Student_ID]],student_internships[],2,0)</f>
        <v>2</v>
      </c>
      <c r="I735" s="1">
        <f>VLOOKUP(Table7[[#This Row],[Student_ID]],Placements!A735:E1734,5,0)</f>
        <v>3.87</v>
      </c>
      <c r="J735" s="1" t="str">
        <f>IF(VLOOKUP(Table7[[#This Row],[Student_ID]],student_data[#All],5,0)&gt;8,"HIGH",IF(VLOOKUP(Table7[[#This Row],[Student_ID]],student_data[#All],5,0)&lt;6.5,"LOW","MEDIUM"))</f>
        <v>HIGH</v>
      </c>
    </row>
    <row r="736" spans="1:10" x14ac:dyDescent="0.2">
      <c r="A736" s="1" t="s">
        <v>745</v>
      </c>
      <c r="B736" s="1" t="str">
        <f>VLOOKUP(Table7[[#This Row],[Student_ID]],student_data[#All],2,0)</f>
        <v>Civil</v>
      </c>
      <c r="C736" s="1">
        <f>(VLOOKUP(Table7[[#This Row],[Student_ID]],student_data[],5,0)*5)+(VLOOKUP(Table7[[#This Row],[Student_ID]],student_data[],6,0)*3)+(VLOOKUP(Table7[[#This Row],[Student_ID]],student_skills[],6,0)*2)+(VLOOKUP(Table7[[#This Row],[Student_ID]],student_internships[],2,0)*5)</f>
        <v>46.1</v>
      </c>
      <c r="D736" s="1">
        <f>AVERAGE(VLOOKUP(Table7[[#This Row],[Student_ID]],student_skills[],3,0),VLOOKUP(Table7[[#This Row],[Student_ID]],student_skills[],4,0),VLOOKUP(Table7[[#This Row],[Student_ID]],student_skills[],5,0),VLOOKUP(Table7[[#This Row],[Student_ID]],student_skills[],6,0))</f>
        <v>4</v>
      </c>
      <c r="E736" s="1" t="str">
        <f>IF(VLOOKUP(Table7[[#This Row],[Student_ID]],student_internships[#All],2,0)&gt;1,"EXPERIENCED",IF(VLOOKUP(Table7[[#This Row],[Student_ID]],student_internships[#All],2,0)=1,"BEGINNER","NOT EXPERIENCED"))</f>
        <v>BEGINNER</v>
      </c>
      <c r="F736" s="1">
        <f>VLOOKUP(Table7[[#This Row],[Student_ID]],student_data[],5,0)</f>
        <v>7.22</v>
      </c>
      <c r="G736" s="1">
        <f>VLOOKUP(Table7[[#This Row],[Student_ID]],student_data[#All],6,0)</f>
        <v>1</v>
      </c>
      <c r="H736" s="1">
        <f>VLOOKUP(Table7[[#This Row],[Student_ID]],student_internships[],2,0)</f>
        <v>1</v>
      </c>
      <c r="I736" s="1">
        <f>VLOOKUP(Table7[[#This Row],[Student_ID]],Placements!A736:E1735,5,0)</f>
        <v>5.13</v>
      </c>
      <c r="J736" s="1" t="str">
        <f>IF(VLOOKUP(Table7[[#This Row],[Student_ID]],student_data[#All],5,0)&gt;8,"HIGH",IF(VLOOKUP(Table7[[#This Row],[Student_ID]],student_data[#All],5,0)&lt;6.5,"LOW","MEDIUM"))</f>
        <v>MEDIUM</v>
      </c>
    </row>
    <row r="737" spans="1:10" x14ac:dyDescent="0.2">
      <c r="A737" s="1" t="s">
        <v>746</v>
      </c>
      <c r="B737" s="1" t="str">
        <f>VLOOKUP(Table7[[#This Row],[Student_ID]],student_data[#All],2,0)</f>
        <v>Electronics</v>
      </c>
      <c r="C737" s="1">
        <f>(VLOOKUP(Table7[[#This Row],[Student_ID]],student_data[],5,0)*5)+(VLOOKUP(Table7[[#This Row],[Student_ID]],student_data[],6,0)*3)+(VLOOKUP(Table7[[#This Row],[Student_ID]],student_skills[],6,0)*2)+(VLOOKUP(Table7[[#This Row],[Student_ID]],student_internships[],2,0)*5)</f>
        <v>70.849999999999994</v>
      </c>
      <c r="D737" s="1">
        <f>AVERAGE(VLOOKUP(Table7[[#This Row],[Student_ID]],student_skills[],3,0),VLOOKUP(Table7[[#This Row],[Student_ID]],student_skills[],4,0),VLOOKUP(Table7[[#This Row],[Student_ID]],student_skills[],5,0),VLOOKUP(Table7[[#This Row],[Student_ID]],student_skills[],6,0))</f>
        <v>6.5</v>
      </c>
      <c r="E737" s="1" t="str">
        <f>IF(VLOOKUP(Table7[[#This Row],[Student_ID]],student_internships[#All],2,0)&gt;1,"EXPERIENCED",IF(VLOOKUP(Table7[[#This Row],[Student_ID]],student_internships[#All],2,0)=1,"BEGINNER","NOT EXPERIENCED"))</f>
        <v>BEGINNER</v>
      </c>
      <c r="F737" s="1">
        <f>VLOOKUP(Table7[[#This Row],[Student_ID]],student_data[],5,0)</f>
        <v>7.77</v>
      </c>
      <c r="G737" s="1">
        <f>VLOOKUP(Table7[[#This Row],[Student_ID]],student_data[#All],6,0)</f>
        <v>3</v>
      </c>
      <c r="H737" s="1">
        <f>VLOOKUP(Table7[[#This Row],[Student_ID]],student_internships[],2,0)</f>
        <v>1</v>
      </c>
      <c r="I737" s="1">
        <f>VLOOKUP(Table7[[#This Row],[Student_ID]],Placements!A737:E1736,5,0)</f>
        <v>4.1900000000000004</v>
      </c>
      <c r="J737" s="1" t="str">
        <f>IF(VLOOKUP(Table7[[#This Row],[Student_ID]],student_data[#All],5,0)&gt;8,"HIGH",IF(VLOOKUP(Table7[[#This Row],[Student_ID]],student_data[#All],5,0)&lt;6.5,"LOW","MEDIUM"))</f>
        <v>MEDIUM</v>
      </c>
    </row>
    <row r="738" spans="1:10" x14ac:dyDescent="0.2">
      <c r="A738" s="1" t="s">
        <v>747</v>
      </c>
      <c r="B738" s="1" t="str">
        <f>VLOOKUP(Table7[[#This Row],[Student_ID]],student_data[#All],2,0)</f>
        <v>Computer Science</v>
      </c>
      <c r="C738" s="1">
        <f>(VLOOKUP(Table7[[#This Row],[Student_ID]],student_data[],5,0)*5)+(VLOOKUP(Table7[[#This Row],[Student_ID]],student_data[],6,0)*3)+(VLOOKUP(Table7[[#This Row],[Student_ID]],student_skills[],6,0)*2)+(VLOOKUP(Table7[[#This Row],[Student_ID]],student_internships[],2,0)*5)</f>
        <v>61.349999999999994</v>
      </c>
      <c r="D738" s="1">
        <f>AVERAGE(VLOOKUP(Table7[[#This Row],[Student_ID]],student_skills[],3,0),VLOOKUP(Table7[[#This Row],[Student_ID]],student_skills[],4,0),VLOOKUP(Table7[[#This Row],[Student_ID]],student_skills[],5,0),VLOOKUP(Table7[[#This Row],[Student_ID]],student_skills[],6,0))</f>
        <v>4.75</v>
      </c>
      <c r="E738" s="1" t="str">
        <f>IF(VLOOKUP(Table7[[#This Row],[Student_ID]],student_internships[#All],2,0)&gt;1,"EXPERIENCED",IF(VLOOKUP(Table7[[#This Row],[Student_ID]],student_internships[#All],2,0)=1,"BEGINNER","NOT EXPERIENCED"))</f>
        <v>BEGINNER</v>
      </c>
      <c r="F738" s="1">
        <f>VLOOKUP(Table7[[#This Row],[Student_ID]],student_data[],5,0)</f>
        <v>6.27</v>
      </c>
      <c r="G738" s="1">
        <f>VLOOKUP(Table7[[#This Row],[Student_ID]],student_data[#All],6,0)</f>
        <v>3</v>
      </c>
      <c r="H738" s="1">
        <f>VLOOKUP(Table7[[#This Row],[Student_ID]],student_internships[],2,0)</f>
        <v>1</v>
      </c>
      <c r="I738" s="1">
        <f>VLOOKUP(Table7[[#This Row],[Student_ID]],Placements!A738:E1737,5,0)</f>
        <v>5.43</v>
      </c>
      <c r="J738" s="1" t="str">
        <f>IF(VLOOKUP(Table7[[#This Row],[Student_ID]],student_data[#All],5,0)&gt;8,"HIGH",IF(VLOOKUP(Table7[[#This Row],[Student_ID]],student_data[#All],5,0)&lt;6.5,"LOW","MEDIUM"))</f>
        <v>LOW</v>
      </c>
    </row>
    <row r="739" spans="1:10" x14ac:dyDescent="0.2">
      <c r="A739" s="1" t="s">
        <v>748</v>
      </c>
      <c r="B739" s="1" t="str">
        <f>VLOOKUP(Table7[[#This Row],[Student_ID]],student_data[#All],2,0)</f>
        <v>Electronics</v>
      </c>
      <c r="C739" s="1">
        <f>(VLOOKUP(Table7[[#This Row],[Student_ID]],student_data[],5,0)*5)+(VLOOKUP(Table7[[#This Row],[Student_ID]],student_data[],6,0)*3)+(VLOOKUP(Table7[[#This Row],[Student_ID]],student_skills[],6,0)*2)+(VLOOKUP(Table7[[#This Row],[Student_ID]],student_internships[],2,0)*5)</f>
        <v>69.550000000000011</v>
      </c>
      <c r="D739" s="1">
        <f>AVERAGE(VLOOKUP(Table7[[#This Row],[Student_ID]],student_skills[],3,0),VLOOKUP(Table7[[#This Row],[Student_ID]],student_skills[],4,0),VLOOKUP(Table7[[#This Row],[Student_ID]],student_skills[],5,0),VLOOKUP(Table7[[#This Row],[Student_ID]],student_skills[],6,0))</f>
        <v>6.25</v>
      </c>
      <c r="E739" s="1" t="str">
        <f>IF(VLOOKUP(Table7[[#This Row],[Student_ID]],student_internships[#All],2,0)&gt;1,"EXPERIENCED",IF(VLOOKUP(Table7[[#This Row],[Student_ID]],student_internships[#All],2,0)=1,"BEGINNER","NOT EXPERIENCED"))</f>
        <v>EXPERIENCED</v>
      </c>
      <c r="F739" s="1">
        <f>VLOOKUP(Table7[[#This Row],[Student_ID]],student_data[],5,0)</f>
        <v>8.7100000000000009</v>
      </c>
      <c r="G739" s="1">
        <f>VLOOKUP(Table7[[#This Row],[Student_ID]],student_data[#All],6,0)</f>
        <v>4</v>
      </c>
      <c r="H739" s="1">
        <f>VLOOKUP(Table7[[#This Row],[Student_ID]],student_internships[],2,0)</f>
        <v>2</v>
      </c>
      <c r="I739" s="1">
        <f>VLOOKUP(Table7[[#This Row],[Student_ID]],Placements!A739:E1738,5,0)</f>
        <v>4.12</v>
      </c>
      <c r="J739" s="1" t="str">
        <f>IF(VLOOKUP(Table7[[#This Row],[Student_ID]],student_data[#All],5,0)&gt;8,"HIGH",IF(VLOOKUP(Table7[[#This Row],[Student_ID]],student_data[#All],5,0)&lt;6.5,"LOW","MEDIUM"))</f>
        <v>HIGH</v>
      </c>
    </row>
    <row r="740" spans="1:10" x14ac:dyDescent="0.2">
      <c r="A740" s="1" t="s">
        <v>749</v>
      </c>
      <c r="B740" s="1" t="str">
        <f>VLOOKUP(Table7[[#This Row],[Student_ID]],student_data[#All],2,0)</f>
        <v>Computer Science</v>
      </c>
      <c r="C740" s="1">
        <f>(VLOOKUP(Table7[[#This Row],[Student_ID]],student_data[],5,0)*5)+(VLOOKUP(Table7[[#This Row],[Student_ID]],student_data[],6,0)*3)+(VLOOKUP(Table7[[#This Row],[Student_ID]],student_skills[],6,0)*2)+(VLOOKUP(Table7[[#This Row],[Student_ID]],student_internships[],2,0)*5)</f>
        <v>56.9</v>
      </c>
      <c r="D740" s="1">
        <f>AVERAGE(VLOOKUP(Table7[[#This Row],[Student_ID]],student_skills[],3,0),VLOOKUP(Table7[[#This Row],[Student_ID]],student_skills[],4,0),VLOOKUP(Table7[[#This Row],[Student_ID]],student_skills[],5,0),VLOOKUP(Table7[[#This Row],[Student_ID]],student_skills[],6,0))</f>
        <v>5.75</v>
      </c>
      <c r="E740" s="1" t="str">
        <f>IF(VLOOKUP(Table7[[#This Row],[Student_ID]],student_internships[#All],2,0)&gt;1,"EXPERIENCED",IF(VLOOKUP(Table7[[#This Row],[Student_ID]],student_internships[#All],2,0)=1,"BEGINNER","NOT EXPERIENCED"))</f>
        <v>BEGINNER</v>
      </c>
      <c r="F740" s="1">
        <f>VLOOKUP(Table7[[#This Row],[Student_ID]],student_data[],5,0)</f>
        <v>5.38</v>
      </c>
      <c r="G740" s="1">
        <f>VLOOKUP(Table7[[#This Row],[Student_ID]],student_data[#All],6,0)</f>
        <v>3</v>
      </c>
      <c r="H740" s="1">
        <f>VLOOKUP(Table7[[#This Row],[Student_ID]],student_internships[],2,0)</f>
        <v>1</v>
      </c>
      <c r="I740" s="1">
        <f>VLOOKUP(Table7[[#This Row],[Student_ID]],Placements!A740:E1739,5,0)</f>
        <v>4.3499999999999996</v>
      </c>
      <c r="J740" s="1" t="str">
        <f>IF(VLOOKUP(Table7[[#This Row],[Student_ID]],student_data[#All],5,0)&gt;8,"HIGH",IF(VLOOKUP(Table7[[#This Row],[Student_ID]],student_data[#All],5,0)&lt;6.5,"LOW","MEDIUM"))</f>
        <v>LOW</v>
      </c>
    </row>
    <row r="741" spans="1:10" x14ac:dyDescent="0.2">
      <c r="A741" s="1" t="s">
        <v>750</v>
      </c>
      <c r="B741" s="1" t="str">
        <f>VLOOKUP(Table7[[#This Row],[Student_ID]],student_data[#All],2,0)</f>
        <v>Civil</v>
      </c>
      <c r="C741" s="1">
        <f>(VLOOKUP(Table7[[#This Row],[Student_ID]],student_data[],5,0)*5)+(VLOOKUP(Table7[[#This Row],[Student_ID]],student_data[],6,0)*3)+(VLOOKUP(Table7[[#This Row],[Student_ID]],student_skills[],6,0)*2)+(VLOOKUP(Table7[[#This Row],[Student_ID]],student_internships[],2,0)*5)</f>
        <v>85.8</v>
      </c>
      <c r="D741" s="1">
        <f>AVERAGE(VLOOKUP(Table7[[#This Row],[Student_ID]],student_skills[],3,0),VLOOKUP(Table7[[#This Row],[Student_ID]],student_skills[],4,0),VLOOKUP(Table7[[#This Row],[Student_ID]],student_skills[],5,0),VLOOKUP(Table7[[#This Row],[Student_ID]],student_skills[],6,0))</f>
        <v>4.5</v>
      </c>
      <c r="E741" s="1" t="str">
        <f>IF(VLOOKUP(Table7[[#This Row],[Student_ID]],student_internships[#All],2,0)&gt;1,"EXPERIENCED",IF(VLOOKUP(Table7[[#This Row],[Student_ID]],student_internships[#All],2,0)=1,"BEGINNER","NOT EXPERIENCED"))</f>
        <v>EXPERIENCED</v>
      </c>
      <c r="F741" s="1">
        <f>VLOOKUP(Table7[[#This Row],[Student_ID]],student_data[],5,0)</f>
        <v>9.36</v>
      </c>
      <c r="G741" s="1">
        <f>VLOOKUP(Table7[[#This Row],[Student_ID]],student_data[#All],6,0)</f>
        <v>5</v>
      </c>
      <c r="H741" s="1">
        <f>VLOOKUP(Table7[[#This Row],[Student_ID]],student_internships[],2,0)</f>
        <v>2</v>
      </c>
      <c r="I741" s="1">
        <f>VLOOKUP(Table7[[#This Row],[Student_ID]],Placements!A741:E1740,5,0)</f>
        <v>4.5</v>
      </c>
      <c r="J741" s="1" t="str">
        <f>IF(VLOOKUP(Table7[[#This Row],[Student_ID]],student_data[#All],5,0)&gt;8,"HIGH",IF(VLOOKUP(Table7[[#This Row],[Student_ID]],student_data[#All],5,0)&lt;6.5,"LOW","MEDIUM"))</f>
        <v>HIGH</v>
      </c>
    </row>
    <row r="742" spans="1:10" x14ac:dyDescent="0.2">
      <c r="A742" s="1" t="s">
        <v>751</v>
      </c>
      <c r="B742" s="1" t="str">
        <f>VLOOKUP(Table7[[#This Row],[Student_ID]],student_data[#All],2,0)</f>
        <v>Civil</v>
      </c>
      <c r="C742" s="1">
        <f>(VLOOKUP(Table7[[#This Row],[Student_ID]],student_data[],5,0)*5)+(VLOOKUP(Table7[[#This Row],[Student_ID]],student_data[],6,0)*3)+(VLOOKUP(Table7[[#This Row],[Student_ID]],student_skills[],6,0)*2)+(VLOOKUP(Table7[[#This Row],[Student_ID]],student_internships[],2,0)*5)</f>
        <v>65.7</v>
      </c>
      <c r="D742" s="1">
        <f>AVERAGE(VLOOKUP(Table7[[#This Row],[Student_ID]],student_skills[],3,0),VLOOKUP(Table7[[#This Row],[Student_ID]],student_skills[],4,0),VLOOKUP(Table7[[#This Row],[Student_ID]],student_skills[],5,0),VLOOKUP(Table7[[#This Row],[Student_ID]],student_skills[],6,0))</f>
        <v>7.25</v>
      </c>
      <c r="E742" s="1" t="str">
        <f>IF(VLOOKUP(Table7[[#This Row],[Student_ID]],student_internships[#All],2,0)&gt;1,"EXPERIENCED",IF(VLOOKUP(Table7[[#This Row],[Student_ID]],student_internships[#All],2,0)=1,"BEGINNER","NOT EXPERIENCED"))</f>
        <v>BEGINNER</v>
      </c>
      <c r="F742" s="1">
        <f>VLOOKUP(Table7[[#This Row],[Student_ID]],student_data[],5,0)</f>
        <v>9.14</v>
      </c>
      <c r="G742" s="1">
        <f>VLOOKUP(Table7[[#This Row],[Student_ID]],student_data[#All],6,0)</f>
        <v>1</v>
      </c>
      <c r="H742" s="1">
        <f>VLOOKUP(Table7[[#This Row],[Student_ID]],student_internships[],2,0)</f>
        <v>1</v>
      </c>
      <c r="I742" s="1">
        <f>VLOOKUP(Table7[[#This Row],[Student_ID]],Placements!A742:E1741,5,0)</f>
        <v>3.92</v>
      </c>
      <c r="J742" s="1" t="str">
        <f>IF(VLOOKUP(Table7[[#This Row],[Student_ID]],student_data[#All],5,0)&gt;8,"HIGH",IF(VLOOKUP(Table7[[#This Row],[Student_ID]],student_data[#All],5,0)&lt;6.5,"LOW","MEDIUM"))</f>
        <v>HIGH</v>
      </c>
    </row>
    <row r="743" spans="1:10" x14ac:dyDescent="0.2">
      <c r="A743" s="1" t="s">
        <v>752</v>
      </c>
      <c r="B743" s="1" t="str">
        <f>VLOOKUP(Table7[[#This Row],[Student_ID]],student_data[#All],2,0)</f>
        <v>Information Technology</v>
      </c>
      <c r="C743" s="1">
        <f>(VLOOKUP(Table7[[#This Row],[Student_ID]],student_data[],5,0)*5)+(VLOOKUP(Table7[[#This Row],[Student_ID]],student_data[],6,0)*3)+(VLOOKUP(Table7[[#This Row],[Student_ID]],student_skills[],6,0)*2)+(VLOOKUP(Table7[[#This Row],[Student_ID]],student_internships[],2,0)*5)</f>
        <v>40.4</v>
      </c>
      <c r="D743" s="1">
        <f>AVERAGE(VLOOKUP(Table7[[#This Row],[Student_ID]],student_skills[],3,0),VLOOKUP(Table7[[#This Row],[Student_ID]],student_skills[],4,0),VLOOKUP(Table7[[#This Row],[Student_ID]],student_skills[],5,0),VLOOKUP(Table7[[#This Row],[Student_ID]],student_skills[],6,0))</f>
        <v>6.75</v>
      </c>
      <c r="E743" s="1" t="str">
        <f>IF(VLOOKUP(Table7[[#This Row],[Student_ID]],student_internships[#All],2,0)&gt;1,"EXPERIENCED",IF(VLOOKUP(Table7[[#This Row],[Student_ID]],student_internships[#All],2,0)=1,"BEGINNER","NOT EXPERIENCED"))</f>
        <v>BEGINNER</v>
      </c>
      <c r="F743" s="1">
        <f>VLOOKUP(Table7[[#This Row],[Student_ID]],student_data[],5,0)</f>
        <v>6.08</v>
      </c>
      <c r="G743" s="1">
        <f>VLOOKUP(Table7[[#This Row],[Student_ID]],student_data[#All],6,0)</f>
        <v>1</v>
      </c>
      <c r="H743" s="1">
        <f>VLOOKUP(Table7[[#This Row],[Student_ID]],student_internships[],2,0)</f>
        <v>1</v>
      </c>
      <c r="I743" s="1">
        <f>VLOOKUP(Table7[[#This Row],[Student_ID]],Placements!A743:E1742,5,0)</f>
        <v>0</v>
      </c>
      <c r="J743" s="1" t="str">
        <f>IF(VLOOKUP(Table7[[#This Row],[Student_ID]],student_data[#All],5,0)&gt;8,"HIGH",IF(VLOOKUP(Table7[[#This Row],[Student_ID]],student_data[#All],5,0)&lt;6.5,"LOW","MEDIUM"))</f>
        <v>LOW</v>
      </c>
    </row>
    <row r="744" spans="1:10" x14ac:dyDescent="0.2">
      <c r="A744" s="1" t="s">
        <v>753</v>
      </c>
      <c r="B744" s="1" t="str">
        <f>VLOOKUP(Table7[[#This Row],[Student_ID]],student_data[#All],2,0)</f>
        <v>Electronics</v>
      </c>
      <c r="C744" s="1">
        <f>(VLOOKUP(Table7[[#This Row],[Student_ID]],student_data[],5,0)*5)+(VLOOKUP(Table7[[#This Row],[Student_ID]],student_data[],6,0)*3)+(VLOOKUP(Table7[[#This Row],[Student_ID]],student_skills[],6,0)*2)+(VLOOKUP(Table7[[#This Row],[Student_ID]],student_internships[],2,0)*5)</f>
        <v>70.25</v>
      </c>
      <c r="D744" s="1">
        <f>AVERAGE(VLOOKUP(Table7[[#This Row],[Student_ID]],student_skills[],3,0),VLOOKUP(Table7[[#This Row],[Student_ID]],student_skills[],4,0),VLOOKUP(Table7[[#This Row],[Student_ID]],student_skills[],5,0),VLOOKUP(Table7[[#This Row],[Student_ID]],student_skills[],6,0))</f>
        <v>5</v>
      </c>
      <c r="E744" s="1" t="str">
        <f>IF(VLOOKUP(Table7[[#This Row],[Student_ID]],student_internships[#All],2,0)&gt;1,"EXPERIENCED",IF(VLOOKUP(Table7[[#This Row],[Student_ID]],student_internships[#All],2,0)=1,"BEGINNER","NOT EXPERIENCED"))</f>
        <v>BEGINNER</v>
      </c>
      <c r="F744" s="1">
        <f>VLOOKUP(Table7[[#This Row],[Student_ID]],student_data[],5,0)</f>
        <v>9.0500000000000007</v>
      </c>
      <c r="G744" s="1">
        <f>VLOOKUP(Table7[[#This Row],[Student_ID]],student_data[#All],6,0)</f>
        <v>2</v>
      </c>
      <c r="H744" s="1">
        <f>VLOOKUP(Table7[[#This Row],[Student_ID]],student_internships[],2,0)</f>
        <v>1</v>
      </c>
      <c r="I744" s="1">
        <f>VLOOKUP(Table7[[#This Row],[Student_ID]],Placements!A744:E1743,5,0)</f>
        <v>4.1100000000000003</v>
      </c>
      <c r="J744" s="1" t="str">
        <f>IF(VLOOKUP(Table7[[#This Row],[Student_ID]],student_data[#All],5,0)&gt;8,"HIGH",IF(VLOOKUP(Table7[[#This Row],[Student_ID]],student_data[#All],5,0)&lt;6.5,"LOW","MEDIUM"))</f>
        <v>HIGH</v>
      </c>
    </row>
    <row r="745" spans="1:10" x14ac:dyDescent="0.2">
      <c r="A745" s="1" t="s">
        <v>754</v>
      </c>
      <c r="B745" s="1" t="str">
        <f>VLOOKUP(Table7[[#This Row],[Student_ID]],student_data[#All],2,0)</f>
        <v>Information Technology</v>
      </c>
      <c r="C745" s="1">
        <f>(VLOOKUP(Table7[[#This Row],[Student_ID]],student_data[],5,0)*5)+(VLOOKUP(Table7[[#This Row],[Student_ID]],student_data[],6,0)*3)+(VLOOKUP(Table7[[#This Row],[Student_ID]],student_skills[],6,0)*2)+(VLOOKUP(Table7[[#This Row],[Student_ID]],student_internships[],2,0)*5)</f>
        <v>75.650000000000006</v>
      </c>
      <c r="D745" s="1">
        <f>AVERAGE(VLOOKUP(Table7[[#This Row],[Student_ID]],student_skills[],3,0),VLOOKUP(Table7[[#This Row],[Student_ID]],student_skills[],4,0),VLOOKUP(Table7[[#This Row],[Student_ID]],student_skills[],5,0),VLOOKUP(Table7[[#This Row],[Student_ID]],student_skills[],6,0))</f>
        <v>6.75</v>
      </c>
      <c r="E745" s="1" t="str">
        <f>IF(VLOOKUP(Table7[[#This Row],[Student_ID]],student_internships[#All],2,0)&gt;1,"EXPERIENCED",IF(VLOOKUP(Table7[[#This Row],[Student_ID]],student_internships[#All],2,0)=1,"BEGINNER","NOT EXPERIENCED"))</f>
        <v>BEGINNER</v>
      </c>
      <c r="F745" s="1">
        <f>VLOOKUP(Table7[[#This Row],[Student_ID]],student_data[],5,0)</f>
        <v>8.93</v>
      </c>
      <c r="G745" s="1">
        <f>VLOOKUP(Table7[[#This Row],[Student_ID]],student_data[#All],6,0)</f>
        <v>2</v>
      </c>
      <c r="H745" s="1">
        <f>VLOOKUP(Table7[[#This Row],[Student_ID]],student_internships[],2,0)</f>
        <v>1</v>
      </c>
      <c r="I745" s="1">
        <f>VLOOKUP(Table7[[#This Row],[Student_ID]],Placements!A745:E1744,5,0)</f>
        <v>0</v>
      </c>
      <c r="J745" s="1" t="str">
        <f>IF(VLOOKUP(Table7[[#This Row],[Student_ID]],student_data[#All],5,0)&gt;8,"HIGH",IF(VLOOKUP(Table7[[#This Row],[Student_ID]],student_data[#All],5,0)&lt;6.5,"LOW","MEDIUM"))</f>
        <v>HIGH</v>
      </c>
    </row>
    <row r="746" spans="1:10" x14ac:dyDescent="0.2">
      <c r="A746" s="1" t="s">
        <v>755</v>
      </c>
      <c r="B746" s="1" t="str">
        <f>VLOOKUP(Table7[[#This Row],[Student_ID]],student_data[#All],2,0)</f>
        <v>Electronics</v>
      </c>
      <c r="C746" s="1">
        <f>(VLOOKUP(Table7[[#This Row],[Student_ID]],student_data[],5,0)*5)+(VLOOKUP(Table7[[#This Row],[Student_ID]],student_data[],6,0)*3)+(VLOOKUP(Table7[[#This Row],[Student_ID]],student_skills[],6,0)*2)+(VLOOKUP(Table7[[#This Row],[Student_ID]],student_internships[],2,0)*5)</f>
        <v>70.8</v>
      </c>
      <c r="D746" s="1">
        <f>AVERAGE(VLOOKUP(Table7[[#This Row],[Student_ID]],student_skills[],3,0),VLOOKUP(Table7[[#This Row],[Student_ID]],student_skills[],4,0),VLOOKUP(Table7[[#This Row],[Student_ID]],student_skills[],5,0),VLOOKUP(Table7[[#This Row],[Student_ID]],student_skills[],6,0))</f>
        <v>5.5</v>
      </c>
      <c r="E746" s="1" t="str">
        <f>IF(VLOOKUP(Table7[[#This Row],[Student_ID]],student_internships[#All],2,0)&gt;1,"EXPERIENCED",IF(VLOOKUP(Table7[[#This Row],[Student_ID]],student_internships[#All],2,0)=1,"BEGINNER","NOT EXPERIENCED"))</f>
        <v>EXPERIENCED</v>
      </c>
      <c r="F746" s="1">
        <f>VLOOKUP(Table7[[#This Row],[Student_ID]],student_data[],5,0)</f>
        <v>8.16</v>
      </c>
      <c r="G746" s="1">
        <f>VLOOKUP(Table7[[#This Row],[Student_ID]],student_data[#All],6,0)</f>
        <v>2</v>
      </c>
      <c r="H746" s="1">
        <f>VLOOKUP(Table7[[#This Row],[Student_ID]],student_internships[],2,0)</f>
        <v>2</v>
      </c>
      <c r="I746" s="1">
        <f>VLOOKUP(Table7[[#This Row],[Student_ID]],Placements!A746:E1745,5,0)</f>
        <v>4.1900000000000004</v>
      </c>
      <c r="J746" s="1" t="str">
        <f>IF(VLOOKUP(Table7[[#This Row],[Student_ID]],student_data[#All],5,0)&gt;8,"HIGH",IF(VLOOKUP(Table7[[#This Row],[Student_ID]],student_data[#All],5,0)&lt;6.5,"LOW","MEDIUM"))</f>
        <v>HIGH</v>
      </c>
    </row>
    <row r="747" spans="1:10" x14ac:dyDescent="0.2">
      <c r="A747" s="1" t="s">
        <v>756</v>
      </c>
      <c r="B747" s="1" t="str">
        <f>VLOOKUP(Table7[[#This Row],[Student_ID]],student_data[#All],2,0)</f>
        <v>Information Technology</v>
      </c>
      <c r="C747" s="1">
        <f>(VLOOKUP(Table7[[#This Row],[Student_ID]],student_data[],5,0)*5)+(VLOOKUP(Table7[[#This Row],[Student_ID]],student_data[],6,0)*3)+(VLOOKUP(Table7[[#This Row],[Student_ID]],student_skills[],6,0)*2)+(VLOOKUP(Table7[[#This Row],[Student_ID]],student_internships[],2,0)*5)</f>
        <v>72.349999999999994</v>
      </c>
      <c r="D747" s="1">
        <f>AVERAGE(VLOOKUP(Table7[[#This Row],[Student_ID]],student_skills[],3,0),VLOOKUP(Table7[[#This Row],[Student_ID]],student_skills[],4,0),VLOOKUP(Table7[[#This Row],[Student_ID]],student_skills[],5,0),VLOOKUP(Table7[[#This Row],[Student_ID]],student_skills[],6,0))</f>
        <v>5.5</v>
      </c>
      <c r="E747" s="1" t="str">
        <f>IF(VLOOKUP(Table7[[#This Row],[Student_ID]],student_internships[#All],2,0)&gt;1,"EXPERIENCED",IF(VLOOKUP(Table7[[#This Row],[Student_ID]],student_internships[#All],2,0)=1,"BEGINNER","NOT EXPERIENCED"))</f>
        <v>BEGINNER</v>
      </c>
      <c r="F747" s="1">
        <f>VLOOKUP(Table7[[#This Row],[Student_ID]],student_data[],5,0)</f>
        <v>6.87</v>
      </c>
      <c r="G747" s="1">
        <f>VLOOKUP(Table7[[#This Row],[Student_ID]],student_data[#All],6,0)</f>
        <v>5</v>
      </c>
      <c r="H747" s="1">
        <f>VLOOKUP(Table7[[#This Row],[Student_ID]],student_internships[],2,0)</f>
        <v>1</v>
      </c>
      <c r="I747" s="1">
        <f>VLOOKUP(Table7[[#This Row],[Student_ID]],Placements!A747:E1746,5,0)</f>
        <v>4.53</v>
      </c>
      <c r="J747" s="1" t="str">
        <f>IF(VLOOKUP(Table7[[#This Row],[Student_ID]],student_data[#All],5,0)&gt;8,"HIGH",IF(VLOOKUP(Table7[[#This Row],[Student_ID]],student_data[#All],5,0)&lt;6.5,"LOW","MEDIUM"))</f>
        <v>MEDIUM</v>
      </c>
    </row>
    <row r="748" spans="1:10" x14ac:dyDescent="0.2">
      <c r="A748" s="1" t="s">
        <v>757</v>
      </c>
      <c r="B748" s="1" t="str">
        <f>VLOOKUP(Table7[[#This Row],[Student_ID]],student_data[#All],2,0)</f>
        <v>Mechanical</v>
      </c>
      <c r="C748" s="1">
        <f>(VLOOKUP(Table7[[#This Row],[Student_ID]],student_data[],5,0)*5)+(VLOOKUP(Table7[[#This Row],[Student_ID]],student_data[],6,0)*3)+(VLOOKUP(Table7[[#This Row],[Student_ID]],student_skills[],6,0)*2)+(VLOOKUP(Table7[[#This Row],[Student_ID]],student_internships[],2,0)*5)</f>
        <v>42.8</v>
      </c>
      <c r="D748" s="1">
        <f>AVERAGE(VLOOKUP(Table7[[#This Row],[Student_ID]],student_skills[],3,0),VLOOKUP(Table7[[#This Row],[Student_ID]],student_skills[],4,0),VLOOKUP(Table7[[#This Row],[Student_ID]],student_skills[],5,0),VLOOKUP(Table7[[#This Row],[Student_ID]],student_skills[],6,0))</f>
        <v>2</v>
      </c>
      <c r="E748" s="1" t="str">
        <f>IF(VLOOKUP(Table7[[#This Row],[Student_ID]],student_internships[#All],2,0)&gt;1,"EXPERIENCED",IF(VLOOKUP(Table7[[#This Row],[Student_ID]],student_internships[#All],2,0)=1,"BEGINNER","NOT EXPERIENCED"))</f>
        <v>NOT EXPERIENCED</v>
      </c>
      <c r="F748" s="1">
        <f>VLOOKUP(Table7[[#This Row],[Student_ID]],student_data[],5,0)</f>
        <v>6.36</v>
      </c>
      <c r="G748" s="1">
        <f>VLOOKUP(Table7[[#This Row],[Student_ID]],student_data[#All],6,0)</f>
        <v>3</v>
      </c>
      <c r="H748" s="1">
        <f>VLOOKUP(Table7[[#This Row],[Student_ID]],student_internships[],2,0)</f>
        <v>0</v>
      </c>
      <c r="I748" s="1">
        <f>VLOOKUP(Table7[[#This Row],[Student_ID]],Placements!A748:E1747,5,0)</f>
        <v>5.13</v>
      </c>
      <c r="J748" s="1" t="str">
        <f>IF(VLOOKUP(Table7[[#This Row],[Student_ID]],student_data[#All],5,0)&gt;8,"HIGH",IF(VLOOKUP(Table7[[#This Row],[Student_ID]],student_data[#All],5,0)&lt;6.5,"LOW","MEDIUM"))</f>
        <v>LOW</v>
      </c>
    </row>
    <row r="749" spans="1:10" x14ac:dyDescent="0.2">
      <c r="A749" s="1" t="s">
        <v>758</v>
      </c>
      <c r="B749" s="1" t="str">
        <f>VLOOKUP(Table7[[#This Row],[Student_ID]],student_data[#All],2,0)</f>
        <v>Mechanical</v>
      </c>
      <c r="C749" s="1">
        <f>(VLOOKUP(Table7[[#This Row],[Student_ID]],student_data[],5,0)*5)+(VLOOKUP(Table7[[#This Row],[Student_ID]],student_data[],6,0)*3)+(VLOOKUP(Table7[[#This Row],[Student_ID]],student_skills[],6,0)*2)+(VLOOKUP(Table7[[#This Row],[Student_ID]],student_internships[],2,0)*5)</f>
        <v>53.8</v>
      </c>
      <c r="D749" s="1">
        <f>AVERAGE(VLOOKUP(Table7[[#This Row],[Student_ID]],student_skills[],3,0),VLOOKUP(Table7[[#This Row],[Student_ID]],student_skills[],4,0),VLOOKUP(Table7[[#This Row],[Student_ID]],student_skills[],5,0),VLOOKUP(Table7[[#This Row],[Student_ID]],student_skills[],6,0))</f>
        <v>3.25</v>
      </c>
      <c r="E749" s="1" t="str">
        <f>IF(VLOOKUP(Table7[[#This Row],[Student_ID]],student_internships[#All],2,0)&gt;1,"EXPERIENCED",IF(VLOOKUP(Table7[[#This Row],[Student_ID]],student_internships[#All],2,0)=1,"BEGINNER","NOT EXPERIENCED"))</f>
        <v>EXPERIENCED</v>
      </c>
      <c r="F749" s="1">
        <f>VLOOKUP(Table7[[#This Row],[Student_ID]],student_data[],5,0)</f>
        <v>6.16</v>
      </c>
      <c r="G749" s="1">
        <f>VLOOKUP(Table7[[#This Row],[Student_ID]],student_data[#All],6,0)</f>
        <v>3</v>
      </c>
      <c r="H749" s="1">
        <f>VLOOKUP(Table7[[#This Row],[Student_ID]],student_internships[],2,0)</f>
        <v>2</v>
      </c>
      <c r="I749" s="1">
        <f>VLOOKUP(Table7[[#This Row],[Student_ID]],Placements!A749:E1748,5,0)</f>
        <v>4.1100000000000003</v>
      </c>
      <c r="J749" s="1" t="str">
        <f>IF(VLOOKUP(Table7[[#This Row],[Student_ID]],student_data[#All],5,0)&gt;8,"HIGH",IF(VLOOKUP(Table7[[#This Row],[Student_ID]],student_data[#All],5,0)&lt;6.5,"LOW","MEDIUM"))</f>
        <v>LOW</v>
      </c>
    </row>
    <row r="750" spans="1:10" x14ac:dyDescent="0.2">
      <c r="A750" s="1" t="s">
        <v>759</v>
      </c>
      <c r="B750" s="1" t="str">
        <f>VLOOKUP(Table7[[#This Row],[Student_ID]],student_data[#All],2,0)</f>
        <v>Mechanical</v>
      </c>
      <c r="C750" s="1">
        <f>(VLOOKUP(Table7[[#This Row],[Student_ID]],student_data[],5,0)*5)+(VLOOKUP(Table7[[#This Row],[Student_ID]],student_data[],6,0)*3)+(VLOOKUP(Table7[[#This Row],[Student_ID]],student_skills[],6,0)*2)+(VLOOKUP(Table7[[#This Row],[Student_ID]],student_internships[],2,0)*5)</f>
        <v>67.95</v>
      </c>
      <c r="D750" s="1">
        <f>AVERAGE(VLOOKUP(Table7[[#This Row],[Student_ID]],student_skills[],3,0),VLOOKUP(Table7[[#This Row],[Student_ID]],student_skills[],4,0),VLOOKUP(Table7[[#This Row],[Student_ID]],student_skills[],5,0),VLOOKUP(Table7[[#This Row],[Student_ID]],student_skills[],6,0))</f>
        <v>7.75</v>
      </c>
      <c r="E750" s="1" t="str">
        <f>IF(VLOOKUP(Table7[[#This Row],[Student_ID]],student_internships[#All],2,0)&gt;1,"EXPERIENCED",IF(VLOOKUP(Table7[[#This Row],[Student_ID]],student_internships[#All],2,0)=1,"BEGINNER","NOT EXPERIENCED"))</f>
        <v>BEGINNER</v>
      </c>
      <c r="F750" s="1">
        <f>VLOOKUP(Table7[[#This Row],[Student_ID]],student_data[],5,0)</f>
        <v>6.59</v>
      </c>
      <c r="G750" s="1">
        <f>VLOOKUP(Table7[[#This Row],[Student_ID]],student_data[#All],6,0)</f>
        <v>4</v>
      </c>
      <c r="H750" s="1">
        <f>VLOOKUP(Table7[[#This Row],[Student_ID]],student_internships[],2,0)</f>
        <v>1</v>
      </c>
      <c r="I750" s="1">
        <f>VLOOKUP(Table7[[#This Row],[Student_ID]],Placements!A750:E1749,5,0)</f>
        <v>4.5599999999999996</v>
      </c>
      <c r="J750" s="1" t="str">
        <f>IF(VLOOKUP(Table7[[#This Row],[Student_ID]],student_data[#All],5,0)&gt;8,"HIGH",IF(VLOOKUP(Table7[[#This Row],[Student_ID]],student_data[#All],5,0)&lt;6.5,"LOW","MEDIUM"))</f>
        <v>MEDIUM</v>
      </c>
    </row>
    <row r="751" spans="1:10" x14ac:dyDescent="0.2">
      <c r="A751" s="1" t="s">
        <v>760</v>
      </c>
      <c r="B751" s="1" t="str">
        <f>VLOOKUP(Table7[[#This Row],[Student_ID]],student_data[#All],2,0)</f>
        <v>Mechanical</v>
      </c>
      <c r="C751" s="1">
        <f>(VLOOKUP(Table7[[#This Row],[Student_ID]],student_data[],5,0)*5)+(VLOOKUP(Table7[[#This Row],[Student_ID]],student_data[],6,0)*3)+(VLOOKUP(Table7[[#This Row],[Student_ID]],student_skills[],6,0)*2)+(VLOOKUP(Table7[[#This Row],[Student_ID]],student_internships[],2,0)*5)</f>
        <v>85.6</v>
      </c>
      <c r="D751" s="1">
        <f>AVERAGE(VLOOKUP(Table7[[#This Row],[Student_ID]],student_skills[],3,0),VLOOKUP(Table7[[#This Row],[Student_ID]],student_skills[],4,0),VLOOKUP(Table7[[#This Row],[Student_ID]],student_skills[],5,0),VLOOKUP(Table7[[#This Row],[Student_ID]],student_skills[],6,0))</f>
        <v>4.5</v>
      </c>
      <c r="E751" s="1" t="str">
        <f>IF(VLOOKUP(Table7[[#This Row],[Student_ID]],student_internships[#All],2,0)&gt;1,"EXPERIENCED",IF(VLOOKUP(Table7[[#This Row],[Student_ID]],student_internships[#All],2,0)=1,"BEGINNER","NOT EXPERIENCED"))</f>
        <v>BEGINNER</v>
      </c>
      <c r="F751" s="1">
        <f>VLOOKUP(Table7[[#This Row],[Student_ID]],student_data[],5,0)</f>
        <v>9.52</v>
      </c>
      <c r="G751" s="1">
        <f>VLOOKUP(Table7[[#This Row],[Student_ID]],student_data[#All],6,0)</f>
        <v>5</v>
      </c>
      <c r="H751" s="1">
        <f>VLOOKUP(Table7[[#This Row],[Student_ID]],student_internships[],2,0)</f>
        <v>1</v>
      </c>
      <c r="I751" s="1">
        <f>VLOOKUP(Table7[[#This Row],[Student_ID]],Placements!A751:E1750,5,0)</f>
        <v>4.5</v>
      </c>
      <c r="J751" s="1" t="str">
        <f>IF(VLOOKUP(Table7[[#This Row],[Student_ID]],student_data[#All],5,0)&gt;8,"HIGH",IF(VLOOKUP(Table7[[#This Row],[Student_ID]],student_data[#All],5,0)&lt;6.5,"LOW","MEDIUM"))</f>
        <v>HIGH</v>
      </c>
    </row>
    <row r="752" spans="1:10" x14ac:dyDescent="0.2">
      <c r="A752" s="1" t="s">
        <v>761</v>
      </c>
      <c r="B752" s="1" t="str">
        <f>VLOOKUP(Table7[[#This Row],[Student_ID]],student_data[#All],2,0)</f>
        <v>Computer Science</v>
      </c>
      <c r="C752" s="1">
        <f>(VLOOKUP(Table7[[#This Row],[Student_ID]],student_data[],5,0)*5)+(VLOOKUP(Table7[[#This Row],[Student_ID]],student_data[],6,0)*3)+(VLOOKUP(Table7[[#This Row],[Student_ID]],student_skills[],6,0)*2)+(VLOOKUP(Table7[[#This Row],[Student_ID]],student_internships[],2,0)*5)</f>
        <v>59.95</v>
      </c>
      <c r="D752" s="1">
        <f>AVERAGE(VLOOKUP(Table7[[#This Row],[Student_ID]],student_skills[],3,0),VLOOKUP(Table7[[#This Row],[Student_ID]],student_skills[],4,0),VLOOKUP(Table7[[#This Row],[Student_ID]],student_skills[],5,0),VLOOKUP(Table7[[#This Row],[Student_ID]],student_skills[],6,0))</f>
        <v>4.5</v>
      </c>
      <c r="E752" s="1" t="str">
        <f>IF(VLOOKUP(Table7[[#This Row],[Student_ID]],student_internships[#All],2,0)&gt;1,"EXPERIENCED",IF(VLOOKUP(Table7[[#This Row],[Student_ID]],student_internships[#All],2,0)=1,"BEGINNER","NOT EXPERIENCED"))</f>
        <v>EXPERIENCED</v>
      </c>
      <c r="F752" s="1">
        <f>VLOOKUP(Table7[[#This Row],[Student_ID]],student_data[],5,0)</f>
        <v>5.39</v>
      </c>
      <c r="G752" s="1">
        <f>VLOOKUP(Table7[[#This Row],[Student_ID]],student_data[#All],6,0)</f>
        <v>2</v>
      </c>
      <c r="H752" s="1">
        <f>VLOOKUP(Table7[[#This Row],[Student_ID]],student_internships[],2,0)</f>
        <v>3</v>
      </c>
      <c r="I752" s="1">
        <f>VLOOKUP(Table7[[#This Row],[Student_ID]],Placements!A752:E1751,5,0)</f>
        <v>5.19</v>
      </c>
      <c r="J752" s="1" t="str">
        <f>IF(VLOOKUP(Table7[[#This Row],[Student_ID]],student_data[#All],5,0)&gt;8,"HIGH",IF(VLOOKUP(Table7[[#This Row],[Student_ID]],student_data[#All],5,0)&lt;6.5,"LOW","MEDIUM"))</f>
        <v>LOW</v>
      </c>
    </row>
    <row r="753" spans="1:10" x14ac:dyDescent="0.2">
      <c r="A753" s="1" t="s">
        <v>762</v>
      </c>
      <c r="B753" s="1" t="str">
        <f>VLOOKUP(Table7[[#This Row],[Student_ID]],student_data[#All],2,0)</f>
        <v>Mechanical</v>
      </c>
      <c r="C753" s="1">
        <f>(VLOOKUP(Table7[[#This Row],[Student_ID]],student_data[],5,0)*5)+(VLOOKUP(Table7[[#This Row],[Student_ID]],student_data[],6,0)*3)+(VLOOKUP(Table7[[#This Row],[Student_ID]],student_skills[],6,0)*2)+(VLOOKUP(Table7[[#This Row],[Student_ID]],student_internships[],2,0)*5)</f>
        <v>62.7</v>
      </c>
      <c r="D753" s="1">
        <f>AVERAGE(VLOOKUP(Table7[[#This Row],[Student_ID]],student_skills[],3,0),VLOOKUP(Table7[[#This Row],[Student_ID]],student_skills[],4,0),VLOOKUP(Table7[[#This Row],[Student_ID]],student_skills[],5,0),VLOOKUP(Table7[[#This Row],[Student_ID]],student_skills[],6,0))</f>
        <v>6</v>
      </c>
      <c r="E753" s="1" t="str">
        <f>IF(VLOOKUP(Table7[[#This Row],[Student_ID]],student_internships[#All],2,0)&gt;1,"EXPERIENCED",IF(VLOOKUP(Table7[[#This Row],[Student_ID]],student_internships[#All],2,0)=1,"BEGINNER","NOT EXPERIENCED"))</f>
        <v>BEGINNER</v>
      </c>
      <c r="F753" s="1">
        <f>VLOOKUP(Table7[[#This Row],[Student_ID]],student_data[],5,0)</f>
        <v>9.14</v>
      </c>
      <c r="G753" s="1">
        <f>VLOOKUP(Table7[[#This Row],[Student_ID]],student_data[#All],6,0)</f>
        <v>0</v>
      </c>
      <c r="H753" s="1">
        <f>VLOOKUP(Table7[[#This Row],[Student_ID]],student_internships[],2,0)</f>
        <v>1</v>
      </c>
      <c r="I753" s="1">
        <f>VLOOKUP(Table7[[#This Row],[Student_ID]],Placements!A753:E1752,5,0)</f>
        <v>0</v>
      </c>
      <c r="J753" s="1" t="str">
        <f>IF(VLOOKUP(Table7[[#This Row],[Student_ID]],student_data[#All],5,0)&gt;8,"HIGH",IF(VLOOKUP(Table7[[#This Row],[Student_ID]],student_data[#All],5,0)&lt;6.5,"LOW","MEDIUM"))</f>
        <v>HIGH</v>
      </c>
    </row>
    <row r="754" spans="1:10" x14ac:dyDescent="0.2">
      <c r="A754" s="1" t="s">
        <v>763</v>
      </c>
      <c r="B754" s="1" t="str">
        <f>VLOOKUP(Table7[[#This Row],[Student_ID]],student_data[#All],2,0)</f>
        <v>Civil</v>
      </c>
      <c r="C754" s="1">
        <f>(VLOOKUP(Table7[[#This Row],[Student_ID]],student_data[],5,0)*5)+(VLOOKUP(Table7[[#This Row],[Student_ID]],student_data[],6,0)*3)+(VLOOKUP(Table7[[#This Row],[Student_ID]],student_skills[],6,0)*2)+(VLOOKUP(Table7[[#This Row],[Student_ID]],student_internships[],2,0)*5)</f>
        <v>53.7</v>
      </c>
      <c r="D754" s="1">
        <f>AVERAGE(VLOOKUP(Table7[[#This Row],[Student_ID]],student_skills[],3,0),VLOOKUP(Table7[[#This Row],[Student_ID]],student_skills[],4,0),VLOOKUP(Table7[[#This Row],[Student_ID]],student_skills[],5,0),VLOOKUP(Table7[[#This Row],[Student_ID]],student_skills[],6,0))</f>
        <v>5</v>
      </c>
      <c r="E754" s="1" t="str">
        <f>IF(VLOOKUP(Table7[[#This Row],[Student_ID]],student_internships[#All],2,0)&gt;1,"EXPERIENCED",IF(VLOOKUP(Table7[[#This Row],[Student_ID]],student_internships[#All],2,0)=1,"BEGINNER","NOT EXPERIENCED"))</f>
        <v>NOT EXPERIENCED</v>
      </c>
      <c r="F754" s="1">
        <f>VLOOKUP(Table7[[#This Row],[Student_ID]],student_data[],5,0)</f>
        <v>6.74</v>
      </c>
      <c r="G754" s="1">
        <f>VLOOKUP(Table7[[#This Row],[Student_ID]],student_data[#All],6,0)</f>
        <v>4</v>
      </c>
      <c r="H754" s="1">
        <f>VLOOKUP(Table7[[#This Row],[Student_ID]],student_internships[],2,0)</f>
        <v>0</v>
      </c>
      <c r="I754" s="1">
        <f>VLOOKUP(Table7[[#This Row],[Student_ID]],Placements!A754:E1753,5,0)</f>
        <v>0</v>
      </c>
      <c r="J754" s="1" t="str">
        <f>IF(VLOOKUP(Table7[[#This Row],[Student_ID]],student_data[#All],5,0)&gt;8,"HIGH",IF(VLOOKUP(Table7[[#This Row],[Student_ID]],student_data[#All],5,0)&lt;6.5,"LOW","MEDIUM"))</f>
        <v>MEDIUM</v>
      </c>
    </row>
    <row r="755" spans="1:10" x14ac:dyDescent="0.2">
      <c r="A755" s="1" t="s">
        <v>764</v>
      </c>
      <c r="B755" s="1" t="str">
        <f>VLOOKUP(Table7[[#This Row],[Student_ID]],student_data[#All],2,0)</f>
        <v>Civil</v>
      </c>
      <c r="C755" s="1">
        <f>(VLOOKUP(Table7[[#This Row],[Student_ID]],student_data[],5,0)*5)+(VLOOKUP(Table7[[#This Row],[Student_ID]],student_data[],6,0)*3)+(VLOOKUP(Table7[[#This Row],[Student_ID]],student_skills[],6,0)*2)+(VLOOKUP(Table7[[#This Row],[Student_ID]],student_internships[],2,0)*5)</f>
        <v>61.050000000000004</v>
      </c>
      <c r="D755" s="1">
        <f>AVERAGE(VLOOKUP(Table7[[#This Row],[Student_ID]],student_skills[],3,0),VLOOKUP(Table7[[#This Row],[Student_ID]],student_skills[],4,0),VLOOKUP(Table7[[#This Row],[Student_ID]],student_skills[],5,0),VLOOKUP(Table7[[#This Row],[Student_ID]],student_skills[],6,0))</f>
        <v>5</v>
      </c>
      <c r="E755" s="1" t="str">
        <f>IF(VLOOKUP(Table7[[#This Row],[Student_ID]],student_internships[#All],2,0)&gt;1,"EXPERIENCED",IF(VLOOKUP(Table7[[#This Row],[Student_ID]],student_internships[#All],2,0)=1,"BEGINNER","NOT EXPERIENCED"))</f>
        <v>EXPERIENCED</v>
      </c>
      <c r="F755" s="1">
        <f>VLOOKUP(Table7[[#This Row],[Student_ID]],student_data[],5,0)</f>
        <v>7.61</v>
      </c>
      <c r="G755" s="1">
        <f>VLOOKUP(Table7[[#This Row],[Student_ID]],student_data[#All],6,0)</f>
        <v>0</v>
      </c>
      <c r="H755" s="1">
        <f>VLOOKUP(Table7[[#This Row],[Student_ID]],student_internships[],2,0)</f>
        <v>3</v>
      </c>
      <c r="I755" s="1">
        <f>VLOOKUP(Table7[[#This Row],[Student_ID]],Placements!A755:E1754,5,0)</f>
        <v>4.5599999999999996</v>
      </c>
      <c r="J755" s="1" t="str">
        <f>IF(VLOOKUP(Table7[[#This Row],[Student_ID]],student_data[#All],5,0)&gt;8,"HIGH",IF(VLOOKUP(Table7[[#This Row],[Student_ID]],student_data[#All],5,0)&lt;6.5,"LOW","MEDIUM"))</f>
        <v>MEDIUM</v>
      </c>
    </row>
    <row r="756" spans="1:10" x14ac:dyDescent="0.2">
      <c r="A756" s="1" t="s">
        <v>765</v>
      </c>
      <c r="B756" s="1" t="str">
        <f>VLOOKUP(Table7[[#This Row],[Student_ID]],student_data[#All],2,0)</f>
        <v>Computer Science</v>
      </c>
      <c r="C756" s="1">
        <f>(VLOOKUP(Table7[[#This Row],[Student_ID]],student_data[],5,0)*5)+(VLOOKUP(Table7[[#This Row],[Student_ID]],student_data[],6,0)*3)+(VLOOKUP(Table7[[#This Row],[Student_ID]],student_skills[],6,0)*2)+(VLOOKUP(Table7[[#This Row],[Student_ID]],student_internships[],2,0)*5)</f>
        <v>68.849999999999994</v>
      </c>
      <c r="D756" s="1">
        <f>AVERAGE(VLOOKUP(Table7[[#This Row],[Student_ID]],student_skills[],3,0),VLOOKUP(Table7[[#This Row],[Student_ID]],student_skills[],4,0),VLOOKUP(Table7[[#This Row],[Student_ID]],student_skills[],5,0),VLOOKUP(Table7[[#This Row],[Student_ID]],student_skills[],6,0))</f>
        <v>8</v>
      </c>
      <c r="E756" s="1" t="str">
        <f>IF(VLOOKUP(Table7[[#This Row],[Student_ID]],student_internships[#All],2,0)&gt;1,"EXPERIENCED",IF(VLOOKUP(Table7[[#This Row],[Student_ID]],student_internships[#All],2,0)=1,"BEGINNER","NOT EXPERIENCED"))</f>
        <v>BEGINNER</v>
      </c>
      <c r="F756" s="1">
        <f>VLOOKUP(Table7[[#This Row],[Student_ID]],student_data[],5,0)</f>
        <v>8.9700000000000006</v>
      </c>
      <c r="G756" s="1">
        <f>VLOOKUP(Table7[[#This Row],[Student_ID]],student_data[#All],6,0)</f>
        <v>3</v>
      </c>
      <c r="H756" s="1">
        <f>VLOOKUP(Table7[[#This Row],[Student_ID]],student_internships[],2,0)</f>
        <v>1</v>
      </c>
      <c r="I756" s="1">
        <f>VLOOKUP(Table7[[#This Row],[Student_ID]],Placements!A756:E1755,5,0)</f>
        <v>4.1900000000000004</v>
      </c>
      <c r="J756" s="1" t="str">
        <f>IF(VLOOKUP(Table7[[#This Row],[Student_ID]],student_data[#All],5,0)&gt;8,"HIGH",IF(VLOOKUP(Table7[[#This Row],[Student_ID]],student_data[#All],5,0)&lt;6.5,"LOW","MEDIUM"))</f>
        <v>HIGH</v>
      </c>
    </row>
    <row r="757" spans="1:10" x14ac:dyDescent="0.2">
      <c r="A757" s="1" t="s">
        <v>766</v>
      </c>
      <c r="B757" s="1" t="str">
        <f>VLOOKUP(Table7[[#This Row],[Student_ID]],student_data[#All],2,0)</f>
        <v>Mechanical</v>
      </c>
      <c r="C757" s="1">
        <f>(VLOOKUP(Table7[[#This Row],[Student_ID]],student_data[],5,0)*5)+(VLOOKUP(Table7[[#This Row],[Student_ID]],student_data[],6,0)*3)+(VLOOKUP(Table7[[#This Row],[Student_ID]],student_skills[],6,0)*2)+(VLOOKUP(Table7[[#This Row],[Student_ID]],student_internships[],2,0)*5)</f>
        <v>70.099999999999994</v>
      </c>
      <c r="D757" s="1">
        <f>AVERAGE(VLOOKUP(Table7[[#This Row],[Student_ID]],student_skills[],3,0),VLOOKUP(Table7[[#This Row],[Student_ID]],student_skills[],4,0),VLOOKUP(Table7[[#This Row],[Student_ID]],student_skills[],5,0),VLOOKUP(Table7[[#This Row],[Student_ID]],student_skills[],6,0))</f>
        <v>6.25</v>
      </c>
      <c r="E757" s="1" t="str">
        <f>IF(VLOOKUP(Table7[[#This Row],[Student_ID]],student_internships[#All],2,0)&gt;1,"EXPERIENCED",IF(VLOOKUP(Table7[[#This Row],[Student_ID]],student_internships[#All],2,0)=1,"BEGINNER","NOT EXPERIENCED"))</f>
        <v>BEGINNER</v>
      </c>
      <c r="F757" s="1">
        <f>VLOOKUP(Table7[[#This Row],[Student_ID]],student_data[],5,0)</f>
        <v>9.42</v>
      </c>
      <c r="G757" s="1">
        <f>VLOOKUP(Table7[[#This Row],[Student_ID]],student_data[#All],6,0)</f>
        <v>4</v>
      </c>
      <c r="H757" s="1">
        <f>VLOOKUP(Table7[[#This Row],[Student_ID]],student_internships[],2,0)</f>
        <v>1</v>
      </c>
      <c r="I757" s="1">
        <f>VLOOKUP(Table7[[#This Row],[Student_ID]],Placements!A757:E1756,5,0)</f>
        <v>5.43</v>
      </c>
      <c r="J757" s="1" t="str">
        <f>IF(VLOOKUP(Table7[[#This Row],[Student_ID]],student_data[#All],5,0)&gt;8,"HIGH",IF(VLOOKUP(Table7[[#This Row],[Student_ID]],student_data[#All],5,0)&lt;6.5,"LOW","MEDIUM"))</f>
        <v>HIGH</v>
      </c>
    </row>
    <row r="758" spans="1:10" x14ac:dyDescent="0.2">
      <c r="A758" s="1" t="s">
        <v>767</v>
      </c>
      <c r="B758" s="1" t="str">
        <f>VLOOKUP(Table7[[#This Row],[Student_ID]],student_data[#All],2,0)</f>
        <v>Mechanical</v>
      </c>
      <c r="C758" s="1">
        <f>(VLOOKUP(Table7[[#This Row],[Student_ID]],student_data[],5,0)*5)+(VLOOKUP(Table7[[#This Row],[Student_ID]],student_data[],6,0)*3)+(VLOOKUP(Table7[[#This Row],[Student_ID]],student_skills[],6,0)*2)+(VLOOKUP(Table7[[#This Row],[Student_ID]],student_internships[],2,0)*5)</f>
        <v>47.6</v>
      </c>
      <c r="D758" s="1">
        <f>AVERAGE(VLOOKUP(Table7[[#This Row],[Student_ID]],student_skills[],3,0),VLOOKUP(Table7[[#This Row],[Student_ID]],student_skills[],4,0),VLOOKUP(Table7[[#This Row],[Student_ID]],student_skills[],5,0),VLOOKUP(Table7[[#This Row],[Student_ID]],student_skills[],6,0))</f>
        <v>6</v>
      </c>
      <c r="E758" s="1" t="str">
        <f>IF(VLOOKUP(Table7[[#This Row],[Student_ID]],student_internships[#All],2,0)&gt;1,"EXPERIENCED",IF(VLOOKUP(Table7[[#This Row],[Student_ID]],student_internships[#All],2,0)=1,"BEGINNER","NOT EXPERIENCED"))</f>
        <v>NOT EXPERIENCED</v>
      </c>
      <c r="F758" s="1">
        <f>VLOOKUP(Table7[[#This Row],[Student_ID]],student_data[],5,0)</f>
        <v>6.72</v>
      </c>
      <c r="G758" s="1">
        <f>VLOOKUP(Table7[[#This Row],[Student_ID]],student_data[#All],6,0)</f>
        <v>4</v>
      </c>
      <c r="H758" s="1">
        <f>VLOOKUP(Table7[[#This Row],[Student_ID]],student_internships[],2,0)</f>
        <v>0</v>
      </c>
      <c r="I758" s="1">
        <f>VLOOKUP(Table7[[#This Row],[Student_ID]],Placements!A758:E1757,5,0)</f>
        <v>4.3</v>
      </c>
      <c r="J758" s="1" t="str">
        <f>IF(VLOOKUP(Table7[[#This Row],[Student_ID]],student_data[#All],5,0)&gt;8,"HIGH",IF(VLOOKUP(Table7[[#This Row],[Student_ID]],student_data[#All],5,0)&lt;6.5,"LOW","MEDIUM"))</f>
        <v>MEDIUM</v>
      </c>
    </row>
    <row r="759" spans="1:10" x14ac:dyDescent="0.2">
      <c r="A759" s="1" t="s">
        <v>768</v>
      </c>
      <c r="B759" s="1" t="str">
        <f>VLOOKUP(Table7[[#This Row],[Student_ID]],student_data[#All],2,0)</f>
        <v>Mechanical</v>
      </c>
      <c r="C759" s="1">
        <f>(VLOOKUP(Table7[[#This Row],[Student_ID]],student_data[],5,0)*5)+(VLOOKUP(Table7[[#This Row],[Student_ID]],student_data[],6,0)*3)+(VLOOKUP(Table7[[#This Row],[Student_ID]],student_skills[],6,0)*2)+(VLOOKUP(Table7[[#This Row],[Student_ID]],student_internships[],2,0)*5)</f>
        <v>51.55</v>
      </c>
      <c r="D759" s="1">
        <f>AVERAGE(VLOOKUP(Table7[[#This Row],[Student_ID]],student_skills[],3,0),VLOOKUP(Table7[[#This Row],[Student_ID]],student_skills[],4,0),VLOOKUP(Table7[[#This Row],[Student_ID]],student_skills[],5,0),VLOOKUP(Table7[[#This Row],[Student_ID]],student_skills[],6,0))</f>
        <v>3</v>
      </c>
      <c r="E759" s="1" t="str">
        <f>IF(VLOOKUP(Table7[[#This Row],[Student_ID]],student_internships[#All],2,0)&gt;1,"EXPERIENCED",IF(VLOOKUP(Table7[[#This Row],[Student_ID]],student_internships[#All],2,0)=1,"BEGINNER","NOT EXPERIENCED"))</f>
        <v>EXPERIENCED</v>
      </c>
      <c r="F759" s="1">
        <f>VLOOKUP(Table7[[#This Row],[Student_ID]],student_data[],5,0)</f>
        <v>7.31</v>
      </c>
      <c r="G759" s="1">
        <f>VLOOKUP(Table7[[#This Row],[Student_ID]],student_data[#All],6,0)</f>
        <v>1</v>
      </c>
      <c r="H759" s="1">
        <f>VLOOKUP(Table7[[#This Row],[Student_ID]],student_internships[],2,0)</f>
        <v>2</v>
      </c>
      <c r="I759" s="1">
        <f>VLOOKUP(Table7[[#This Row],[Student_ID]],Placements!A759:E1758,5,0)</f>
        <v>5.15</v>
      </c>
      <c r="J759" s="1" t="str">
        <f>IF(VLOOKUP(Table7[[#This Row],[Student_ID]],student_data[#All],5,0)&gt;8,"HIGH",IF(VLOOKUP(Table7[[#This Row],[Student_ID]],student_data[#All],5,0)&lt;6.5,"LOW","MEDIUM"))</f>
        <v>MEDIUM</v>
      </c>
    </row>
    <row r="760" spans="1:10" x14ac:dyDescent="0.2">
      <c r="A760" s="1" t="s">
        <v>769</v>
      </c>
      <c r="B760" s="1" t="str">
        <f>VLOOKUP(Table7[[#This Row],[Student_ID]],student_data[#All],2,0)</f>
        <v>Information Technology</v>
      </c>
      <c r="C760" s="1">
        <f>(VLOOKUP(Table7[[#This Row],[Student_ID]],student_data[],5,0)*5)+(VLOOKUP(Table7[[#This Row],[Student_ID]],student_data[],6,0)*3)+(VLOOKUP(Table7[[#This Row],[Student_ID]],student_skills[],6,0)*2)+(VLOOKUP(Table7[[#This Row],[Student_ID]],student_internships[],2,0)*5)</f>
        <v>63.35</v>
      </c>
      <c r="D760" s="1">
        <f>AVERAGE(VLOOKUP(Table7[[#This Row],[Student_ID]],student_skills[],3,0),VLOOKUP(Table7[[#This Row],[Student_ID]],student_skills[],4,0),VLOOKUP(Table7[[#This Row],[Student_ID]],student_skills[],5,0),VLOOKUP(Table7[[#This Row],[Student_ID]],student_skills[],6,0))</f>
        <v>3.5</v>
      </c>
      <c r="E760" s="1" t="str">
        <f>IF(VLOOKUP(Table7[[#This Row],[Student_ID]],student_internships[#All],2,0)&gt;1,"EXPERIENCED",IF(VLOOKUP(Table7[[#This Row],[Student_ID]],student_internships[#All],2,0)=1,"BEGINNER","NOT EXPERIENCED"))</f>
        <v>BEGINNER</v>
      </c>
      <c r="F760" s="1">
        <f>VLOOKUP(Table7[[#This Row],[Student_ID]],student_data[],5,0)</f>
        <v>7.07</v>
      </c>
      <c r="G760" s="1">
        <f>VLOOKUP(Table7[[#This Row],[Student_ID]],student_data[#All],6,0)</f>
        <v>3</v>
      </c>
      <c r="H760" s="1">
        <f>VLOOKUP(Table7[[#This Row],[Student_ID]],student_internships[],2,0)</f>
        <v>1</v>
      </c>
      <c r="I760" s="1">
        <f>VLOOKUP(Table7[[#This Row],[Student_ID]],Placements!A760:E1759,5,0)</f>
        <v>4.5</v>
      </c>
      <c r="J760" s="1" t="str">
        <f>IF(VLOOKUP(Table7[[#This Row],[Student_ID]],student_data[#All],5,0)&gt;8,"HIGH",IF(VLOOKUP(Table7[[#This Row],[Student_ID]],student_data[#All],5,0)&lt;6.5,"LOW","MEDIUM"))</f>
        <v>MEDIUM</v>
      </c>
    </row>
    <row r="761" spans="1:10" x14ac:dyDescent="0.2">
      <c r="A761" s="1" t="s">
        <v>770</v>
      </c>
      <c r="B761" s="1" t="str">
        <f>VLOOKUP(Table7[[#This Row],[Student_ID]],student_data[#All],2,0)</f>
        <v>Electronics</v>
      </c>
      <c r="C761" s="1">
        <f>(VLOOKUP(Table7[[#This Row],[Student_ID]],student_data[],5,0)*5)+(VLOOKUP(Table7[[#This Row],[Student_ID]],student_data[],6,0)*3)+(VLOOKUP(Table7[[#This Row],[Student_ID]],student_skills[],6,0)*2)+(VLOOKUP(Table7[[#This Row],[Student_ID]],student_internships[],2,0)*5)</f>
        <v>41.35</v>
      </c>
      <c r="D761" s="1">
        <f>AVERAGE(VLOOKUP(Table7[[#This Row],[Student_ID]],student_skills[],3,0),VLOOKUP(Table7[[#This Row],[Student_ID]],student_skills[],4,0),VLOOKUP(Table7[[#This Row],[Student_ID]],student_skills[],5,0),VLOOKUP(Table7[[#This Row],[Student_ID]],student_skills[],6,0))</f>
        <v>4.5</v>
      </c>
      <c r="E761" s="1" t="str">
        <f>IF(VLOOKUP(Table7[[#This Row],[Student_ID]],student_internships[#All],2,0)&gt;1,"EXPERIENCED",IF(VLOOKUP(Table7[[#This Row],[Student_ID]],student_internships[#All],2,0)=1,"BEGINNER","NOT EXPERIENCED"))</f>
        <v>BEGINNER</v>
      </c>
      <c r="F761" s="1">
        <f>VLOOKUP(Table7[[#This Row],[Student_ID]],student_data[],5,0)</f>
        <v>5.07</v>
      </c>
      <c r="G761" s="1">
        <f>VLOOKUP(Table7[[#This Row],[Student_ID]],student_data[#All],6,0)</f>
        <v>3</v>
      </c>
      <c r="H761" s="1">
        <f>VLOOKUP(Table7[[#This Row],[Student_ID]],student_internships[],2,0)</f>
        <v>1</v>
      </c>
      <c r="I761" s="1">
        <f>VLOOKUP(Table7[[#This Row],[Student_ID]],Placements!A761:E1760,5,0)</f>
        <v>0</v>
      </c>
      <c r="J761" s="1" t="str">
        <f>IF(VLOOKUP(Table7[[#This Row],[Student_ID]],student_data[#All],5,0)&gt;8,"HIGH",IF(VLOOKUP(Table7[[#This Row],[Student_ID]],student_data[#All],5,0)&lt;6.5,"LOW","MEDIUM"))</f>
        <v>LOW</v>
      </c>
    </row>
    <row r="762" spans="1:10" x14ac:dyDescent="0.2">
      <c r="A762" s="1" t="s">
        <v>771</v>
      </c>
      <c r="B762" s="1" t="str">
        <f>VLOOKUP(Table7[[#This Row],[Student_ID]],student_data[#All],2,0)</f>
        <v>Information Technology</v>
      </c>
      <c r="C762" s="1">
        <f>(VLOOKUP(Table7[[#This Row],[Student_ID]],student_data[],5,0)*5)+(VLOOKUP(Table7[[#This Row],[Student_ID]],student_data[],6,0)*3)+(VLOOKUP(Table7[[#This Row],[Student_ID]],student_skills[],6,0)*2)+(VLOOKUP(Table7[[#This Row],[Student_ID]],student_internships[],2,0)*5)</f>
        <v>59.400000000000006</v>
      </c>
      <c r="D762" s="1">
        <f>AVERAGE(VLOOKUP(Table7[[#This Row],[Student_ID]],student_skills[],3,0),VLOOKUP(Table7[[#This Row],[Student_ID]],student_skills[],4,0),VLOOKUP(Table7[[#This Row],[Student_ID]],student_skills[],5,0),VLOOKUP(Table7[[#This Row],[Student_ID]],student_skills[],6,0))</f>
        <v>6.25</v>
      </c>
      <c r="E762" s="1" t="str">
        <f>IF(VLOOKUP(Table7[[#This Row],[Student_ID]],student_internships[#All],2,0)&gt;1,"EXPERIENCED",IF(VLOOKUP(Table7[[#This Row],[Student_ID]],student_internships[#All],2,0)=1,"BEGINNER","NOT EXPERIENCED"))</f>
        <v>EXPERIENCED</v>
      </c>
      <c r="F762" s="1">
        <f>VLOOKUP(Table7[[#This Row],[Student_ID]],student_data[],5,0)</f>
        <v>6.48</v>
      </c>
      <c r="G762" s="1">
        <f>VLOOKUP(Table7[[#This Row],[Student_ID]],student_data[#All],6,0)</f>
        <v>5</v>
      </c>
      <c r="H762" s="1">
        <f>VLOOKUP(Table7[[#This Row],[Student_ID]],student_internships[],2,0)</f>
        <v>2</v>
      </c>
      <c r="I762" s="1">
        <f>VLOOKUP(Table7[[#This Row],[Student_ID]],Placements!A762:E1761,5,0)</f>
        <v>5.13</v>
      </c>
      <c r="J762" s="1" t="str">
        <f>IF(VLOOKUP(Table7[[#This Row],[Student_ID]],student_data[#All],5,0)&gt;8,"HIGH",IF(VLOOKUP(Table7[[#This Row],[Student_ID]],student_data[#All],5,0)&lt;6.5,"LOW","MEDIUM"))</f>
        <v>LOW</v>
      </c>
    </row>
    <row r="763" spans="1:10" x14ac:dyDescent="0.2">
      <c r="A763" s="1" t="s">
        <v>772</v>
      </c>
      <c r="B763" s="1" t="str">
        <f>VLOOKUP(Table7[[#This Row],[Student_ID]],student_data[#All],2,0)</f>
        <v>Electronics</v>
      </c>
      <c r="C763" s="1">
        <f>(VLOOKUP(Table7[[#This Row],[Student_ID]],student_data[],5,0)*5)+(VLOOKUP(Table7[[#This Row],[Student_ID]],student_data[],6,0)*3)+(VLOOKUP(Table7[[#This Row],[Student_ID]],student_skills[],6,0)*2)+(VLOOKUP(Table7[[#This Row],[Student_ID]],student_internships[],2,0)*5)</f>
        <v>64.5</v>
      </c>
      <c r="D763" s="1">
        <f>AVERAGE(VLOOKUP(Table7[[#This Row],[Student_ID]],student_skills[],3,0),VLOOKUP(Table7[[#This Row],[Student_ID]],student_skills[],4,0),VLOOKUP(Table7[[#This Row],[Student_ID]],student_skills[],5,0),VLOOKUP(Table7[[#This Row],[Student_ID]],student_skills[],6,0))</f>
        <v>5.25</v>
      </c>
      <c r="E763" s="1" t="str">
        <f>IF(VLOOKUP(Table7[[#This Row],[Student_ID]],student_internships[#All],2,0)&gt;1,"EXPERIENCED",IF(VLOOKUP(Table7[[#This Row],[Student_ID]],student_internships[#All],2,0)=1,"BEGINNER","NOT EXPERIENCED"))</f>
        <v>EXPERIENCED</v>
      </c>
      <c r="F763" s="1">
        <f>VLOOKUP(Table7[[#This Row],[Student_ID]],student_data[],5,0)</f>
        <v>7.3</v>
      </c>
      <c r="G763" s="1">
        <f>VLOOKUP(Table7[[#This Row],[Student_ID]],student_data[#All],6,0)</f>
        <v>4</v>
      </c>
      <c r="H763" s="1">
        <f>VLOOKUP(Table7[[#This Row],[Student_ID]],student_internships[],2,0)</f>
        <v>2</v>
      </c>
      <c r="I763" s="1">
        <f>VLOOKUP(Table7[[#This Row],[Student_ID]],Placements!A763:E1762,5,0)</f>
        <v>4.1900000000000004</v>
      </c>
      <c r="J763" s="1" t="str">
        <f>IF(VLOOKUP(Table7[[#This Row],[Student_ID]],student_data[#All],5,0)&gt;8,"HIGH",IF(VLOOKUP(Table7[[#This Row],[Student_ID]],student_data[#All],5,0)&lt;6.5,"LOW","MEDIUM"))</f>
        <v>MEDIUM</v>
      </c>
    </row>
    <row r="764" spans="1:10" x14ac:dyDescent="0.2">
      <c r="A764" s="1" t="s">
        <v>773</v>
      </c>
      <c r="B764" s="1" t="str">
        <f>VLOOKUP(Table7[[#This Row],[Student_ID]],student_data[#All],2,0)</f>
        <v>Mechanical</v>
      </c>
      <c r="C764" s="1">
        <f>(VLOOKUP(Table7[[#This Row],[Student_ID]],student_data[],5,0)*5)+(VLOOKUP(Table7[[#This Row],[Student_ID]],student_data[],6,0)*3)+(VLOOKUP(Table7[[#This Row],[Student_ID]],student_skills[],6,0)*2)+(VLOOKUP(Table7[[#This Row],[Student_ID]],student_internships[],2,0)*5)</f>
        <v>64.3</v>
      </c>
      <c r="D764" s="1">
        <f>AVERAGE(VLOOKUP(Table7[[#This Row],[Student_ID]],student_skills[],3,0),VLOOKUP(Table7[[#This Row],[Student_ID]],student_skills[],4,0),VLOOKUP(Table7[[#This Row],[Student_ID]],student_skills[],5,0),VLOOKUP(Table7[[#This Row],[Student_ID]],student_skills[],6,0))</f>
        <v>6</v>
      </c>
      <c r="E764" s="1" t="str">
        <f>IF(VLOOKUP(Table7[[#This Row],[Student_ID]],student_internships[#All],2,0)&gt;1,"EXPERIENCED",IF(VLOOKUP(Table7[[#This Row],[Student_ID]],student_internships[#All],2,0)=1,"BEGINNER","NOT EXPERIENCED"))</f>
        <v>NOT EXPERIENCED</v>
      </c>
      <c r="F764" s="1">
        <f>VLOOKUP(Table7[[#This Row],[Student_ID]],student_data[],5,0)</f>
        <v>7.06</v>
      </c>
      <c r="G764" s="1">
        <f>VLOOKUP(Table7[[#This Row],[Student_ID]],student_data[#All],6,0)</f>
        <v>3</v>
      </c>
      <c r="H764" s="1">
        <f>VLOOKUP(Table7[[#This Row],[Student_ID]],student_internships[],2,0)</f>
        <v>0</v>
      </c>
      <c r="I764" s="1">
        <f>VLOOKUP(Table7[[#This Row],[Student_ID]],Placements!A764:E1763,5,0)</f>
        <v>0</v>
      </c>
      <c r="J764" s="1" t="str">
        <f>IF(VLOOKUP(Table7[[#This Row],[Student_ID]],student_data[#All],5,0)&gt;8,"HIGH",IF(VLOOKUP(Table7[[#This Row],[Student_ID]],student_data[#All],5,0)&lt;6.5,"LOW","MEDIUM"))</f>
        <v>MEDIUM</v>
      </c>
    </row>
    <row r="765" spans="1:10" x14ac:dyDescent="0.2">
      <c r="A765" s="1" t="s">
        <v>774</v>
      </c>
      <c r="B765" s="1" t="str">
        <f>VLOOKUP(Table7[[#This Row],[Student_ID]],student_data[#All],2,0)</f>
        <v>Mechanical</v>
      </c>
      <c r="C765" s="1">
        <f>(VLOOKUP(Table7[[#This Row],[Student_ID]],student_data[],5,0)*5)+(VLOOKUP(Table7[[#This Row],[Student_ID]],student_data[],6,0)*3)+(VLOOKUP(Table7[[#This Row],[Student_ID]],student_skills[],6,0)*2)+(VLOOKUP(Table7[[#This Row],[Student_ID]],student_internships[],2,0)*5)</f>
        <v>68.05</v>
      </c>
      <c r="D765" s="1">
        <f>AVERAGE(VLOOKUP(Table7[[#This Row],[Student_ID]],student_skills[],3,0),VLOOKUP(Table7[[#This Row],[Student_ID]],student_skills[],4,0),VLOOKUP(Table7[[#This Row],[Student_ID]],student_skills[],5,0),VLOOKUP(Table7[[#This Row],[Student_ID]],student_skills[],6,0))</f>
        <v>3.75</v>
      </c>
      <c r="E765" s="1" t="str">
        <f>IF(VLOOKUP(Table7[[#This Row],[Student_ID]],student_internships[#All],2,0)&gt;1,"EXPERIENCED",IF(VLOOKUP(Table7[[#This Row],[Student_ID]],student_internships[#All],2,0)=1,"BEGINNER","NOT EXPERIENCED"))</f>
        <v>BEGINNER</v>
      </c>
      <c r="F765" s="1">
        <f>VLOOKUP(Table7[[#This Row],[Student_ID]],student_data[],5,0)</f>
        <v>8.61</v>
      </c>
      <c r="G765" s="1">
        <f>VLOOKUP(Table7[[#This Row],[Student_ID]],student_data[#All],6,0)</f>
        <v>4</v>
      </c>
      <c r="H765" s="1">
        <f>VLOOKUP(Table7[[#This Row],[Student_ID]],student_internships[],2,0)</f>
        <v>1</v>
      </c>
      <c r="I765" s="1">
        <f>VLOOKUP(Table7[[#This Row],[Student_ID]],Placements!A765:E1764,5,0)</f>
        <v>4.1100000000000003</v>
      </c>
      <c r="J765" s="1" t="str">
        <f>IF(VLOOKUP(Table7[[#This Row],[Student_ID]],student_data[#All],5,0)&gt;8,"HIGH",IF(VLOOKUP(Table7[[#This Row],[Student_ID]],student_data[#All],5,0)&lt;6.5,"LOW","MEDIUM"))</f>
        <v>HIGH</v>
      </c>
    </row>
    <row r="766" spans="1:10" x14ac:dyDescent="0.2">
      <c r="A766" s="1" t="s">
        <v>775</v>
      </c>
      <c r="B766" s="1" t="str">
        <f>VLOOKUP(Table7[[#This Row],[Student_ID]],student_data[#All],2,0)</f>
        <v>Information Technology</v>
      </c>
      <c r="C766" s="1">
        <f>(VLOOKUP(Table7[[#This Row],[Student_ID]],student_data[],5,0)*5)+(VLOOKUP(Table7[[#This Row],[Student_ID]],student_data[],6,0)*3)+(VLOOKUP(Table7[[#This Row],[Student_ID]],student_skills[],6,0)*2)+(VLOOKUP(Table7[[#This Row],[Student_ID]],student_internships[],2,0)*5)</f>
        <v>57.6</v>
      </c>
      <c r="D766" s="1">
        <f>AVERAGE(VLOOKUP(Table7[[#This Row],[Student_ID]],student_skills[],3,0),VLOOKUP(Table7[[#This Row],[Student_ID]],student_skills[],4,0),VLOOKUP(Table7[[#This Row],[Student_ID]],student_skills[],5,0),VLOOKUP(Table7[[#This Row],[Student_ID]],student_skills[],6,0))</f>
        <v>7</v>
      </c>
      <c r="E766" s="1" t="str">
        <f>IF(VLOOKUP(Table7[[#This Row],[Student_ID]],student_internships[#All],2,0)&gt;1,"EXPERIENCED",IF(VLOOKUP(Table7[[#This Row],[Student_ID]],student_internships[#All],2,0)=1,"BEGINNER","NOT EXPERIENCED"))</f>
        <v>NOT EXPERIENCED</v>
      </c>
      <c r="F766" s="1">
        <f>VLOOKUP(Table7[[#This Row],[Student_ID]],student_data[],5,0)</f>
        <v>6.92</v>
      </c>
      <c r="G766" s="1">
        <f>VLOOKUP(Table7[[#This Row],[Student_ID]],student_data[#All],6,0)</f>
        <v>5</v>
      </c>
      <c r="H766" s="1">
        <f>VLOOKUP(Table7[[#This Row],[Student_ID]],student_internships[],2,0)</f>
        <v>0</v>
      </c>
      <c r="I766" s="1">
        <f>VLOOKUP(Table7[[#This Row],[Student_ID]],Placements!A766:E1765,5,0)</f>
        <v>0</v>
      </c>
      <c r="J766" s="1" t="str">
        <f>IF(VLOOKUP(Table7[[#This Row],[Student_ID]],student_data[#All],5,0)&gt;8,"HIGH",IF(VLOOKUP(Table7[[#This Row],[Student_ID]],student_data[#All],5,0)&lt;6.5,"LOW","MEDIUM"))</f>
        <v>MEDIUM</v>
      </c>
    </row>
    <row r="767" spans="1:10" x14ac:dyDescent="0.2">
      <c r="A767" s="1" t="s">
        <v>776</v>
      </c>
      <c r="B767" s="1" t="str">
        <f>VLOOKUP(Table7[[#This Row],[Student_ID]],student_data[#All],2,0)</f>
        <v>Information Technology</v>
      </c>
      <c r="C767" s="1">
        <f>(VLOOKUP(Table7[[#This Row],[Student_ID]],student_data[],5,0)*5)+(VLOOKUP(Table7[[#This Row],[Student_ID]],student_data[],6,0)*3)+(VLOOKUP(Table7[[#This Row],[Student_ID]],student_skills[],6,0)*2)+(VLOOKUP(Table7[[#This Row],[Student_ID]],student_internships[],2,0)*5)</f>
        <v>66.25</v>
      </c>
      <c r="D767" s="1">
        <f>AVERAGE(VLOOKUP(Table7[[#This Row],[Student_ID]],student_skills[],3,0),VLOOKUP(Table7[[#This Row],[Student_ID]],student_skills[],4,0),VLOOKUP(Table7[[#This Row],[Student_ID]],student_skills[],5,0),VLOOKUP(Table7[[#This Row],[Student_ID]],student_skills[],6,0))</f>
        <v>7.25</v>
      </c>
      <c r="E767" s="1" t="str">
        <f>IF(VLOOKUP(Table7[[#This Row],[Student_ID]],student_internships[#All],2,0)&gt;1,"EXPERIENCED",IF(VLOOKUP(Table7[[#This Row],[Student_ID]],student_internships[#All],2,0)=1,"BEGINNER","NOT EXPERIENCED"))</f>
        <v>EXPERIENCED</v>
      </c>
      <c r="F767" s="1">
        <f>VLOOKUP(Table7[[#This Row],[Student_ID]],student_data[],5,0)</f>
        <v>7.45</v>
      </c>
      <c r="G767" s="1">
        <f>VLOOKUP(Table7[[#This Row],[Student_ID]],student_data[#All],6,0)</f>
        <v>5</v>
      </c>
      <c r="H767" s="1">
        <f>VLOOKUP(Table7[[#This Row],[Student_ID]],student_internships[],2,0)</f>
        <v>2</v>
      </c>
      <c r="I767" s="1">
        <f>VLOOKUP(Table7[[#This Row],[Student_ID]],Placements!A767:E1766,5,0)</f>
        <v>4.5599999999999996</v>
      </c>
      <c r="J767" s="1" t="str">
        <f>IF(VLOOKUP(Table7[[#This Row],[Student_ID]],student_data[#All],5,0)&gt;8,"HIGH",IF(VLOOKUP(Table7[[#This Row],[Student_ID]],student_data[#All],5,0)&lt;6.5,"LOW","MEDIUM"))</f>
        <v>MEDIUM</v>
      </c>
    </row>
    <row r="768" spans="1:10" x14ac:dyDescent="0.2">
      <c r="A768" s="1" t="s">
        <v>777</v>
      </c>
      <c r="B768" s="1" t="str">
        <f>VLOOKUP(Table7[[#This Row],[Student_ID]],student_data[#All],2,0)</f>
        <v>Electronics</v>
      </c>
      <c r="C768" s="1">
        <f>(VLOOKUP(Table7[[#This Row],[Student_ID]],student_data[],5,0)*5)+(VLOOKUP(Table7[[#This Row],[Student_ID]],student_data[],6,0)*3)+(VLOOKUP(Table7[[#This Row],[Student_ID]],student_skills[],6,0)*2)+(VLOOKUP(Table7[[#This Row],[Student_ID]],student_internships[],2,0)*5)</f>
        <v>40.75</v>
      </c>
      <c r="D768" s="1">
        <f>AVERAGE(VLOOKUP(Table7[[#This Row],[Student_ID]],student_skills[],3,0),VLOOKUP(Table7[[#This Row],[Student_ID]],student_skills[],4,0),VLOOKUP(Table7[[#This Row],[Student_ID]],student_skills[],5,0),VLOOKUP(Table7[[#This Row],[Student_ID]],student_skills[],6,0))</f>
        <v>5.5</v>
      </c>
      <c r="E768" s="1" t="str">
        <f>IF(VLOOKUP(Table7[[#This Row],[Student_ID]],student_internships[#All],2,0)&gt;1,"EXPERIENCED",IF(VLOOKUP(Table7[[#This Row],[Student_ID]],student_internships[#All],2,0)=1,"BEGINNER","NOT EXPERIENCED"))</f>
        <v>NOT EXPERIENCED</v>
      </c>
      <c r="F768" s="1">
        <f>VLOOKUP(Table7[[#This Row],[Student_ID]],student_data[],5,0)</f>
        <v>7.15</v>
      </c>
      <c r="G768" s="1">
        <f>VLOOKUP(Table7[[#This Row],[Student_ID]],student_data[#All],6,0)</f>
        <v>1</v>
      </c>
      <c r="H768" s="1">
        <f>VLOOKUP(Table7[[#This Row],[Student_ID]],student_internships[],2,0)</f>
        <v>0</v>
      </c>
      <c r="I768" s="1">
        <f>VLOOKUP(Table7[[#This Row],[Student_ID]],Placements!A768:E1767,5,0)</f>
        <v>5.13</v>
      </c>
      <c r="J768" s="1" t="str">
        <f>IF(VLOOKUP(Table7[[#This Row],[Student_ID]],student_data[#All],5,0)&gt;8,"HIGH",IF(VLOOKUP(Table7[[#This Row],[Student_ID]],student_data[#All],5,0)&lt;6.5,"LOW","MEDIUM"))</f>
        <v>MEDIUM</v>
      </c>
    </row>
    <row r="769" spans="1:10" x14ac:dyDescent="0.2">
      <c r="A769" s="1" t="s">
        <v>778</v>
      </c>
      <c r="B769" s="1" t="str">
        <f>VLOOKUP(Table7[[#This Row],[Student_ID]],student_data[#All],2,0)</f>
        <v>Civil</v>
      </c>
      <c r="C769" s="1">
        <f>(VLOOKUP(Table7[[#This Row],[Student_ID]],student_data[],5,0)*5)+(VLOOKUP(Table7[[#This Row],[Student_ID]],student_data[],6,0)*3)+(VLOOKUP(Table7[[#This Row],[Student_ID]],student_skills[],6,0)*2)+(VLOOKUP(Table7[[#This Row],[Student_ID]],student_internships[],2,0)*5)</f>
        <v>66.5</v>
      </c>
      <c r="D769" s="1">
        <f>AVERAGE(VLOOKUP(Table7[[#This Row],[Student_ID]],student_skills[],3,0),VLOOKUP(Table7[[#This Row],[Student_ID]],student_skills[],4,0),VLOOKUP(Table7[[#This Row],[Student_ID]],student_skills[],5,0),VLOOKUP(Table7[[#This Row],[Student_ID]],student_skills[],6,0))</f>
        <v>5.5</v>
      </c>
      <c r="E769" s="1" t="str">
        <f>IF(VLOOKUP(Table7[[#This Row],[Student_ID]],student_internships[#All],2,0)&gt;1,"EXPERIENCED",IF(VLOOKUP(Table7[[#This Row],[Student_ID]],student_internships[#All],2,0)=1,"BEGINNER","NOT EXPERIENCED"))</f>
        <v>BEGINNER</v>
      </c>
      <c r="F769" s="1">
        <f>VLOOKUP(Table7[[#This Row],[Student_ID]],student_data[],5,0)</f>
        <v>8.6999999999999993</v>
      </c>
      <c r="G769" s="1">
        <f>VLOOKUP(Table7[[#This Row],[Student_ID]],student_data[#All],6,0)</f>
        <v>4</v>
      </c>
      <c r="H769" s="1">
        <f>VLOOKUP(Table7[[#This Row],[Student_ID]],student_internships[],2,0)</f>
        <v>1</v>
      </c>
      <c r="I769" s="1">
        <f>VLOOKUP(Table7[[#This Row],[Student_ID]],Placements!A769:E1768,5,0)</f>
        <v>5.19</v>
      </c>
      <c r="J769" s="1" t="str">
        <f>IF(VLOOKUP(Table7[[#This Row],[Student_ID]],student_data[#All],5,0)&gt;8,"HIGH",IF(VLOOKUP(Table7[[#This Row],[Student_ID]],student_data[#All],5,0)&lt;6.5,"LOW","MEDIUM"))</f>
        <v>HIGH</v>
      </c>
    </row>
    <row r="770" spans="1:10" x14ac:dyDescent="0.2">
      <c r="A770" s="1" t="s">
        <v>779</v>
      </c>
      <c r="B770" s="1" t="str">
        <f>VLOOKUP(Table7[[#This Row],[Student_ID]],student_data[#All],2,0)</f>
        <v>Electronics</v>
      </c>
      <c r="C770" s="1">
        <f>(VLOOKUP(Table7[[#This Row],[Student_ID]],student_data[],5,0)*5)+(VLOOKUP(Table7[[#This Row],[Student_ID]],student_data[],6,0)*3)+(VLOOKUP(Table7[[#This Row],[Student_ID]],student_skills[],6,0)*2)+(VLOOKUP(Table7[[#This Row],[Student_ID]],student_internships[],2,0)*5)</f>
        <v>73.550000000000011</v>
      </c>
      <c r="D770" s="1">
        <f>AVERAGE(VLOOKUP(Table7[[#This Row],[Student_ID]],student_skills[],3,0),VLOOKUP(Table7[[#This Row],[Student_ID]],student_skills[],4,0),VLOOKUP(Table7[[#This Row],[Student_ID]],student_skills[],5,0),VLOOKUP(Table7[[#This Row],[Student_ID]],student_skills[],6,0))</f>
        <v>5.25</v>
      </c>
      <c r="E770" s="1" t="str">
        <f>IF(VLOOKUP(Table7[[#This Row],[Student_ID]],student_internships[#All],2,0)&gt;1,"EXPERIENCED",IF(VLOOKUP(Table7[[#This Row],[Student_ID]],student_internships[#All],2,0)=1,"BEGINNER","NOT EXPERIENCED"))</f>
        <v>EXPERIENCED</v>
      </c>
      <c r="F770" s="1">
        <f>VLOOKUP(Table7[[#This Row],[Student_ID]],student_data[],5,0)</f>
        <v>9.31</v>
      </c>
      <c r="G770" s="1">
        <f>VLOOKUP(Table7[[#This Row],[Student_ID]],student_data[#All],6,0)</f>
        <v>3</v>
      </c>
      <c r="H770" s="1">
        <f>VLOOKUP(Table7[[#This Row],[Student_ID]],student_internships[],2,0)</f>
        <v>2</v>
      </c>
      <c r="I770" s="1">
        <f>VLOOKUP(Table7[[#This Row],[Student_ID]],Placements!A770:E1769,5,0)</f>
        <v>4.12</v>
      </c>
      <c r="J770" s="1" t="str">
        <f>IF(VLOOKUP(Table7[[#This Row],[Student_ID]],student_data[#All],5,0)&gt;8,"HIGH",IF(VLOOKUP(Table7[[#This Row],[Student_ID]],student_data[#All],5,0)&lt;6.5,"LOW","MEDIUM"))</f>
        <v>HIGH</v>
      </c>
    </row>
    <row r="771" spans="1:10" x14ac:dyDescent="0.2">
      <c r="A771" s="1" t="s">
        <v>780</v>
      </c>
      <c r="B771" s="1" t="str">
        <f>VLOOKUP(Table7[[#This Row],[Student_ID]],student_data[#All],2,0)</f>
        <v>Information Technology</v>
      </c>
      <c r="C771" s="1">
        <f>(VLOOKUP(Table7[[#This Row],[Student_ID]],student_data[],5,0)*5)+(VLOOKUP(Table7[[#This Row],[Student_ID]],student_data[],6,0)*3)+(VLOOKUP(Table7[[#This Row],[Student_ID]],student_skills[],6,0)*2)+(VLOOKUP(Table7[[#This Row],[Student_ID]],student_internships[],2,0)*5)</f>
        <v>63.3</v>
      </c>
      <c r="D771" s="1">
        <f>AVERAGE(VLOOKUP(Table7[[#This Row],[Student_ID]],student_skills[],3,0),VLOOKUP(Table7[[#This Row],[Student_ID]],student_skills[],4,0),VLOOKUP(Table7[[#This Row],[Student_ID]],student_skills[],5,0),VLOOKUP(Table7[[#This Row],[Student_ID]],student_skills[],6,0))</f>
        <v>4.75</v>
      </c>
      <c r="E771" s="1" t="str">
        <f>IF(VLOOKUP(Table7[[#This Row],[Student_ID]],student_internships[#All],2,0)&gt;1,"EXPERIENCED",IF(VLOOKUP(Table7[[#This Row],[Student_ID]],student_internships[#All],2,0)=1,"BEGINNER","NOT EXPERIENCED"))</f>
        <v>EXPERIENCED</v>
      </c>
      <c r="F771" s="1">
        <f>VLOOKUP(Table7[[#This Row],[Student_ID]],student_data[],5,0)</f>
        <v>7.66</v>
      </c>
      <c r="G771" s="1">
        <f>VLOOKUP(Table7[[#This Row],[Student_ID]],student_data[#All],6,0)</f>
        <v>3</v>
      </c>
      <c r="H771" s="1">
        <f>VLOOKUP(Table7[[#This Row],[Student_ID]],student_internships[],2,0)</f>
        <v>2</v>
      </c>
      <c r="I771" s="1">
        <f>VLOOKUP(Table7[[#This Row],[Student_ID]],Placements!A771:E1770,5,0)</f>
        <v>5.13</v>
      </c>
      <c r="J771" s="1" t="str">
        <f>IF(VLOOKUP(Table7[[#This Row],[Student_ID]],student_data[#All],5,0)&gt;8,"HIGH",IF(VLOOKUP(Table7[[#This Row],[Student_ID]],student_data[#All],5,0)&lt;6.5,"LOW","MEDIUM"))</f>
        <v>MEDIUM</v>
      </c>
    </row>
    <row r="772" spans="1:10" x14ac:dyDescent="0.2">
      <c r="A772" s="1" t="s">
        <v>781</v>
      </c>
      <c r="B772" s="1" t="str">
        <f>VLOOKUP(Table7[[#This Row],[Student_ID]],student_data[#All],2,0)</f>
        <v>Information Technology</v>
      </c>
      <c r="C772" s="1">
        <f>(VLOOKUP(Table7[[#This Row],[Student_ID]],student_data[],5,0)*5)+(VLOOKUP(Table7[[#This Row],[Student_ID]],student_data[],6,0)*3)+(VLOOKUP(Table7[[#This Row],[Student_ID]],student_skills[],6,0)*2)+(VLOOKUP(Table7[[#This Row],[Student_ID]],student_internships[],2,0)*5)</f>
        <v>77.75</v>
      </c>
      <c r="D772" s="1">
        <f>AVERAGE(VLOOKUP(Table7[[#This Row],[Student_ID]],student_skills[],3,0),VLOOKUP(Table7[[#This Row],[Student_ID]],student_skills[],4,0),VLOOKUP(Table7[[#This Row],[Student_ID]],student_skills[],5,0),VLOOKUP(Table7[[#This Row],[Student_ID]],student_skills[],6,0))</f>
        <v>5.5</v>
      </c>
      <c r="E772" s="1" t="str">
        <f>IF(VLOOKUP(Table7[[#This Row],[Student_ID]],student_internships[#All],2,0)&gt;1,"EXPERIENCED",IF(VLOOKUP(Table7[[#This Row],[Student_ID]],student_internships[#All],2,0)=1,"BEGINNER","NOT EXPERIENCED"))</f>
        <v>BEGINNER</v>
      </c>
      <c r="F772" s="1">
        <f>VLOOKUP(Table7[[#This Row],[Student_ID]],student_data[],5,0)</f>
        <v>8.9499999999999993</v>
      </c>
      <c r="G772" s="1">
        <f>VLOOKUP(Table7[[#This Row],[Student_ID]],student_data[#All],6,0)</f>
        <v>4</v>
      </c>
      <c r="H772" s="1">
        <f>VLOOKUP(Table7[[#This Row],[Student_ID]],student_internships[],2,0)</f>
        <v>1</v>
      </c>
      <c r="I772" s="1">
        <f>VLOOKUP(Table7[[#This Row],[Student_ID]],Placements!A772:E1771,5,0)</f>
        <v>4.1900000000000004</v>
      </c>
      <c r="J772" s="1" t="str">
        <f>IF(VLOOKUP(Table7[[#This Row],[Student_ID]],student_data[#All],5,0)&gt;8,"HIGH",IF(VLOOKUP(Table7[[#This Row],[Student_ID]],student_data[#All],5,0)&lt;6.5,"LOW","MEDIUM"))</f>
        <v>HIGH</v>
      </c>
    </row>
    <row r="773" spans="1:10" x14ac:dyDescent="0.2">
      <c r="A773" s="1" t="s">
        <v>782</v>
      </c>
      <c r="B773" s="1" t="str">
        <f>VLOOKUP(Table7[[#This Row],[Student_ID]],student_data[#All],2,0)</f>
        <v>Computer Science</v>
      </c>
      <c r="C773" s="1">
        <f>(VLOOKUP(Table7[[#This Row],[Student_ID]],student_data[],5,0)*5)+(VLOOKUP(Table7[[#This Row],[Student_ID]],student_data[],6,0)*3)+(VLOOKUP(Table7[[#This Row],[Student_ID]],student_skills[],6,0)*2)+(VLOOKUP(Table7[[#This Row],[Student_ID]],student_internships[],2,0)*5)</f>
        <v>74.400000000000006</v>
      </c>
      <c r="D773" s="1">
        <f>AVERAGE(VLOOKUP(Table7[[#This Row],[Student_ID]],student_skills[],3,0),VLOOKUP(Table7[[#This Row],[Student_ID]],student_skills[],4,0),VLOOKUP(Table7[[#This Row],[Student_ID]],student_skills[],5,0),VLOOKUP(Table7[[#This Row],[Student_ID]],student_skills[],6,0))</f>
        <v>6</v>
      </c>
      <c r="E773" s="1" t="str">
        <f>IF(VLOOKUP(Table7[[#This Row],[Student_ID]],student_internships[#All],2,0)&gt;1,"EXPERIENCED",IF(VLOOKUP(Table7[[#This Row],[Student_ID]],student_internships[#All],2,0)=1,"BEGINNER","NOT EXPERIENCED"))</f>
        <v>EXPERIENCED</v>
      </c>
      <c r="F773" s="1">
        <f>VLOOKUP(Table7[[#This Row],[Student_ID]],student_data[],5,0)</f>
        <v>6.48</v>
      </c>
      <c r="G773" s="1">
        <f>VLOOKUP(Table7[[#This Row],[Student_ID]],student_data[#All],6,0)</f>
        <v>4</v>
      </c>
      <c r="H773" s="1">
        <f>VLOOKUP(Table7[[#This Row],[Student_ID]],student_internships[],2,0)</f>
        <v>2</v>
      </c>
      <c r="I773" s="1">
        <f>VLOOKUP(Table7[[#This Row],[Student_ID]],Placements!A773:E1772,5,0)</f>
        <v>4.5</v>
      </c>
      <c r="J773" s="1" t="str">
        <f>IF(VLOOKUP(Table7[[#This Row],[Student_ID]],student_data[#All],5,0)&gt;8,"HIGH",IF(VLOOKUP(Table7[[#This Row],[Student_ID]],student_data[#All],5,0)&lt;6.5,"LOW","MEDIUM"))</f>
        <v>LOW</v>
      </c>
    </row>
    <row r="774" spans="1:10" x14ac:dyDescent="0.2">
      <c r="A774" s="1" t="s">
        <v>783</v>
      </c>
      <c r="B774" s="1" t="str">
        <f>VLOOKUP(Table7[[#This Row],[Student_ID]],student_data[#All],2,0)</f>
        <v>Information Technology</v>
      </c>
      <c r="C774" s="1">
        <f>(VLOOKUP(Table7[[#This Row],[Student_ID]],student_data[],5,0)*5)+(VLOOKUP(Table7[[#This Row],[Student_ID]],student_data[],6,0)*3)+(VLOOKUP(Table7[[#This Row],[Student_ID]],student_skills[],6,0)*2)+(VLOOKUP(Table7[[#This Row],[Student_ID]],student_internships[],2,0)*5)</f>
        <v>52.55</v>
      </c>
      <c r="D774" s="1">
        <f>AVERAGE(VLOOKUP(Table7[[#This Row],[Student_ID]],student_skills[],3,0),VLOOKUP(Table7[[#This Row],[Student_ID]],student_skills[],4,0),VLOOKUP(Table7[[#This Row],[Student_ID]],student_skills[],5,0),VLOOKUP(Table7[[#This Row],[Student_ID]],student_skills[],6,0))</f>
        <v>5.75</v>
      </c>
      <c r="E774" s="1" t="str">
        <f>IF(VLOOKUP(Table7[[#This Row],[Student_ID]],student_internships[#All],2,0)&gt;1,"EXPERIENCED",IF(VLOOKUP(Table7[[#This Row],[Student_ID]],student_internships[#All],2,0)=1,"BEGINNER","NOT EXPERIENCED"))</f>
        <v>NOT EXPERIENCED</v>
      </c>
      <c r="F774" s="1">
        <f>VLOOKUP(Table7[[#This Row],[Student_ID]],student_data[],5,0)</f>
        <v>7.71</v>
      </c>
      <c r="G774" s="1">
        <f>VLOOKUP(Table7[[#This Row],[Student_ID]],student_data[#All],6,0)</f>
        <v>4</v>
      </c>
      <c r="H774" s="1">
        <f>VLOOKUP(Table7[[#This Row],[Student_ID]],student_internships[],2,0)</f>
        <v>0</v>
      </c>
      <c r="I774" s="1">
        <f>VLOOKUP(Table7[[#This Row],[Student_ID]],Placements!A774:E1773,5,0)</f>
        <v>0</v>
      </c>
      <c r="J774" s="1" t="str">
        <f>IF(VLOOKUP(Table7[[#This Row],[Student_ID]],student_data[#All],5,0)&gt;8,"HIGH",IF(VLOOKUP(Table7[[#This Row],[Student_ID]],student_data[#All],5,0)&lt;6.5,"LOW","MEDIUM"))</f>
        <v>MEDIUM</v>
      </c>
    </row>
    <row r="775" spans="1:10" x14ac:dyDescent="0.2">
      <c r="A775" s="1" t="s">
        <v>784</v>
      </c>
      <c r="B775" s="1" t="str">
        <f>VLOOKUP(Table7[[#This Row],[Student_ID]],student_data[#All],2,0)</f>
        <v>Computer Science</v>
      </c>
      <c r="C775" s="1">
        <f>(VLOOKUP(Table7[[#This Row],[Student_ID]],student_data[],5,0)*5)+(VLOOKUP(Table7[[#This Row],[Student_ID]],student_data[],6,0)*3)+(VLOOKUP(Table7[[#This Row],[Student_ID]],student_skills[],6,0)*2)+(VLOOKUP(Table7[[#This Row],[Student_ID]],student_internships[],2,0)*5)</f>
        <v>53.650000000000006</v>
      </c>
      <c r="D775" s="1">
        <f>AVERAGE(VLOOKUP(Table7[[#This Row],[Student_ID]],student_skills[],3,0),VLOOKUP(Table7[[#This Row],[Student_ID]],student_skills[],4,0),VLOOKUP(Table7[[#This Row],[Student_ID]],student_skills[],5,0),VLOOKUP(Table7[[#This Row],[Student_ID]],student_skills[],6,0))</f>
        <v>4</v>
      </c>
      <c r="E775" s="1" t="str">
        <f>IF(VLOOKUP(Table7[[#This Row],[Student_ID]],student_internships[#All],2,0)&gt;1,"EXPERIENCED",IF(VLOOKUP(Table7[[#This Row],[Student_ID]],student_internships[#All],2,0)=1,"BEGINNER","NOT EXPERIENCED"))</f>
        <v>EXPERIENCED</v>
      </c>
      <c r="F775" s="1">
        <f>VLOOKUP(Table7[[#This Row],[Student_ID]],student_data[],5,0)</f>
        <v>6.73</v>
      </c>
      <c r="G775" s="1">
        <f>VLOOKUP(Table7[[#This Row],[Student_ID]],student_data[#All],6,0)</f>
        <v>2</v>
      </c>
      <c r="H775" s="1">
        <f>VLOOKUP(Table7[[#This Row],[Student_ID]],student_internships[],2,0)</f>
        <v>2</v>
      </c>
      <c r="I775" s="1">
        <f>VLOOKUP(Table7[[#This Row],[Student_ID]],Placements!A775:E1774,5,0)</f>
        <v>4.1100000000000003</v>
      </c>
      <c r="J775" s="1" t="str">
        <f>IF(VLOOKUP(Table7[[#This Row],[Student_ID]],student_data[#All],5,0)&gt;8,"HIGH",IF(VLOOKUP(Table7[[#This Row],[Student_ID]],student_data[#All],5,0)&lt;6.5,"LOW","MEDIUM"))</f>
        <v>MEDIUM</v>
      </c>
    </row>
    <row r="776" spans="1:10" x14ac:dyDescent="0.2">
      <c r="A776" s="1" t="s">
        <v>785</v>
      </c>
      <c r="B776" s="1" t="str">
        <f>VLOOKUP(Table7[[#This Row],[Student_ID]],student_data[#All],2,0)</f>
        <v>Civil</v>
      </c>
      <c r="C776" s="1">
        <f>(VLOOKUP(Table7[[#This Row],[Student_ID]],student_data[],5,0)*5)+(VLOOKUP(Table7[[#This Row],[Student_ID]],student_data[],6,0)*3)+(VLOOKUP(Table7[[#This Row],[Student_ID]],student_skills[],6,0)*2)+(VLOOKUP(Table7[[#This Row],[Student_ID]],student_internships[],2,0)*5)</f>
        <v>58.35</v>
      </c>
      <c r="D776" s="1">
        <f>AVERAGE(VLOOKUP(Table7[[#This Row],[Student_ID]],student_skills[],3,0),VLOOKUP(Table7[[#This Row],[Student_ID]],student_skills[],4,0),VLOOKUP(Table7[[#This Row],[Student_ID]],student_skills[],5,0),VLOOKUP(Table7[[#This Row],[Student_ID]],student_skills[],6,0))</f>
        <v>3.25</v>
      </c>
      <c r="E776" s="1" t="str">
        <f>IF(VLOOKUP(Table7[[#This Row],[Student_ID]],student_internships[#All],2,0)&gt;1,"EXPERIENCED",IF(VLOOKUP(Table7[[#This Row],[Student_ID]],student_internships[#All],2,0)=1,"BEGINNER","NOT EXPERIENCED"))</f>
        <v>NOT EXPERIENCED</v>
      </c>
      <c r="F776" s="1">
        <f>VLOOKUP(Table7[[#This Row],[Student_ID]],student_data[],5,0)</f>
        <v>7.07</v>
      </c>
      <c r="G776" s="1">
        <f>VLOOKUP(Table7[[#This Row],[Student_ID]],student_data[#All],6,0)</f>
        <v>3</v>
      </c>
      <c r="H776" s="1">
        <f>VLOOKUP(Table7[[#This Row],[Student_ID]],student_internships[],2,0)</f>
        <v>0</v>
      </c>
      <c r="I776" s="1">
        <f>VLOOKUP(Table7[[#This Row],[Student_ID]],Placements!A776:E1775,5,0)</f>
        <v>0</v>
      </c>
      <c r="J776" s="1" t="str">
        <f>IF(VLOOKUP(Table7[[#This Row],[Student_ID]],student_data[#All],5,0)&gt;8,"HIGH",IF(VLOOKUP(Table7[[#This Row],[Student_ID]],student_data[#All],5,0)&lt;6.5,"LOW","MEDIUM"))</f>
        <v>MEDIUM</v>
      </c>
    </row>
    <row r="777" spans="1:10" x14ac:dyDescent="0.2">
      <c r="A777" s="1" t="s">
        <v>786</v>
      </c>
      <c r="B777" s="1" t="str">
        <f>VLOOKUP(Table7[[#This Row],[Student_ID]],student_data[#All],2,0)</f>
        <v>Electronics</v>
      </c>
      <c r="C777" s="1">
        <f>(VLOOKUP(Table7[[#This Row],[Student_ID]],student_data[],5,0)*5)+(VLOOKUP(Table7[[#This Row],[Student_ID]],student_data[],6,0)*3)+(VLOOKUP(Table7[[#This Row],[Student_ID]],student_skills[],6,0)*2)+(VLOOKUP(Table7[[#This Row],[Student_ID]],student_internships[],2,0)*5)</f>
        <v>71.3</v>
      </c>
      <c r="D777" s="1">
        <f>AVERAGE(VLOOKUP(Table7[[#This Row],[Student_ID]],student_skills[],3,0),VLOOKUP(Table7[[#This Row],[Student_ID]],student_skills[],4,0),VLOOKUP(Table7[[#This Row],[Student_ID]],student_skills[],5,0),VLOOKUP(Table7[[#This Row],[Student_ID]],student_skills[],6,0))</f>
        <v>5.25</v>
      </c>
      <c r="E777" s="1" t="str">
        <f>IF(VLOOKUP(Table7[[#This Row],[Student_ID]],student_internships[#All],2,0)&gt;1,"EXPERIENCED",IF(VLOOKUP(Table7[[#This Row],[Student_ID]],student_internships[#All],2,0)=1,"BEGINNER","NOT EXPERIENCED"))</f>
        <v>BEGINNER</v>
      </c>
      <c r="F777" s="1">
        <f>VLOOKUP(Table7[[#This Row],[Student_ID]],student_data[],5,0)</f>
        <v>8.66</v>
      </c>
      <c r="G777" s="1">
        <f>VLOOKUP(Table7[[#This Row],[Student_ID]],student_data[#All],6,0)</f>
        <v>5</v>
      </c>
      <c r="H777" s="1">
        <f>VLOOKUP(Table7[[#This Row],[Student_ID]],student_internships[],2,0)</f>
        <v>1</v>
      </c>
      <c r="I777" s="1">
        <f>VLOOKUP(Table7[[#This Row],[Student_ID]],Placements!A777:E1776,5,0)</f>
        <v>5.13</v>
      </c>
      <c r="J777" s="1" t="str">
        <f>IF(VLOOKUP(Table7[[#This Row],[Student_ID]],student_data[#All],5,0)&gt;8,"HIGH",IF(VLOOKUP(Table7[[#This Row],[Student_ID]],student_data[#All],5,0)&lt;6.5,"LOW","MEDIUM"))</f>
        <v>HIGH</v>
      </c>
    </row>
    <row r="778" spans="1:10" x14ac:dyDescent="0.2">
      <c r="A778" s="1" t="s">
        <v>787</v>
      </c>
      <c r="B778" s="1" t="str">
        <f>VLOOKUP(Table7[[#This Row],[Student_ID]],student_data[#All],2,0)</f>
        <v>Electronics</v>
      </c>
      <c r="C778" s="1">
        <f>(VLOOKUP(Table7[[#This Row],[Student_ID]],student_data[],5,0)*5)+(VLOOKUP(Table7[[#This Row],[Student_ID]],student_data[],6,0)*3)+(VLOOKUP(Table7[[#This Row],[Student_ID]],student_skills[],6,0)*2)+(VLOOKUP(Table7[[#This Row],[Student_ID]],student_internships[],2,0)*5)</f>
        <v>82.05</v>
      </c>
      <c r="D778" s="1">
        <f>AVERAGE(VLOOKUP(Table7[[#This Row],[Student_ID]],student_skills[],3,0),VLOOKUP(Table7[[#This Row],[Student_ID]],student_skills[],4,0),VLOOKUP(Table7[[#This Row],[Student_ID]],student_skills[],5,0),VLOOKUP(Table7[[#This Row],[Student_ID]],student_skills[],6,0))</f>
        <v>5</v>
      </c>
      <c r="E778" s="1" t="str">
        <f>IF(VLOOKUP(Table7[[#This Row],[Student_ID]],student_internships[#All],2,0)&gt;1,"EXPERIENCED",IF(VLOOKUP(Table7[[#This Row],[Student_ID]],student_internships[#All],2,0)=1,"BEGINNER","NOT EXPERIENCED"))</f>
        <v>EXPERIENCED</v>
      </c>
      <c r="F778" s="1">
        <f>VLOOKUP(Table7[[#This Row],[Student_ID]],student_data[],5,0)</f>
        <v>9.41</v>
      </c>
      <c r="G778" s="1">
        <f>VLOOKUP(Table7[[#This Row],[Student_ID]],student_data[#All],6,0)</f>
        <v>3</v>
      </c>
      <c r="H778" s="1">
        <f>VLOOKUP(Table7[[#This Row],[Student_ID]],student_internships[],2,0)</f>
        <v>2</v>
      </c>
      <c r="I778" s="1">
        <f>VLOOKUP(Table7[[#This Row],[Student_ID]],Placements!A778:E1777,5,0)</f>
        <v>5.19</v>
      </c>
      <c r="J778" s="1" t="str">
        <f>IF(VLOOKUP(Table7[[#This Row],[Student_ID]],student_data[#All],5,0)&gt;8,"HIGH",IF(VLOOKUP(Table7[[#This Row],[Student_ID]],student_data[#All],5,0)&lt;6.5,"LOW","MEDIUM"))</f>
        <v>HIGH</v>
      </c>
    </row>
    <row r="779" spans="1:10" x14ac:dyDescent="0.2">
      <c r="A779" s="1" t="s">
        <v>788</v>
      </c>
      <c r="B779" s="1" t="str">
        <f>VLOOKUP(Table7[[#This Row],[Student_ID]],student_data[#All],2,0)</f>
        <v>Computer Science</v>
      </c>
      <c r="C779" s="1">
        <f>(VLOOKUP(Table7[[#This Row],[Student_ID]],student_data[],5,0)*5)+(VLOOKUP(Table7[[#This Row],[Student_ID]],student_data[],6,0)*3)+(VLOOKUP(Table7[[#This Row],[Student_ID]],student_skills[],6,0)*2)+(VLOOKUP(Table7[[#This Row],[Student_ID]],student_internships[],2,0)*5)</f>
        <v>40.049999999999997</v>
      </c>
      <c r="D779" s="1">
        <f>AVERAGE(VLOOKUP(Table7[[#This Row],[Student_ID]],student_skills[],3,0),VLOOKUP(Table7[[#This Row],[Student_ID]],student_skills[],4,0),VLOOKUP(Table7[[#This Row],[Student_ID]],student_skills[],5,0),VLOOKUP(Table7[[#This Row],[Student_ID]],student_skills[],6,0))</f>
        <v>4.5</v>
      </c>
      <c r="E779" s="1" t="str">
        <f>IF(VLOOKUP(Table7[[#This Row],[Student_ID]],student_internships[#All],2,0)&gt;1,"EXPERIENCED",IF(VLOOKUP(Table7[[#This Row],[Student_ID]],student_internships[#All],2,0)=1,"BEGINNER","NOT EXPERIENCED"))</f>
        <v>NOT EXPERIENCED</v>
      </c>
      <c r="F779" s="1">
        <f>VLOOKUP(Table7[[#This Row],[Student_ID]],student_data[],5,0)</f>
        <v>5.61</v>
      </c>
      <c r="G779" s="1">
        <f>VLOOKUP(Table7[[#This Row],[Student_ID]],student_data[#All],6,0)</f>
        <v>2</v>
      </c>
      <c r="H779" s="1">
        <f>VLOOKUP(Table7[[#This Row],[Student_ID]],student_internships[],2,0)</f>
        <v>0</v>
      </c>
      <c r="I779" s="1">
        <f>VLOOKUP(Table7[[#This Row],[Student_ID]],Placements!A779:E1778,5,0)</f>
        <v>3.95</v>
      </c>
      <c r="J779" s="1" t="str">
        <f>IF(VLOOKUP(Table7[[#This Row],[Student_ID]],student_data[#All],5,0)&gt;8,"HIGH",IF(VLOOKUP(Table7[[#This Row],[Student_ID]],student_data[#All],5,0)&lt;6.5,"LOW","MEDIUM"))</f>
        <v>LOW</v>
      </c>
    </row>
    <row r="780" spans="1:10" x14ac:dyDescent="0.2">
      <c r="A780" s="1" t="s">
        <v>789</v>
      </c>
      <c r="B780" s="1" t="str">
        <f>VLOOKUP(Table7[[#This Row],[Student_ID]],student_data[#All],2,0)</f>
        <v>Electronics</v>
      </c>
      <c r="C780" s="1">
        <f>(VLOOKUP(Table7[[#This Row],[Student_ID]],student_data[],5,0)*5)+(VLOOKUP(Table7[[#This Row],[Student_ID]],student_data[],6,0)*3)+(VLOOKUP(Table7[[#This Row],[Student_ID]],student_skills[],6,0)*2)+(VLOOKUP(Table7[[#This Row],[Student_ID]],student_internships[],2,0)*5)</f>
        <v>64.849999999999994</v>
      </c>
      <c r="D780" s="1">
        <f>AVERAGE(VLOOKUP(Table7[[#This Row],[Student_ID]],student_skills[],3,0),VLOOKUP(Table7[[#This Row],[Student_ID]],student_skills[],4,0),VLOOKUP(Table7[[#This Row],[Student_ID]],student_skills[],5,0),VLOOKUP(Table7[[#This Row],[Student_ID]],student_skills[],6,0))</f>
        <v>4.25</v>
      </c>
      <c r="E780" s="1" t="str">
        <f>IF(VLOOKUP(Table7[[#This Row],[Student_ID]],student_internships[#All],2,0)&gt;1,"EXPERIENCED",IF(VLOOKUP(Table7[[#This Row],[Student_ID]],student_internships[#All],2,0)=1,"BEGINNER","NOT EXPERIENCED"))</f>
        <v>NOT EXPERIENCED</v>
      </c>
      <c r="F780" s="1">
        <f>VLOOKUP(Table7[[#This Row],[Student_ID]],student_data[],5,0)</f>
        <v>8.17</v>
      </c>
      <c r="G780" s="1">
        <f>VLOOKUP(Table7[[#This Row],[Student_ID]],student_data[#All],6,0)</f>
        <v>4</v>
      </c>
      <c r="H780" s="1">
        <f>VLOOKUP(Table7[[#This Row],[Student_ID]],student_internships[],2,0)</f>
        <v>0</v>
      </c>
      <c r="I780" s="1">
        <f>VLOOKUP(Table7[[#This Row],[Student_ID]],Placements!A780:E1779,5,0)</f>
        <v>4.5</v>
      </c>
      <c r="J780" s="1" t="str">
        <f>IF(VLOOKUP(Table7[[#This Row],[Student_ID]],student_data[#All],5,0)&gt;8,"HIGH",IF(VLOOKUP(Table7[[#This Row],[Student_ID]],student_data[#All],5,0)&lt;6.5,"LOW","MEDIUM"))</f>
        <v>HIGH</v>
      </c>
    </row>
    <row r="781" spans="1:10" x14ac:dyDescent="0.2">
      <c r="A781" s="1" t="s">
        <v>790</v>
      </c>
      <c r="B781" s="1" t="str">
        <f>VLOOKUP(Table7[[#This Row],[Student_ID]],student_data[#All],2,0)</f>
        <v>Information Technology</v>
      </c>
      <c r="C781" s="1">
        <f>(VLOOKUP(Table7[[#This Row],[Student_ID]],student_data[],5,0)*5)+(VLOOKUP(Table7[[#This Row],[Student_ID]],student_data[],6,0)*3)+(VLOOKUP(Table7[[#This Row],[Student_ID]],student_skills[],6,0)*2)+(VLOOKUP(Table7[[#This Row],[Student_ID]],student_internships[],2,0)*5)</f>
        <v>70.55</v>
      </c>
      <c r="D781" s="1">
        <f>AVERAGE(VLOOKUP(Table7[[#This Row],[Student_ID]],student_skills[],3,0),VLOOKUP(Table7[[#This Row],[Student_ID]],student_skills[],4,0),VLOOKUP(Table7[[#This Row],[Student_ID]],student_skills[],5,0),VLOOKUP(Table7[[#This Row],[Student_ID]],student_skills[],6,0))</f>
        <v>6</v>
      </c>
      <c r="E781" s="1" t="str">
        <f>IF(VLOOKUP(Table7[[#This Row],[Student_ID]],student_internships[#All],2,0)&gt;1,"EXPERIENCED",IF(VLOOKUP(Table7[[#This Row],[Student_ID]],student_internships[#All],2,0)=1,"BEGINNER","NOT EXPERIENCED"))</f>
        <v>EXPERIENCED</v>
      </c>
      <c r="F781" s="1">
        <f>VLOOKUP(Table7[[#This Row],[Student_ID]],student_data[],5,0)</f>
        <v>7.91</v>
      </c>
      <c r="G781" s="1">
        <f>VLOOKUP(Table7[[#This Row],[Student_ID]],student_data[#All],6,0)</f>
        <v>1</v>
      </c>
      <c r="H781" s="1">
        <f>VLOOKUP(Table7[[#This Row],[Student_ID]],student_internships[],2,0)</f>
        <v>2</v>
      </c>
      <c r="I781" s="1">
        <f>VLOOKUP(Table7[[#This Row],[Student_ID]],Placements!A781:E1780,5,0)</f>
        <v>0</v>
      </c>
      <c r="J781" s="1" t="str">
        <f>IF(VLOOKUP(Table7[[#This Row],[Student_ID]],student_data[#All],5,0)&gt;8,"HIGH",IF(VLOOKUP(Table7[[#This Row],[Student_ID]],student_data[#All],5,0)&lt;6.5,"LOW","MEDIUM"))</f>
        <v>MEDIUM</v>
      </c>
    </row>
    <row r="782" spans="1:10" x14ac:dyDescent="0.2">
      <c r="A782" s="1" t="s">
        <v>791</v>
      </c>
      <c r="B782" s="1" t="str">
        <f>VLOOKUP(Table7[[#This Row],[Student_ID]],student_data[#All],2,0)</f>
        <v>Mechanical</v>
      </c>
      <c r="C782" s="1">
        <f>(VLOOKUP(Table7[[#This Row],[Student_ID]],student_data[],5,0)*5)+(VLOOKUP(Table7[[#This Row],[Student_ID]],student_data[],6,0)*3)+(VLOOKUP(Table7[[#This Row],[Student_ID]],student_skills[],6,0)*2)+(VLOOKUP(Table7[[#This Row],[Student_ID]],student_internships[],2,0)*5)</f>
        <v>51.95</v>
      </c>
      <c r="D782" s="1">
        <f>AVERAGE(VLOOKUP(Table7[[#This Row],[Student_ID]],student_skills[],3,0),VLOOKUP(Table7[[#This Row],[Student_ID]],student_skills[],4,0),VLOOKUP(Table7[[#This Row],[Student_ID]],student_skills[],5,0),VLOOKUP(Table7[[#This Row],[Student_ID]],student_skills[],6,0))</f>
        <v>4.5</v>
      </c>
      <c r="E782" s="1" t="str">
        <f>IF(VLOOKUP(Table7[[#This Row],[Student_ID]],student_internships[#All],2,0)&gt;1,"EXPERIENCED",IF(VLOOKUP(Table7[[#This Row],[Student_ID]],student_internships[#All],2,0)=1,"BEGINNER","NOT EXPERIENCED"))</f>
        <v>EXPERIENCED</v>
      </c>
      <c r="F782" s="1">
        <f>VLOOKUP(Table7[[#This Row],[Student_ID]],student_data[],5,0)</f>
        <v>5.59</v>
      </c>
      <c r="G782" s="1">
        <f>VLOOKUP(Table7[[#This Row],[Student_ID]],student_data[#All],6,0)</f>
        <v>4</v>
      </c>
      <c r="H782" s="1">
        <f>VLOOKUP(Table7[[#This Row],[Student_ID]],student_internships[],2,0)</f>
        <v>2</v>
      </c>
      <c r="I782" s="1">
        <f>VLOOKUP(Table7[[#This Row],[Student_ID]],Placements!A782:E1781,5,0)</f>
        <v>4.3499999999999996</v>
      </c>
      <c r="J782" s="1" t="str">
        <f>IF(VLOOKUP(Table7[[#This Row],[Student_ID]],student_data[#All],5,0)&gt;8,"HIGH",IF(VLOOKUP(Table7[[#This Row],[Student_ID]],student_data[#All],5,0)&lt;6.5,"LOW","MEDIUM"))</f>
        <v>LOW</v>
      </c>
    </row>
    <row r="783" spans="1:10" x14ac:dyDescent="0.2">
      <c r="A783" s="1" t="s">
        <v>792</v>
      </c>
      <c r="B783" s="1" t="str">
        <f>VLOOKUP(Table7[[#This Row],[Student_ID]],student_data[#All],2,0)</f>
        <v>Computer Science</v>
      </c>
      <c r="C783" s="1">
        <f>(VLOOKUP(Table7[[#This Row],[Student_ID]],student_data[],5,0)*5)+(VLOOKUP(Table7[[#This Row],[Student_ID]],student_data[],6,0)*3)+(VLOOKUP(Table7[[#This Row],[Student_ID]],student_skills[],6,0)*2)+(VLOOKUP(Table7[[#This Row],[Student_ID]],student_internships[],2,0)*5)</f>
        <v>49.3</v>
      </c>
      <c r="D783" s="1">
        <f>AVERAGE(VLOOKUP(Table7[[#This Row],[Student_ID]],student_skills[],3,0),VLOOKUP(Table7[[#This Row],[Student_ID]],student_skills[],4,0),VLOOKUP(Table7[[#This Row],[Student_ID]],student_skills[],5,0),VLOOKUP(Table7[[#This Row],[Student_ID]],student_skills[],6,0))</f>
        <v>4.5</v>
      </c>
      <c r="E783" s="1" t="str">
        <f>IF(VLOOKUP(Table7[[#This Row],[Student_ID]],student_internships[#All],2,0)&gt;1,"EXPERIENCED",IF(VLOOKUP(Table7[[#This Row],[Student_ID]],student_internships[#All],2,0)=1,"BEGINNER","NOT EXPERIENCED"))</f>
        <v>BEGINNER</v>
      </c>
      <c r="F783" s="1">
        <f>VLOOKUP(Table7[[#This Row],[Student_ID]],student_data[],5,0)</f>
        <v>6.06</v>
      </c>
      <c r="G783" s="1">
        <f>VLOOKUP(Table7[[#This Row],[Student_ID]],student_data[#All],6,0)</f>
        <v>4</v>
      </c>
      <c r="H783" s="1">
        <f>VLOOKUP(Table7[[#This Row],[Student_ID]],student_internships[],2,0)</f>
        <v>1</v>
      </c>
      <c r="I783" s="1">
        <f>VLOOKUP(Table7[[#This Row],[Student_ID]],Placements!A783:E1782,5,0)</f>
        <v>4.12</v>
      </c>
      <c r="J783" s="1" t="str">
        <f>IF(VLOOKUP(Table7[[#This Row],[Student_ID]],student_data[#All],5,0)&gt;8,"HIGH",IF(VLOOKUP(Table7[[#This Row],[Student_ID]],student_data[#All],5,0)&lt;6.5,"LOW","MEDIUM"))</f>
        <v>LOW</v>
      </c>
    </row>
    <row r="784" spans="1:10" x14ac:dyDescent="0.2">
      <c r="A784" s="1" t="s">
        <v>793</v>
      </c>
      <c r="B784" s="1" t="str">
        <f>VLOOKUP(Table7[[#This Row],[Student_ID]],student_data[#All],2,0)</f>
        <v>Electronics</v>
      </c>
      <c r="C784" s="1">
        <f>(VLOOKUP(Table7[[#This Row],[Student_ID]],student_data[],5,0)*5)+(VLOOKUP(Table7[[#This Row],[Student_ID]],student_data[],6,0)*3)+(VLOOKUP(Table7[[#This Row],[Student_ID]],student_skills[],6,0)*2)+(VLOOKUP(Table7[[#This Row],[Student_ID]],student_internships[],2,0)*5)</f>
        <v>59.8</v>
      </c>
      <c r="D784" s="1">
        <f>AVERAGE(VLOOKUP(Table7[[#This Row],[Student_ID]],student_skills[],3,0),VLOOKUP(Table7[[#This Row],[Student_ID]],student_skills[],4,0),VLOOKUP(Table7[[#This Row],[Student_ID]],student_skills[],5,0),VLOOKUP(Table7[[#This Row],[Student_ID]],student_skills[],6,0))</f>
        <v>7.25</v>
      </c>
      <c r="E784" s="1" t="str">
        <f>IF(VLOOKUP(Table7[[#This Row],[Student_ID]],student_internships[#All],2,0)&gt;1,"EXPERIENCED",IF(VLOOKUP(Table7[[#This Row],[Student_ID]],student_internships[#All],2,0)=1,"BEGINNER","NOT EXPERIENCED"))</f>
        <v>BEGINNER</v>
      </c>
      <c r="F784" s="1">
        <f>VLOOKUP(Table7[[#This Row],[Student_ID]],student_data[],5,0)</f>
        <v>6.56</v>
      </c>
      <c r="G784" s="1">
        <f>VLOOKUP(Table7[[#This Row],[Student_ID]],student_data[#All],6,0)</f>
        <v>2</v>
      </c>
      <c r="H784" s="1">
        <f>VLOOKUP(Table7[[#This Row],[Student_ID]],student_internships[],2,0)</f>
        <v>1</v>
      </c>
      <c r="I784" s="1">
        <f>VLOOKUP(Table7[[#This Row],[Student_ID]],Placements!A784:E1783,5,0)</f>
        <v>5.43</v>
      </c>
      <c r="J784" s="1" t="str">
        <f>IF(VLOOKUP(Table7[[#This Row],[Student_ID]],student_data[#All],5,0)&gt;8,"HIGH",IF(VLOOKUP(Table7[[#This Row],[Student_ID]],student_data[#All],5,0)&lt;6.5,"LOW","MEDIUM"))</f>
        <v>MEDIUM</v>
      </c>
    </row>
    <row r="785" spans="1:10" x14ac:dyDescent="0.2">
      <c r="A785" s="1" t="s">
        <v>794</v>
      </c>
      <c r="B785" s="1" t="str">
        <f>VLOOKUP(Table7[[#This Row],[Student_ID]],student_data[#All],2,0)</f>
        <v>Computer Science</v>
      </c>
      <c r="C785" s="1">
        <f>(VLOOKUP(Table7[[#This Row],[Student_ID]],student_data[],5,0)*5)+(VLOOKUP(Table7[[#This Row],[Student_ID]],student_data[],6,0)*3)+(VLOOKUP(Table7[[#This Row],[Student_ID]],student_skills[],6,0)*2)+(VLOOKUP(Table7[[#This Row],[Student_ID]],student_internships[],2,0)*5)</f>
        <v>49.15</v>
      </c>
      <c r="D785" s="1">
        <f>AVERAGE(VLOOKUP(Table7[[#This Row],[Student_ID]],student_skills[],3,0),VLOOKUP(Table7[[#This Row],[Student_ID]],student_skills[],4,0),VLOOKUP(Table7[[#This Row],[Student_ID]],student_skills[],5,0),VLOOKUP(Table7[[#This Row],[Student_ID]],student_skills[],6,0))</f>
        <v>4</v>
      </c>
      <c r="E785" s="1" t="str">
        <f>IF(VLOOKUP(Table7[[#This Row],[Student_ID]],student_internships[#All],2,0)&gt;1,"EXPERIENCED",IF(VLOOKUP(Table7[[#This Row],[Student_ID]],student_internships[#All],2,0)=1,"BEGINNER","NOT EXPERIENCED"))</f>
        <v>BEGINNER</v>
      </c>
      <c r="F785" s="1">
        <f>VLOOKUP(Table7[[#This Row],[Student_ID]],student_data[],5,0)</f>
        <v>5.83</v>
      </c>
      <c r="G785" s="1">
        <f>VLOOKUP(Table7[[#This Row],[Student_ID]],student_data[#All],6,0)</f>
        <v>3</v>
      </c>
      <c r="H785" s="1">
        <f>VLOOKUP(Table7[[#This Row],[Student_ID]],student_internships[],2,0)</f>
        <v>1</v>
      </c>
      <c r="I785" s="1">
        <f>VLOOKUP(Table7[[#This Row],[Student_ID]],Placements!A785:E1784,5,0)</f>
        <v>0</v>
      </c>
      <c r="J785" s="1" t="str">
        <f>IF(VLOOKUP(Table7[[#This Row],[Student_ID]],student_data[#All],5,0)&gt;8,"HIGH",IF(VLOOKUP(Table7[[#This Row],[Student_ID]],student_data[#All],5,0)&lt;6.5,"LOW","MEDIUM"))</f>
        <v>LOW</v>
      </c>
    </row>
    <row r="786" spans="1:10" x14ac:dyDescent="0.2">
      <c r="A786" s="1" t="s">
        <v>795</v>
      </c>
      <c r="B786" s="1" t="str">
        <f>VLOOKUP(Table7[[#This Row],[Student_ID]],student_data[#All],2,0)</f>
        <v>Computer Science</v>
      </c>
      <c r="C786" s="1">
        <f>(VLOOKUP(Table7[[#This Row],[Student_ID]],student_data[],5,0)*5)+(VLOOKUP(Table7[[#This Row],[Student_ID]],student_data[],6,0)*3)+(VLOOKUP(Table7[[#This Row],[Student_ID]],student_skills[],6,0)*2)+(VLOOKUP(Table7[[#This Row],[Student_ID]],student_internships[],2,0)*5)</f>
        <v>53.099999999999994</v>
      </c>
      <c r="D786" s="1">
        <f>AVERAGE(VLOOKUP(Table7[[#This Row],[Student_ID]],student_skills[],3,0),VLOOKUP(Table7[[#This Row],[Student_ID]],student_skills[],4,0),VLOOKUP(Table7[[#This Row],[Student_ID]],student_skills[],5,0),VLOOKUP(Table7[[#This Row],[Student_ID]],student_skills[],6,0))</f>
        <v>5.25</v>
      </c>
      <c r="E786" s="1" t="str">
        <f>IF(VLOOKUP(Table7[[#This Row],[Student_ID]],student_internships[#All],2,0)&gt;1,"EXPERIENCED",IF(VLOOKUP(Table7[[#This Row],[Student_ID]],student_internships[#All],2,0)=1,"BEGINNER","NOT EXPERIENCED"))</f>
        <v>NOT EXPERIENCED</v>
      </c>
      <c r="F786" s="1">
        <f>VLOOKUP(Table7[[#This Row],[Student_ID]],student_data[],5,0)</f>
        <v>6.22</v>
      </c>
      <c r="G786" s="1">
        <f>VLOOKUP(Table7[[#This Row],[Student_ID]],student_data[#All],6,0)</f>
        <v>4</v>
      </c>
      <c r="H786" s="1">
        <f>VLOOKUP(Table7[[#This Row],[Student_ID]],student_internships[],2,0)</f>
        <v>0</v>
      </c>
      <c r="I786" s="1">
        <f>VLOOKUP(Table7[[#This Row],[Student_ID]],Placements!A786:E1785,5,0)</f>
        <v>4.1900000000000004</v>
      </c>
      <c r="J786" s="1" t="str">
        <f>IF(VLOOKUP(Table7[[#This Row],[Student_ID]],student_data[#All],5,0)&gt;8,"HIGH",IF(VLOOKUP(Table7[[#This Row],[Student_ID]],student_data[#All],5,0)&lt;6.5,"LOW","MEDIUM"))</f>
        <v>LOW</v>
      </c>
    </row>
    <row r="787" spans="1:10" x14ac:dyDescent="0.2">
      <c r="A787" s="1" t="s">
        <v>796</v>
      </c>
      <c r="B787" s="1" t="str">
        <f>VLOOKUP(Table7[[#This Row],[Student_ID]],student_data[#All],2,0)</f>
        <v>Mechanical</v>
      </c>
      <c r="C787" s="1">
        <f>(VLOOKUP(Table7[[#This Row],[Student_ID]],student_data[],5,0)*5)+(VLOOKUP(Table7[[#This Row],[Student_ID]],student_data[],6,0)*3)+(VLOOKUP(Table7[[#This Row],[Student_ID]],student_skills[],6,0)*2)+(VLOOKUP(Table7[[#This Row],[Student_ID]],student_internships[],2,0)*5)</f>
        <v>47.7</v>
      </c>
      <c r="D787" s="1">
        <f>AVERAGE(VLOOKUP(Table7[[#This Row],[Student_ID]],student_skills[],3,0),VLOOKUP(Table7[[#This Row],[Student_ID]],student_skills[],4,0),VLOOKUP(Table7[[#This Row],[Student_ID]],student_skills[],5,0),VLOOKUP(Table7[[#This Row],[Student_ID]],student_skills[],6,0))</f>
        <v>5.5</v>
      </c>
      <c r="E787" s="1" t="str">
        <f>IF(VLOOKUP(Table7[[#This Row],[Student_ID]],student_internships[#All],2,0)&gt;1,"EXPERIENCED",IF(VLOOKUP(Table7[[#This Row],[Student_ID]],student_internships[#All],2,0)=1,"BEGINNER","NOT EXPERIENCED"))</f>
        <v>BEGINNER</v>
      </c>
      <c r="F787" s="1">
        <f>VLOOKUP(Table7[[#This Row],[Student_ID]],student_data[],5,0)</f>
        <v>6.34</v>
      </c>
      <c r="G787" s="1">
        <f>VLOOKUP(Table7[[#This Row],[Student_ID]],student_data[#All],6,0)</f>
        <v>3</v>
      </c>
      <c r="H787" s="1">
        <f>VLOOKUP(Table7[[#This Row],[Student_ID]],student_internships[],2,0)</f>
        <v>1</v>
      </c>
      <c r="I787" s="1">
        <f>VLOOKUP(Table7[[#This Row],[Student_ID]],Placements!A787:E1786,5,0)</f>
        <v>4.1100000000000003</v>
      </c>
      <c r="J787" s="1" t="str">
        <f>IF(VLOOKUP(Table7[[#This Row],[Student_ID]],student_data[#All],5,0)&gt;8,"HIGH",IF(VLOOKUP(Table7[[#This Row],[Student_ID]],student_data[#All],5,0)&lt;6.5,"LOW","MEDIUM"))</f>
        <v>LOW</v>
      </c>
    </row>
    <row r="788" spans="1:10" x14ac:dyDescent="0.2">
      <c r="A788" s="1" t="s">
        <v>797</v>
      </c>
      <c r="B788" s="1" t="str">
        <f>VLOOKUP(Table7[[#This Row],[Student_ID]],student_data[#All],2,0)</f>
        <v>Information Technology</v>
      </c>
      <c r="C788" s="1">
        <f>(VLOOKUP(Table7[[#This Row],[Student_ID]],student_data[],5,0)*5)+(VLOOKUP(Table7[[#This Row],[Student_ID]],student_data[],6,0)*3)+(VLOOKUP(Table7[[#This Row],[Student_ID]],student_skills[],6,0)*2)+(VLOOKUP(Table7[[#This Row],[Student_ID]],student_internships[],2,0)*5)</f>
        <v>43.4</v>
      </c>
      <c r="D788" s="1">
        <f>AVERAGE(VLOOKUP(Table7[[#This Row],[Student_ID]],student_skills[],3,0),VLOOKUP(Table7[[#This Row],[Student_ID]],student_skills[],4,0),VLOOKUP(Table7[[#This Row],[Student_ID]],student_skills[],5,0),VLOOKUP(Table7[[#This Row],[Student_ID]],student_skills[],6,0))</f>
        <v>5.5</v>
      </c>
      <c r="E788" s="1" t="str">
        <f>IF(VLOOKUP(Table7[[#This Row],[Student_ID]],student_internships[#All],2,0)&gt;1,"EXPERIENCED",IF(VLOOKUP(Table7[[#This Row],[Student_ID]],student_internships[#All],2,0)=1,"BEGINNER","NOT EXPERIENCED"))</f>
        <v>NOT EXPERIENCED</v>
      </c>
      <c r="F788" s="1">
        <f>VLOOKUP(Table7[[#This Row],[Student_ID]],student_data[],5,0)</f>
        <v>6.68</v>
      </c>
      <c r="G788" s="1">
        <f>VLOOKUP(Table7[[#This Row],[Student_ID]],student_data[#All],6,0)</f>
        <v>0</v>
      </c>
      <c r="H788" s="1">
        <f>VLOOKUP(Table7[[#This Row],[Student_ID]],student_internships[],2,0)</f>
        <v>0</v>
      </c>
      <c r="I788" s="1">
        <f>VLOOKUP(Table7[[#This Row],[Student_ID]],Placements!A788:E1787,5,0)</f>
        <v>0</v>
      </c>
      <c r="J788" s="1" t="str">
        <f>IF(VLOOKUP(Table7[[#This Row],[Student_ID]],student_data[#All],5,0)&gt;8,"HIGH",IF(VLOOKUP(Table7[[#This Row],[Student_ID]],student_data[#All],5,0)&lt;6.5,"LOW","MEDIUM"))</f>
        <v>MEDIUM</v>
      </c>
    </row>
    <row r="789" spans="1:10" x14ac:dyDescent="0.2">
      <c r="A789" s="1" t="s">
        <v>798</v>
      </c>
      <c r="B789" s="1" t="str">
        <f>VLOOKUP(Table7[[#This Row],[Student_ID]],student_data[#All],2,0)</f>
        <v>Computer Science</v>
      </c>
      <c r="C789" s="1">
        <f>(VLOOKUP(Table7[[#This Row],[Student_ID]],student_data[],5,0)*5)+(VLOOKUP(Table7[[#This Row],[Student_ID]],student_data[],6,0)*3)+(VLOOKUP(Table7[[#This Row],[Student_ID]],student_skills[],6,0)*2)+(VLOOKUP(Table7[[#This Row],[Student_ID]],student_internships[],2,0)*5)</f>
        <v>85.75</v>
      </c>
      <c r="D789" s="1">
        <f>AVERAGE(VLOOKUP(Table7[[#This Row],[Student_ID]],student_skills[],3,0),VLOOKUP(Table7[[#This Row],[Student_ID]],student_skills[],4,0),VLOOKUP(Table7[[#This Row],[Student_ID]],student_skills[],5,0),VLOOKUP(Table7[[#This Row],[Student_ID]],student_skills[],6,0))</f>
        <v>4.75</v>
      </c>
      <c r="E789" s="1" t="str">
        <f>IF(VLOOKUP(Table7[[#This Row],[Student_ID]],student_internships[#All],2,0)&gt;1,"EXPERIENCED",IF(VLOOKUP(Table7[[#This Row],[Student_ID]],student_internships[#All],2,0)=1,"BEGINNER","NOT EXPERIENCED"))</f>
        <v>EXPERIENCED</v>
      </c>
      <c r="F789" s="1">
        <f>VLOOKUP(Table7[[#This Row],[Student_ID]],student_data[],5,0)</f>
        <v>8.75</v>
      </c>
      <c r="G789" s="1">
        <f>VLOOKUP(Table7[[#This Row],[Student_ID]],student_data[#All],6,0)</f>
        <v>5</v>
      </c>
      <c r="H789" s="1">
        <f>VLOOKUP(Table7[[#This Row],[Student_ID]],student_internships[],2,0)</f>
        <v>3</v>
      </c>
      <c r="I789" s="1">
        <f>VLOOKUP(Table7[[#This Row],[Student_ID]],Placements!A789:E1788,5,0)</f>
        <v>4.5599999999999996</v>
      </c>
      <c r="J789" s="1" t="str">
        <f>IF(VLOOKUP(Table7[[#This Row],[Student_ID]],student_data[#All],5,0)&gt;8,"HIGH",IF(VLOOKUP(Table7[[#This Row],[Student_ID]],student_data[#All],5,0)&lt;6.5,"LOW","MEDIUM"))</f>
        <v>HIGH</v>
      </c>
    </row>
    <row r="790" spans="1:10" x14ac:dyDescent="0.2">
      <c r="A790" s="1" t="s">
        <v>799</v>
      </c>
      <c r="B790" s="1" t="str">
        <f>VLOOKUP(Table7[[#This Row],[Student_ID]],student_data[#All],2,0)</f>
        <v>Electronics</v>
      </c>
      <c r="C790" s="1">
        <f>(VLOOKUP(Table7[[#This Row],[Student_ID]],student_data[],5,0)*5)+(VLOOKUP(Table7[[#This Row],[Student_ID]],student_data[],6,0)*3)+(VLOOKUP(Table7[[#This Row],[Student_ID]],student_skills[],6,0)*2)+(VLOOKUP(Table7[[#This Row],[Student_ID]],student_internships[],2,0)*5)</f>
        <v>69.300000000000011</v>
      </c>
      <c r="D790" s="1">
        <f>AVERAGE(VLOOKUP(Table7[[#This Row],[Student_ID]],student_skills[],3,0),VLOOKUP(Table7[[#This Row],[Student_ID]],student_skills[],4,0),VLOOKUP(Table7[[#This Row],[Student_ID]],student_skills[],5,0),VLOOKUP(Table7[[#This Row],[Student_ID]],student_skills[],6,0))</f>
        <v>6</v>
      </c>
      <c r="E790" s="1" t="str">
        <f>IF(VLOOKUP(Table7[[#This Row],[Student_ID]],student_internships[#All],2,0)&gt;1,"EXPERIENCED",IF(VLOOKUP(Table7[[#This Row],[Student_ID]],student_internships[#All],2,0)=1,"BEGINNER","NOT EXPERIENCED"))</f>
        <v>BEGINNER</v>
      </c>
      <c r="F790" s="1">
        <f>VLOOKUP(Table7[[#This Row],[Student_ID]],student_data[],5,0)</f>
        <v>7.86</v>
      </c>
      <c r="G790" s="1">
        <f>VLOOKUP(Table7[[#This Row],[Student_ID]],student_data[#All],6,0)</f>
        <v>3</v>
      </c>
      <c r="H790" s="1">
        <f>VLOOKUP(Table7[[#This Row],[Student_ID]],student_internships[],2,0)</f>
        <v>1</v>
      </c>
      <c r="I790" s="1">
        <f>VLOOKUP(Table7[[#This Row],[Student_ID]],Placements!A790:E1789,5,0)</f>
        <v>5.13</v>
      </c>
      <c r="J790" s="1" t="str">
        <f>IF(VLOOKUP(Table7[[#This Row],[Student_ID]],student_data[#All],5,0)&gt;8,"HIGH",IF(VLOOKUP(Table7[[#This Row],[Student_ID]],student_data[#All],5,0)&lt;6.5,"LOW","MEDIUM"))</f>
        <v>MEDIUM</v>
      </c>
    </row>
    <row r="791" spans="1:10" x14ac:dyDescent="0.2">
      <c r="A791" s="1" t="s">
        <v>800</v>
      </c>
      <c r="B791" s="1" t="str">
        <f>VLOOKUP(Table7[[#This Row],[Student_ID]],student_data[#All],2,0)</f>
        <v>Civil</v>
      </c>
      <c r="C791" s="1">
        <f>(VLOOKUP(Table7[[#This Row],[Student_ID]],student_data[],5,0)*5)+(VLOOKUP(Table7[[#This Row],[Student_ID]],student_data[],6,0)*3)+(VLOOKUP(Table7[[#This Row],[Student_ID]],student_skills[],6,0)*2)+(VLOOKUP(Table7[[#This Row],[Student_ID]],student_internships[],2,0)*5)</f>
        <v>63.65</v>
      </c>
      <c r="D791" s="1">
        <f>AVERAGE(VLOOKUP(Table7[[#This Row],[Student_ID]],student_skills[],3,0),VLOOKUP(Table7[[#This Row],[Student_ID]],student_skills[],4,0),VLOOKUP(Table7[[#This Row],[Student_ID]],student_skills[],5,0),VLOOKUP(Table7[[#This Row],[Student_ID]],student_skills[],6,0))</f>
        <v>2.5</v>
      </c>
      <c r="E791" s="1" t="str">
        <f>IF(VLOOKUP(Table7[[#This Row],[Student_ID]],student_internships[#All],2,0)&gt;1,"EXPERIENCED",IF(VLOOKUP(Table7[[#This Row],[Student_ID]],student_internships[#All],2,0)=1,"BEGINNER","NOT EXPERIENCED"))</f>
        <v>BEGINNER</v>
      </c>
      <c r="F791" s="1">
        <f>VLOOKUP(Table7[[#This Row],[Student_ID]],student_data[],5,0)</f>
        <v>9.93</v>
      </c>
      <c r="G791" s="1">
        <f>VLOOKUP(Table7[[#This Row],[Student_ID]],student_data[#All],6,0)</f>
        <v>1</v>
      </c>
      <c r="H791" s="1">
        <f>VLOOKUP(Table7[[#This Row],[Student_ID]],student_internships[],2,0)</f>
        <v>1</v>
      </c>
      <c r="I791" s="1">
        <f>VLOOKUP(Table7[[#This Row],[Student_ID]],Placements!A791:E1790,5,0)</f>
        <v>0</v>
      </c>
      <c r="J791" s="1" t="str">
        <f>IF(VLOOKUP(Table7[[#This Row],[Student_ID]],student_data[#All],5,0)&gt;8,"HIGH",IF(VLOOKUP(Table7[[#This Row],[Student_ID]],student_data[#All],5,0)&lt;6.5,"LOW","MEDIUM"))</f>
        <v>HIGH</v>
      </c>
    </row>
    <row r="792" spans="1:10" x14ac:dyDescent="0.2">
      <c r="A792" s="1" t="s">
        <v>801</v>
      </c>
      <c r="B792" s="1" t="str">
        <f>VLOOKUP(Table7[[#This Row],[Student_ID]],student_data[#All],2,0)</f>
        <v>Computer Science</v>
      </c>
      <c r="C792" s="1">
        <f>(VLOOKUP(Table7[[#This Row],[Student_ID]],student_data[],5,0)*5)+(VLOOKUP(Table7[[#This Row],[Student_ID]],student_data[],6,0)*3)+(VLOOKUP(Table7[[#This Row],[Student_ID]],student_skills[],6,0)*2)+(VLOOKUP(Table7[[#This Row],[Student_ID]],student_internships[],2,0)*5)</f>
        <v>61.35</v>
      </c>
      <c r="D792" s="1">
        <f>AVERAGE(VLOOKUP(Table7[[#This Row],[Student_ID]],student_skills[],3,0),VLOOKUP(Table7[[#This Row],[Student_ID]],student_skills[],4,0),VLOOKUP(Table7[[#This Row],[Student_ID]],student_skills[],5,0),VLOOKUP(Table7[[#This Row],[Student_ID]],student_skills[],6,0))</f>
        <v>4</v>
      </c>
      <c r="E792" s="1" t="str">
        <f>IF(VLOOKUP(Table7[[#This Row],[Student_ID]],student_internships[#All],2,0)&gt;1,"EXPERIENCED",IF(VLOOKUP(Table7[[#This Row],[Student_ID]],student_internships[#All],2,0)=1,"BEGINNER","NOT EXPERIENCED"))</f>
        <v>BEGINNER</v>
      </c>
      <c r="F792" s="1">
        <f>VLOOKUP(Table7[[#This Row],[Student_ID]],student_data[],5,0)</f>
        <v>7.07</v>
      </c>
      <c r="G792" s="1">
        <f>VLOOKUP(Table7[[#This Row],[Student_ID]],student_data[#All],6,0)</f>
        <v>5</v>
      </c>
      <c r="H792" s="1">
        <f>VLOOKUP(Table7[[#This Row],[Student_ID]],student_internships[],2,0)</f>
        <v>1</v>
      </c>
      <c r="I792" s="1">
        <f>VLOOKUP(Table7[[#This Row],[Student_ID]],Placements!A792:E1791,5,0)</f>
        <v>4.12</v>
      </c>
      <c r="J792" s="1" t="str">
        <f>IF(VLOOKUP(Table7[[#This Row],[Student_ID]],student_data[#All],5,0)&gt;8,"HIGH",IF(VLOOKUP(Table7[[#This Row],[Student_ID]],student_data[#All],5,0)&lt;6.5,"LOW","MEDIUM"))</f>
        <v>MEDIUM</v>
      </c>
    </row>
    <row r="793" spans="1:10" x14ac:dyDescent="0.2">
      <c r="A793" s="1" t="s">
        <v>802</v>
      </c>
      <c r="B793" s="1" t="str">
        <f>VLOOKUP(Table7[[#This Row],[Student_ID]],student_data[#All],2,0)</f>
        <v>Computer Science</v>
      </c>
      <c r="C793" s="1">
        <f>(VLOOKUP(Table7[[#This Row],[Student_ID]],student_data[],5,0)*5)+(VLOOKUP(Table7[[#This Row],[Student_ID]],student_data[],6,0)*3)+(VLOOKUP(Table7[[#This Row],[Student_ID]],student_skills[],6,0)*2)+(VLOOKUP(Table7[[#This Row],[Student_ID]],student_internships[],2,0)*5)</f>
        <v>81.849999999999994</v>
      </c>
      <c r="D793" s="1">
        <f>AVERAGE(VLOOKUP(Table7[[#This Row],[Student_ID]],student_skills[],3,0),VLOOKUP(Table7[[#This Row],[Student_ID]],student_skills[],4,0),VLOOKUP(Table7[[#This Row],[Student_ID]],student_skills[],5,0),VLOOKUP(Table7[[#This Row],[Student_ID]],student_skills[],6,0))</f>
        <v>6.5</v>
      </c>
      <c r="E793" s="1" t="str">
        <f>IF(VLOOKUP(Table7[[#This Row],[Student_ID]],student_internships[#All],2,0)&gt;1,"EXPERIENCED",IF(VLOOKUP(Table7[[#This Row],[Student_ID]],student_internships[#All],2,0)=1,"BEGINNER","NOT EXPERIENCED"))</f>
        <v>EXPERIENCED</v>
      </c>
      <c r="F793" s="1">
        <f>VLOOKUP(Table7[[#This Row],[Student_ID]],student_data[],5,0)</f>
        <v>8.77</v>
      </c>
      <c r="G793" s="1">
        <f>VLOOKUP(Table7[[#This Row],[Student_ID]],student_data[#All],6,0)</f>
        <v>1</v>
      </c>
      <c r="H793" s="1">
        <f>VLOOKUP(Table7[[#This Row],[Student_ID]],student_internships[],2,0)</f>
        <v>3</v>
      </c>
      <c r="I793" s="1">
        <f>VLOOKUP(Table7[[#This Row],[Student_ID]],Placements!A793:E1792,5,0)</f>
        <v>4.3499999999999996</v>
      </c>
      <c r="J793" s="1" t="str">
        <f>IF(VLOOKUP(Table7[[#This Row],[Student_ID]],student_data[#All],5,0)&gt;8,"HIGH",IF(VLOOKUP(Table7[[#This Row],[Student_ID]],student_data[#All],5,0)&lt;6.5,"LOW","MEDIUM"))</f>
        <v>HIGH</v>
      </c>
    </row>
    <row r="794" spans="1:10" x14ac:dyDescent="0.2">
      <c r="A794" s="1" t="s">
        <v>803</v>
      </c>
      <c r="B794" s="1" t="str">
        <f>VLOOKUP(Table7[[#This Row],[Student_ID]],student_data[#All],2,0)</f>
        <v>Mechanical</v>
      </c>
      <c r="C794" s="1">
        <f>(VLOOKUP(Table7[[#This Row],[Student_ID]],student_data[],5,0)*5)+(VLOOKUP(Table7[[#This Row],[Student_ID]],student_data[],6,0)*3)+(VLOOKUP(Table7[[#This Row],[Student_ID]],student_skills[],6,0)*2)+(VLOOKUP(Table7[[#This Row],[Student_ID]],student_internships[],2,0)*5)</f>
        <v>76.8</v>
      </c>
      <c r="D794" s="1">
        <f>AVERAGE(VLOOKUP(Table7[[#This Row],[Student_ID]],student_skills[],3,0),VLOOKUP(Table7[[#This Row],[Student_ID]],student_skills[],4,0),VLOOKUP(Table7[[#This Row],[Student_ID]],student_skills[],5,0),VLOOKUP(Table7[[#This Row],[Student_ID]],student_skills[],6,0))</f>
        <v>6</v>
      </c>
      <c r="E794" s="1" t="str">
        <f>IF(VLOOKUP(Table7[[#This Row],[Student_ID]],student_internships[#All],2,0)&gt;1,"EXPERIENCED",IF(VLOOKUP(Table7[[#This Row],[Student_ID]],student_internships[#All],2,0)=1,"BEGINNER","NOT EXPERIENCED"))</f>
        <v>NOT EXPERIENCED</v>
      </c>
      <c r="F794" s="1">
        <f>VLOOKUP(Table7[[#This Row],[Student_ID]],student_data[],5,0)</f>
        <v>9.36</v>
      </c>
      <c r="G794" s="1">
        <f>VLOOKUP(Table7[[#This Row],[Student_ID]],student_data[#All],6,0)</f>
        <v>4</v>
      </c>
      <c r="H794" s="1">
        <f>VLOOKUP(Table7[[#This Row],[Student_ID]],student_internships[],2,0)</f>
        <v>0</v>
      </c>
      <c r="I794" s="1">
        <f>VLOOKUP(Table7[[#This Row],[Student_ID]],Placements!A794:E1793,5,0)</f>
        <v>4.5</v>
      </c>
      <c r="J794" s="1" t="str">
        <f>IF(VLOOKUP(Table7[[#This Row],[Student_ID]],student_data[#All],5,0)&gt;8,"HIGH",IF(VLOOKUP(Table7[[#This Row],[Student_ID]],student_data[#All],5,0)&lt;6.5,"LOW","MEDIUM"))</f>
        <v>HIGH</v>
      </c>
    </row>
    <row r="795" spans="1:10" x14ac:dyDescent="0.2">
      <c r="A795" s="1" t="s">
        <v>804</v>
      </c>
      <c r="B795" s="1" t="str">
        <f>VLOOKUP(Table7[[#This Row],[Student_ID]],student_data[#All],2,0)</f>
        <v>Information Technology</v>
      </c>
      <c r="C795" s="1">
        <f>(VLOOKUP(Table7[[#This Row],[Student_ID]],student_data[],5,0)*5)+(VLOOKUP(Table7[[#This Row],[Student_ID]],student_data[],6,0)*3)+(VLOOKUP(Table7[[#This Row],[Student_ID]],student_skills[],6,0)*2)+(VLOOKUP(Table7[[#This Row],[Student_ID]],student_internships[],2,0)*5)</f>
        <v>69.95</v>
      </c>
      <c r="D795" s="1">
        <f>AVERAGE(VLOOKUP(Table7[[#This Row],[Student_ID]],student_skills[],3,0),VLOOKUP(Table7[[#This Row],[Student_ID]],student_skills[],4,0),VLOOKUP(Table7[[#This Row],[Student_ID]],student_skills[],5,0),VLOOKUP(Table7[[#This Row],[Student_ID]],student_skills[],6,0))</f>
        <v>6</v>
      </c>
      <c r="E795" s="1" t="str">
        <f>IF(VLOOKUP(Table7[[#This Row],[Student_ID]],student_internships[#All],2,0)&gt;1,"EXPERIENCED",IF(VLOOKUP(Table7[[#This Row],[Student_ID]],student_internships[#All],2,0)=1,"BEGINNER","NOT EXPERIENCED"))</f>
        <v>BEGINNER</v>
      </c>
      <c r="F795" s="1">
        <f>VLOOKUP(Table7[[#This Row],[Student_ID]],student_data[],5,0)</f>
        <v>8.39</v>
      </c>
      <c r="G795" s="1">
        <f>VLOOKUP(Table7[[#This Row],[Student_ID]],student_data[#All],6,0)</f>
        <v>5</v>
      </c>
      <c r="H795" s="1">
        <f>VLOOKUP(Table7[[#This Row],[Student_ID]],student_internships[],2,0)</f>
        <v>1</v>
      </c>
      <c r="I795" s="1">
        <f>VLOOKUP(Table7[[#This Row],[Student_ID]],Placements!A795:E1794,5,0)</f>
        <v>4.1900000000000004</v>
      </c>
      <c r="J795" s="1" t="str">
        <f>IF(VLOOKUP(Table7[[#This Row],[Student_ID]],student_data[#All],5,0)&gt;8,"HIGH",IF(VLOOKUP(Table7[[#This Row],[Student_ID]],student_data[#All],5,0)&lt;6.5,"LOW","MEDIUM"))</f>
        <v>HIGH</v>
      </c>
    </row>
    <row r="796" spans="1:10" x14ac:dyDescent="0.2">
      <c r="A796" s="1" t="s">
        <v>805</v>
      </c>
      <c r="B796" s="1" t="str">
        <f>VLOOKUP(Table7[[#This Row],[Student_ID]],student_data[#All],2,0)</f>
        <v>Civil</v>
      </c>
      <c r="C796" s="1">
        <f>(VLOOKUP(Table7[[#This Row],[Student_ID]],student_data[],5,0)*5)+(VLOOKUP(Table7[[#This Row],[Student_ID]],student_data[],6,0)*3)+(VLOOKUP(Table7[[#This Row],[Student_ID]],student_skills[],6,0)*2)+(VLOOKUP(Table7[[#This Row],[Student_ID]],student_internships[],2,0)*5)</f>
        <v>57.3</v>
      </c>
      <c r="D796" s="1">
        <f>AVERAGE(VLOOKUP(Table7[[#This Row],[Student_ID]],student_skills[],3,0),VLOOKUP(Table7[[#This Row],[Student_ID]],student_skills[],4,0),VLOOKUP(Table7[[#This Row],[Student_ID]],student_skills[],5,0),VLOOKUP(Table7[[#This Row],[Student_ID]],student_skills[],6,0))</f>
        <v>4.25</v>
      </c>
      <c r="E796" s="1" t="str">
        <f>IF(VLOOKUP(Table7[[#This Row],[Student_ID]],student_internships[#All],2,0)&gt;1,"EXPERIENCED",IF(VLOOKUP(Table7[[#This Row],[Student_ID]],student_internships[#All],2,0)=1,"BEGINNER","NOT EXPERIENCED"))</f>
        <v>BEGINNER</v>
      </c>
      <c r="F796" s="1">
        <f>VLOOKUP(Table7[[#This Row],[Student_ID]],student_data[],5,0)</f>
        <v>7.06</v>
      </c>
      <c r="G796" s="1">
        <f>VLOOKUP(Table7[[#This Row],[Student_ID]],student_data[#All],6,0)</f>
        <v>3</v>
      </c>
      <c r="H796" s="1">
        <f>VLOOKUP(Table7[[#This Row],[Student_ID]],student_internships[],2,0)</f>
        <v>1</v>
      </c>
      <c r="I796" s="1">
        <f>VLOOKUP(Table7[[#This Row],[Student_ID]],Placements!A796:E1795,5,0)</f>
        <v>4.1100000000000003</v>
      </c>
      <c r="J796" s="1" t="str">
        <f>IF(VLOOKUP(Table7[[#This Row],[Student_ID]],student_data[#All],5,0)&gt;8,"HIGH",IF(VLOOKUP(Table7[[#This Row],[Student_ID]],student_data[#All],5,0)&lt;6.5,"LOW","MEDIUM"))</f>
        <v>MEDIUM</v>
      </c>
    </row>
    <row r="797" spans="1:10" x14ac:dyDescent="0.2">
      <c r="A797" s="1" t="s">
        <v>806</v>
      </c>
      <c r="B797" s="1" t="str">
        <f>VLOOKUP(Table7[[#This Row],[Student_ID]],student_data[#All],2,0)</f>
        <v>Electronics</v>
      </c>
      <c r="C797" s="1">
        <f>(VLOOKUP(Table7[[#This Row],[Student_ID]],student_data[],5,0)*5)+(VLOOKUP(Table7[[#This Row],[Student_ID]],student_data[],6,0)*3)+(VLOOKUP(Table7[[#This Row],[Student_ID]],student_skills[],6,0)*2)+(VLOOKUP(Table7[[#This Row],[Student_ID]],student_internships[],2,0)*5)</f>
        <v>77.849999999999994</v>
      </c>
      <c r="D797" s="1">
        <f>AVERAGE(VLOOKUP(Table7[[#This Row],[Student_ID]],student_skills[],3,0),VLOOKUP(Table7[[#This Row],[Student_ID]],student_skills[],4,0),VLOOKUP(Table7[[#This Row],[Student_ID]],student_skills[],5,0),VLOOKUP(Table7[[#This Row],[Student_ID]],student_skills[],6,0))</f>
        <v>6.5</v>
      </c>
      <c r="E797" s="1" t="str">
        <f>IF(VLOOKUP(Table7[[#This Row],[Student_ID]],student_internships[#All],2,0)&gt;1,"EXPERIENCED",IF(VLOOKUP(Table7[[#This Row],[Student_ID]],student_internships[#All],2,0)=1,"BEGINNER","NOT EXPERIENCED"))</f>
        <v>BEGINNER</v>
      </c>
      <c r="F797" s="1">
        <f>VLOOKUP(Table7[[#This Row],[Student_ID]],student_data[],5,0)</f>
        <v>8.77</v>
      </c>
      <c r="G797" s="1">
        <f>VLOOKUP(Table7[[#This Row],[Student_ID]],student_data[#All],6,0)</f>
        <v>5</v>
      </c>
      <c r="H797" s="1">
        <f>VLOOKUP(Table7[[#This Row],[Student_ID]],student_internships[],2,0)</f>
        <v>1</v>
      </c>
      <c r="I797" s="1">
        <f>VLOOKUP(Table7[[#This Row],[Student_ID]],Placements!A797:E1796,5,0)</f>
        <v>4.53</v>
      </c>
      <c r="J797" s="1" t="str">
        <f>IF(VLOOKUP(Table7[[#This Row],[Student_ID]],student_data[#All],5,0)&gt;8,"HIGH",IF(VLOOKUP(Table7[[#This Row],[Student_ID]],student_data[#All],5,0)&lt;6.5,"LOW","MEDIUM"))</f>
        <v>HIGH</v>
      </c>
    </row>
    <row r="798" spans="1:10" x14ac:dyDescent="0.2">
      <c r="A798" s="1" t="s">
        <v>807</v>
      </c>
      <c r="B798" s="1" t="str">
        <f>VLOOKUP(Table7[[#This Row],[Student_ID]],student_data[#All],2,0)</f>
        <v>Civil</v>
      </c>
      <c r="C798" s="1">
        <f>(VLOOKUP(Table7[[#This Row],[Student_ID]],student_data[],5,0)*5)+(VLOOKUP(Table7[[#This Row],[Student_ID]],student_data[],6,0)*3)+(VLOOKUP(Table7[[#This Row],[Student_ID]],student_skills[],6,0)*2)+(VLOOKUP(Table7[[#This Row],[Student_ID]],student_internships[],2,0)*5)</f>
        <v>46.099999999999994</v>
      </c>
      <c r="D798" s="1">
        <f>AVERAGE(VLOOKUP(Table7[[#This Row],[Student_ID]],student_skills[],3,0),VLOOKUP(Table7[[#This Row],[Student_ID]],student_skills[],4,0),VLOOKUP(Table7[[#This Row],[Student_ID]],student_skills[],5,0),VLOOKUP(Table7[[#This Row],[Student_ID]],student_skills[],6,0))</f>
        <v>5.75</v>
      </c>
      <c r="E798" s="1" t="str">
        <f>IF(VLOOKUP(Table7[[#This Row],[Student_ID]],student_internships[#All],2,0)&gt;1,"EXPERIENCED",IF(VLOOKUP(Table7[[#This Row],[Student_ID]],student_internships[#All],2,0)=1,"BEGINNER","NOT EXPERIENCED"))</f>
        <v>NOT EXPERIENCED</v>
      </c>
      <c r="F798" s="1">
        <f>VLOOKUP(Table7[[#This Row],[Student_ID]],student_data[],5,0)</f>
        <v>6.02</v>
      </c>
      <c r="G798" s="1">
        <f>VLOOKUP(Table7[[#This Row],[Student_ID]],student_data[#All],6,0)</f>
        <v>4</v>
      </c>
      <c r="H798" s="1">
        <f>VLOOKUP(Table7[[#This Row],[Student_ID]],student_internships[],2,0)</f>
        <v>0</v>
      </c>
      <c r="I798" s="1">
        <f>VLOOKUP(Table7[[#This Row],[Student_ID]],Placements!A798:E1797,5,0)</f>
        <v>5.13</v>
      </c>
      <c r="J798" s="1" t="str">
        <f>IF(VLOOKUP(Table7[[#This Row],[Student_ID]],student_data[#All],5,0)&gt;8,"HIGH",IF(VLOOKUP(Table7[[#This Row],[Student_ID]],student_data[#All],5,0)&lt;6.5,"LOW","MEDIUM"))</f>
        <v>LOW</v>
      </c>
    </row>
    <row r="799" spans="1:10" x14ac:dyDescent="0.2">
      <c r="A799" s="1" t="s">
        <v>808</v>
      </c>
      <c r="B799" s="1" t="str">
        <f>VLOOKUP(Table7[[#This Row],[Student_ID]],student_data[#All],2,0)</f>
        <v>Electronics</v>
      </c>
      <c r="C799" s="1">
        <f>(VLOOKUP(Table7[[#This Row],[Student_ID]],student_data[],5,0)*5)+(VLOOKUP(Table7[[#This Row],[Student_ID]],student_data[],6,0)*3)+(VLOOKUP(Table7[[#This Row],[Student_ID]],student_skills[],6,0)*2)+(VLOOKUP(Table7[[#This Row],[Student_ID]],student_internships[],2,0)*5)</f>
        <v>65.199999999999989</v>
      </c>
      <c r="D799" s="1">
        <f>AVERAGE(VLOOKUP(Table7[[#This Row],[Student_ID]],student_skills[],3,0),VLOOKUP(Table7[[#This Row],[Student_ID]],student_skills[],4,0),VLOOKUP(Table7[[#This Row],[Student_ID]],student_skills[],5,0),VLOOKUP(Table7[[#This Row],[Student_ID]],student_skills[],6,0))</f>
        <v>7.5</v>
      </c>
      <c r="E799" s="1" t="str">
        <f>IF(VLOOKUP(Table7[[#This Row],[Student_ID]],student_internships[#All],2,0)&gt;1,"EXPERIENCED",IF(VLOOKUP(Table7[[#This Row],[Student_ID]],student_internships[#All],2,0)=1,"BEGINNER","NOT EXPERIENCED"))</f>
        <v>EXPERIENCED</v>
      </c>
      <c r="F799" s="1">
        <f>VLOOKUP(Table7[[#This Row],[Student_ID]],student_data[],5,0)</f>
        <v>6.64</v>
      </c>
      <c r="G799" s="1">
        <f>VLOOKUP(Table7[[#This Row],[Student_ID]],student_data[#All],6,0)</f>
        <v>2</v>
      </c>
      <c r="H799" s="1">
        <f>VLOOKUP(Table7[[#This Row],[Student_ID]],student_internships[],2,0)</f>
        <v>2</v>
      </c>
      <c r="I799" s="1">
        <f>VLOOKUP(Table7[[#This Row],[Student_ID]],Placements!A799:E1798,5,0)</f>
        <v>0</v>
      </c>
      <c r="J799" s="1" t="str">
        <f>IF(VLOOKUP(Table7[[#This Row],[Student_ID]],student_data[#All],5,0)&gt;8,"HIGH",IF(VLOOKUP(Table7[[#This Row],[Student_ID]],student_data[#All],5,0)&lt;6.5,"LOW","MEDIUM"))</f>
        <v>MEDIUM</v>
      </c>
    </row>
    <row r="800" spans="1:10" x14ac:dyDescent="0.2">
      <c r="A800" s="1" t="s">
        <v>809</v>
      </c>
      <c r="B800" s="1" t="str">
        <f>VLOOKUP(Table7[[#This Row],[Student_ID]],student_data[#All],2,0)</f>
        <v>Information Technology</v>
      </c>
      <c r="C800" s="1">
        <f>(VLOOKUP(Table7[[#This Row],[Student_ID]],student_data[],5,0)*5)+(VLOOKUP(Table7[[#This Row],[Student_ID]],student_data[],6,0)*3)+(VLOOKUP(Table7[[#This Row],[Student_ID]],student_skills[],6,0)*2)+(VLOOKUP(Table7[[#This Row],[Student_ID]],student_internships[],2,0)*5)</f>
        <v>68.650000000000006</v>
      </c>
      <c r="D800" s="1">
        <f>AVERAGE(VLOOKUP(Table7[[#This Row],[Student_ID]],student_skills[],3,0),VLOOKUP(Table7[[#This Row],[Student_ID]],student_skills[],4,0),VLOOKUP(Table7[[#This Row],[Student_ID]],student_skills[],5,0),VLOOKUP(Table7[[#This Row],[Student_ID]],student_skills[],6,0))</f>
        <v>5</v>
      </c>
      <c r="E800" s="1" t="str">
        <f>IF(VLOOKUP(Table7[[#This Row],[Student_ID]],student_internships[#All],2,0)&gt;1,"EXPERIENCED",IF(VLOOKUP(Table7[[#This Row],[Student_ID]],student_internships[#All],2,0)=1,"BEGINNER","NOT EXPERIENCED"))</f>
        <v>EXPERIENCED</v>
      </c>
      <c r="F800" s="1">
        <f>VLOOKUP(Table7[[#This Row],[Student_ID]],student_data[],5,0)</f>
        <v>7.73</v>
      </c>
      <c r="G800" s="1">
        <f>VLOOKUP(Table7[[#This Row],[Student_ID]],student_data[#All],6,0)</f>
        <v>1</v>
      </c>
      <c r="H800" s="1">
        <f>VLOOKUP(Table7[[#This Row],[Student_ID]],student_internships[],2,0)</f>
        <v>3</v>
      </c>
      <c r="I800" s="1">
        <f>VLOOKUP(Table7[[#This Row],[Student_ID]],Placements!A800:E1799,5,0)</f>
        <v>4.5</v>
      </c>
      <c r="J800" s="1" t="str">
        <f>IF(VLOOKUP(Table7[[#This Row],[Student_ID]],student_data[#All],5,0)&gt;8,"HIGH",IF(VLOOKUP(Table7[[#This Row],[Student_ID]],student_data[#All],5,0)&lt;6.5,"LOW","MEDIUM"))</f>
        <v>MEDIUM</v>
      </c>
    </row>
    <row r="801" spans="1:10" x14ac:dyDescent="0.2">
      <c r="A801" s="1" t="s">
        <v>810</v>
      </c>
      <c r="B801" s="1" t="str">
        <f>VLOOKUP(Table7[[#This Row],[Student_ID]],student_data[#All],2,0)</f>
        <v>Electronics</v>
      </c>
      <c r="C801" s="1">
        <f>(VLOOKUP(Table7[[#This Row],[Student_ID]],student_data[],5,0)*5)+(VLOOKUP(Table7[[#This Row],[Student_ID]],student_data[],6,0)*3)+(VLOOKUP(Table7[[#This Row],[Student_ID]],student_skills[],6,0)*2)+(VLOOKUP(Table7[[#This Row],[Student_ID]],student_internships[],2,0)*5)</f>
        <v>62.4</v>
      </c>
      <c r="D801" s="1">
        <f>AVERAGE(VLOOKUP(Table7[[#This Row],[Student_ID]],student_skills[],3,0),VLOOKUP(Table7[[#This Row],[Student_ID]],student_skills[],4,0),VLOOKUP(Table7[[#This Row],[Student_ID]],student_skills[],5,0),VLOOKUP(Table7[[#This Row],[Student_ID]],student_skills[],6,0))</f>
        <v>7</v>
      </c>
      <c r="E801" s="1" t="str">
        <f>IF(VLOOKUP(Table7[[#This Row],[Student_ID]],student_internships[#All],2,0)&gt;1,"EXPERIENCED",IF(VLOOKUP(Table7[[#This Row],[Student_ID]],student_internships[#All],2,0)=1,"BEGINNER","NOT EXPERIENCED"))</f>
        <v>BEGINNER</v>
      </c>
      <c r="F801" s="1">
        <f>VLOOKUP(Table7[[#This Row],[Student_ID]],student_data[],5,0)</f>
        <v>7.88</v>
      </c>
      <c r="G801" s="1">
        <f>VLOOKUP(Table7[[#This Row],[Student_ID]],student_data[#All],6,0)</f>
        <v>4</v>
      </c>
      <c r="H801" s="1">
        <f>VLOOKUP(Table7[[#This Row],[Student_ID]],student_internships[],2,0)</f>
        <v>1</v>
      </c>
      <c r="I801" s="1">
        <f>VLOOKUP(Table7[[#This Row],[Student_ID]],Placements!A801:E1800,5,0)</f>
        <v>4.3499999999999996</v>
      </c>
      <c r="J801" s="1" t="str">
        <f>IF(VLOOKUP(Table7[[#This Row],[Student_ID]],student_data[#All],5,0)&gt;8,"HIGH",IF(VLOOKUP(Table7[[#This Row],[Student_ID]],student_data[#All],5,0)&lt;6.5,"LOW","MEDIUM"))</f>
        <v>MEDIUM</v>
      </c>
    </row>
    <row r="802" spans="1:10" x14ac:dyDescent="0.2">
      <c r="A802" s="1" t="s">
        <v>811</v>
      </c>
      <c r="B802" s="1" t="str">
        <f>VLOOKUP(Table7[[#This Row],[Student_ID]],student_data[#All],2,0)</f>
        <v>Mechanical</v>
      </c>
      <c r="C802" s="1">
        <f>(VLOOKUP(Table7[[#This Row],[Student_ID]],student_data[],5,0)*5)+(VLOOKUP(Table7[[#This Row],[Student_ID]],student_data[],6,0)*3)+(VLOOKUP(Table7[[#This Row],[Student_ID]],student_skills[],6,0)*2)+(VLOOKUP(Table7[[#This Row],[Student_ID]],student_internships[],2,0)*5)</f>
        <v>54.55</v>
      </c>
      <c r="D802" s="1">
        <f>AVERAGE(VLOOKUP(Table7[[#This Row],[Student_ID]],student_skills[],3,0),VLOOKUP(Table7[[#This Row],[Student_ID]],student_skills[],4,0),VLOOKUP(Table7[[#This Row],[Student_ID]],student_skills[],5,0),VLOOKUP(Table7[[#This Row],[Student_ID]],student_skills[],6,0))</f>
        <v>8</v>
      </c>
      <c r="E802" s="1" t="str">
        <f>IF(VLOOKUP(Table7[[#This Row],[Student_ID]],student_internships[#All],2,0)&gt;1,"EXPERIENCED",IF(VLOOKUP(Table7[[#This Row],[Student_ID]],student_internships[#All],2,0)=1,"BEGINNER","NOT EXPERIENCED"))</f>
        <v>BEGINNER</v>
      </c>
      <c r="F802" s="1">
        <f>VLOOKUP(Table7[[#This Row],[Student_ID]],student_data[],5,0)</f>
        <v>5.1100000000000003</v>
      </c>
      <c r="G802" s="1">
        <f>VLOOKUP(Table7[[#This Row],[Student_ID]],student_data[#All],6,0)</f>
        <v>2</v>
      </c>
      <c r="H802" s="1">
        <f>VLOOKUP(Table7[[#This Row],[Student_ID]],student_internships[],2,0)</f>
        <v>1</v>
      </c>
      <c r="I802" s="1">
        <f>VLOOKUP(Table7[[#This Row],[Student_ID]],Placements!A802:E1801,5,0)</f>
        <v>4.1900000000000004</v>
      </c>
      <c r="J802" s="1" t="str">
        <f>IF(VLOOKUP(Table7[[#This Row],[Student_ID]],student_data[#All],5,0)&gt;8,"HIGH",IF(VLOOKUP(Table7[[#This Row],[Student_ID]],student_data[#All],5,0)&lt;6.5,"LOW","MEDIUM"))</f>
        <v>LOW</v>
      </c>
    </row>
    <row r="803" spans="1:10" x14ac:dyDescent="0.2">
      <c r="A803" s="1" t="s">
        <v>812</v>
      </c>
      <c r="B803" s="1" t="str">
        <f>VLOOKUP(Table7[[#This Row],[Student_ID]],student_data[#All],2,0)</f>
        <v>Mechanical</v>
      </c>
      <c r="C803" s="1">
        <f>(VLOOKUP(Table7[[#This Row],[Student_ID]],student_data[],5,0)*5)+(VLOOKUP(Table7[[#This Row],[Student_ID]],student_data[],6,0)*3)+(VLOOKUP(Table7[[#This Row],[Student_ID]],student_skills[],6,0)*2)+(VLOOKUP(Table7[[#This Row],[Student_ID]],student_internships[],2,0)*5)</f>
        <v>88.65</v>
      </c>
      <c r="D803" s="1">
        <f>AVERAGE(VLOOKUP(Table7[[#This Row],[Student_ID]],student_skills[],3,0),VLOOKUP(Table7[[#This Row],[Student_ID]],student_skills[],4,0),VLOOKUP(Table7[[#This Row],[Student_ID]],student_skills[],5,0),VLOOKUP(Table7[[#This Row],[Student_ID]],student_skills[],6,0))</f>
        <v>6.25</v>
      </c>
      <c r="E803" s="1" t="str">
        <f>IF(VLOOKUP(Table7[[#This Row],[Student_ID]],student_internships[#All],2,0)&gt;1,"EXPERIENCED",IF(VLOOKUP(Table7[[#This Row],[Student_ID]],student_internships[#All],2,0)=1,"BEGINNER","NOT EXPERIENCED"))</f>
        <v>EXPERIENCED</v>
      </c>
      <c r="F803" s="1">
        <f>VLOOKUP(Table7[[#This Row],[Student_ID]],student_data[],5,0)</f>
        <v>9.73</v>
      </c>
      <c r="G803" s="1">
        <f>VLOOKUP(Table7[[#This Row],[Student_ID]],student_data[#All],6,0)</f>
        <v>5</v>
      </c>
      <c r="H803" s="1">
        <f>VLOOKUP(Table7[[#This Row],[Student_ID]],student_internships[],2,0)</f>
        <v>3</v>
      </c>
      <c r="I803" s="1">
        <f>VLOOKUP(Table7[[#This Row],[Student_ID]],Placements!A803:E1802,5,0)</f>
        <v>5.13</v>
      </c>
      <c r="J803" s="1" t="str">
        <f>IF(VLOOKUP(Table7[[#This Row],[Student_ID]],student_data[#All],5,0)&gt;8,"HIGH",IF(VLOOKUP(Table7[[#This Row],[Student_ID]],student_data[#All],5,0)&lt;6.5,"LOW","MEDIUM"))</f>
        <v>HIGH</v>
      </c>
    </row>
    <row r="804" spans="1:10" x14ac:dyDescent="0.2">
      <c r="A804" s="1" t="s">
        <v>813</v>
      </c>
      <c r="B804" s="1" t="str">
        <f>VLOOKUP(Table7[[#This Row],[Student_ID]],student_data[#All],2,0)</f>
        <v>Mechanical</v>
      </c>
      <c r="C804" s="1">
        <f>(VLOOKUP(Table7[[#This Row],[Student_ID]],student_data[],5,0)*5)+(VLOOKUP(Table7[[#This Row],[Student_ID]],student_data[],6,0)*3)+(VLOOKUP(Table7[[#This Row],[Student_ID]],student_skills[],6,0)*2)+(VLOOKUP(Table7[[#This Row],[Student_ID]],student_internships[],2,0)*5)</f>
        <v>83.4</v>
      </c>
      <c r="D804" s="1">
        <f>AVERAGE(VLOOKUP(Table7[[#This Row],[Student_ID]],student_skills[],3,0),VLOOKUP(Table7[[#This Row],[Student_ID]],student_skills[],4,0),VLOOKUP(Table7[[#This Row],[Student_ID]],student_skills[],5,0),VLOOKUP(Table7[[#This Row],[Student_ID]],student_skills[],6,0))</f>
        <v>3.5</v>
      </c>
      <c r="E804" s="1" t="str">
        <f>IF(VLOOKUP(Table7[[#This Row],[Student_ID]],student_internships[#All],2,0)&gt;1,"EXPERIENCED",IF(VLOOKUP(Table7[[#This Row],[Student_ID]],student_internships[#All],2,0)=1,"BEGINNER","NOT EXPERIENCED"))</f>
        <v>EXPERIENCED</v>
      </c>
      <c r="F804" s="1">
        <f>VLOOKUP(Table7[[#This Row],[Student_ID]],student_data[],5,0)</f>
        <v>8.48</v>
      </c>
      <c r="G804" s="1">
        <f>VLOOKUP(Table7[[#This Row],[Student_ID]],student_data[#All],6,0)</f>
        <v>5</v>
      </c>
      <c r="H804" s="1">
        <f>VLOOKUP(Table7[[#This Row],[Student_ID]],student_internships[],2,0)</f>
        <v>2</v>
      </c>
      <c r="I804" s="1">
        <f>VLOOKUP(Table7[[#This Row],[Student_ID]],Placements!A804:E1803,5,0)</f>
        <v>4.12</v>
      </c>
      <c r="J804" s="1" t="str">
        <f>IF(VLOOKUP(Table7[[#This Row],[Student_ID]],student_data[#All],5,0)&gt;8,"HIGH",IF(VLOOKUP(Table7[[#This Row],[Student_ID]],student_data[#All],5,0)&lt;6.5,"LOW","MEDIUM"))</f>
        <v>HIGH</v>
      </c>
    </row>
    <row r="805" spans="1:10" x14ac:dyDescent="0.2">
      <c r="A805" s="1" t="s">
        <v>814</v>
      </c>
      <c r="B805" s="1" t="str">
        <f>VLOOKUP(Table7[[#This Row],[Student_ID]],student_data[#All],2,0)</f>
        <v>Mechanical</v>
      </c>
      <c r="C805" s="1">
        <f>(VLOOKUP(Table7[[#This Row],[Student_ID]],student_data[],5,0)*5)+(VLOOKUP(Table7[[#This Row],[Student_ID]],student_data[],6,0)*3)+(VLOOKUP(Table7[[#This Row],[Student_ID]],student_skills[],6,0)*2)+(VLOOKUP(Table7[[#This Row],[Student_ID]],student_internships[],2,0)*5)</f>
        <v>63.400000000000006</v>
      </c>
      <c r="D805" s="1">
        <f>AVERAGE(VLOOKUP(Table7[[#This Row],[Student_ID]],student_skills[],3,0),VLOOKUP(Table7[[#This Row],[Student_ID]],student_skills[],4,0),VLOOKUP(Table7[[#This Row],[Student_ID]],student_skills[],5,0),VLOOKUP(Table7[[#This Row],[Student_ID]],student_skills[],6,0))</f>
        <v>6</v>
      </c>
      <c r="E805" s="1" t="str">
        <f>IF(VLOOKUP(Table7[[#This Row],[Student_ID]],student_internships[#All],2,0)&gt;1,"EXPERIENCED",IF(VLOOKUP(Table7[[#This Row],[Student_ID]],student_internships[#All],2,0)=1,"BEGINNER","NOT EXPERIENCED"))</f>
        <v>NOT EXPERIENCED</v>
      </c>
      <c r="F805" s="1">
        <f>VLOOKUP(Table7[[#This Row],[Student_ID]],student_data[],5,0)</f>
        <v>7.48</v>
      </c>
      <c r="G805" s="1">
        <f>VLOOKUP(Table7[[#This Row],[Student_ID]],student_data[#All],6,0)</f>
        <v>4</v>
      </c>
      <c r="H805" s="1">
        <f>VLOOKUP(Table7[[#This Row],[Student_ID]],student_internships[],2,0)</f>
        <v>0</v>
      </c>
      <c r="I805" s="1">
        <f>VLOOKUP(Table7[[#This Row],[Student_ID]],Placements!A805:E1804,5,0)</f>
        <v>4.5599999999999996</v>
      </c>
      <c r="J805" s="1" t="str">
        <f>IF(VLOOKUP(Table7[[#This Row],[Student_ID]],student_data[#All],5,0)&gt;8,"HIGH",IF(VLOOKUP(Table7[[#This Row],[Student_ID]],student_data[#All],5,0)&lt;6.5,"LOW","MEDIUM"))</f>
        <v>MEDIUM</v>
      </c>
    </row>
    <row r="806" spans="1:10" x14ac:dyDescent="0.2">
      <c r="A806" s="1" t="s">
        <v>815</v>
      </c>
      <c r="B806" s="1" t="str">
        <f>VLOOKUP(Table7[[#This Row],[Student_ID]],student_data[#All],2,0)</f>
        <v>Civil</v>
      </c>
      <c r="C806" s="1">
        <f>(VLOOKUP(Table7[[#This Row],[Student_ID]],student_data[],5,0)*5)+(VLOOKUP(Table7[[#This Row],[Student_ID]],student_data[],6,0)*3)+(VLOOKUP(Table7[[#This Row],[Student_ID]],student_skills[],6,0)*2)+(VLOOKUP(Table7[[#This Row],[Student_ID]],student_internships[],2,0)*5)</f>
        <v>78.349999999999994</v>
      </c>
      <c r="D806" s="1">
        <f>AVERAGE(VLOOKUP(Table7[[#This Row],[Student_ID]],student_skills[],3,0),VLOOKUP(Table7[[#This Row],[Student_ID]],student_skills[],4,0),VLOOKUP(Table7[[#This Row],[Student_ID]],student_skills[],5,0),VLOOKUP(Table7[[#This Row],[Student_ID]],student_skills[],6,0))</f>
        <v>7.5</v>
      </c>
      <c r="E806" s="1" t="str">
        <f>IF(VLOOKUP(Table7[[#This Row],[Student_ID]],student_internships[#All],2,0)&gt;1,"EXPERIENCED",IF(VLOOKUP(Table7[[#This Row],[Student_ID]],student_internships[#All],2,0)=1,"BEGINNER","NOT EXPERIENCED"))</f>
        <v>BEGINNER</v>
      </c>
      <c r="F806" s="1">
        <f>VLOOKUP(Table7[[#This Row],[Student_ID]],student_data[],5,0)</f>
        <v>9.67</v>
      </c>
      <c r="G806" s="1">
        <f>VLOOKUP(Table7[[#This Row],[Student_ID]],student_data[#All],6,0)</f>
        <v>3</v>
      </c>
      <c r="H806" s="1">
        <f>VLOOKUP(Table7[[#This Row],[Student_ID]],student_internships[],2,0)</f>
        <v>1</v>
      </c>
      <c r="I806" s="1">
        <f>VLOOKUP(Table7[[#This Row],[Student_ID]],Placements!A806:E1805,5,0)</f>
        <v>0</v>
      </c>
      <c r="J806" s="1" t="str">
        <f>IF(VLOOKUP(Table7[[#This Row],[Student_ID]],student_data[#All],5,0)&gt;8,"HIGH",IF(VLOOKUP(Table7[[#This Row],[Student_ID]],student_data[#All],5,0)&lt;6.5,"LOW","MEDIUM"))</f>
        <v>HIGH</v>
      </c>
    </row>
    <row r="807" spans="1:10" x14ac:dyDescent="0.2">
      <c r="A807" s="1" t="s">
        <v>816</v>
      </c>
      <c r="B807" s="1" t="str">
        <f>VLOOKUP(Table7[[#This Row],[Student_ID]],student_data[#All],2,0)</f>
        <v>Information Technology</v>
      </c>
      <c r="C807" s="1">
        <f>(VLOOKUP(Table7[[#This Row],[Student_ID]],student_data[],5,0)*5)+(VLOOKUP(Table7[[#This Row],[Student_ID]],student_data[],6,0)*3)+(VLOOKUP(Table7[[#This Row],[Student_ID]],student_skills[],6,0)*2)+(VLOOKUP(Table7[[#This Row],[Student_ID]],student_internships[],2,0)*5)</f>
        <v>70</v>
      </c>
      <c r="D807" s="1">
        <f>AVERAGE(VLOOKUP(Table7[[#This Row],[Student_ID]],student_skills[],3,0),VLOOKUP(Table7[[#This Row],[Student_ID]],student_skills[],4,0),VLOOKUP(Table7[[#This Row],[Student_ID]],student_skills[],5,0),VLOOKUP(Table7[[#This Row],[Student_ID]],student_skills[],6,0))</f>
        <v>6</v>
      </c>
      <c r="E807" s="1" t="str">
        <f>IF(VLOOKUP(Table7[[#This Row],[Student_ID]],student_internships[#All],2,0)&gt;1,"EXPERIENCED",IF(VLOOKUP(Table7[[#This Row],[Student_ID]],student_internships[#All],2,0)=1,"BEGINNER","NOT EXPERIENCED"))</f>
        <v>BEGINNER</v>
      </c>
      <c r="F807" s="1">
        <f>VLOOKUP(Table7[[#This Row],[Student_ID]],student_data[],5,0)</f>
        <v>7.2</v>
      </c>
      <c r="G807" s="1">
        <f>VLOOKUP(Table7[[#This Row],[Student_ID]],student_data[#All],6,0)</f>
        <v>5</v>
      </c>
      <c r="H807" s="1">
        <f>VLOOKUP(Table7[[#This Row],[Student_ID]],student_internships[],2,0)</f>
        <v>1</v>
      </c>
      <c r="I807" s="1">
        <f>VLOOKUP(Table7[[#This Row],[Student_ID]],Placements!A807:E1806,5,0)</f>
        <v>5.13</v>
      </c>
      <c r="J807" s="1" t="str">
        <f>IF(VLOOKUP(Table7[[#This Row],[Student_ID]],student_data[#All],5,0)&gt;8,"HIGH",IF(VLOOKUP(Table7[[#This Row],[Student_ID]],student_data[#All],5,0)&lt;6.5,"LOW","MEDIUM"))</f>
        <v>MEDIUM</v>
      </c>
    </row>
    <row r="808" spans="1:10" x14ac:dyDescent="0.2">
      <c r="A808" s="1" t="s">
        <v>817</v>
      </c>
      <c r="B808" s="1" t="str">
        <f>VLOOKUP(Table7[[#This Row],[Student_ID]],student_data[#All],2,0)</f>
        <v>Electronics</v>
      </c>
      <c r="C808" s="1">
        <f>(VLOOKUP(Table7[[#This Row],[Student_ID]],student_data[],5,0)*5)+(VLOOKUP(Table7[[#This Row],[Student_ID]],student_data[],6,0)*3)+(VLOOKUP(Table7[[#This Row],[Student_ID]],student_skills[],6,0)*2)+(VLOOKUP(Table7[[#This Row],[Student_ID]],student_internships[],2,0)*5)</f>
        <v>69.5</v>
      </c>
      <c r="D808" s="1">
        <f>AVERAGE(VLOOKUP(Table7[[#This Row],[Student_ID]],student_skills[],3,0),VLOOKUP(Table7[[#This Row],[Student_ID]],student_skills[],4,0),VLOOKUP(Table7[[#This Row],[Student_ID]],student_skills[],5,0),VLOOKUP(Table7[[#This Row],[Student_ID]],student_skills[],6,0))</f>
        <v>7</v>
      </c>
      <c r="E808" s="1" t="str">
        <f>IF(VLOOKUP(Table7[[#This Row],[Student_ID]],student_internships[#All],2,0)&gt;1,"EXPERIENCED",IF(VLOOKUP(Table7[[#This Row],[Student_ID]],student_internships[#All],2,0)=1,"BEGINNER","NOT EXPERIENCED"))</f>
        <v>BEGINNER</v>
      </c>
      <c r="F808" s="1">
        <f>VLOOKUP(Table7[[#This Row],[Student_ID]],student_data[],5,0)</f>
        <v>9.9</v>
      </c>
      <c r="G808" s="1">
        <f>VLOOKUP(Table7[[#This Row],[Student_ID]],student_data[#All],6,0)</f>
        <v>3</v>
      </c>
      <c r="H808" s="1">
        <f>VLOOKUP(Table7[[#This Row],[Student_ID]],student_internships[],2,0)</f>
        <v>1</v>
      </c>
      <c r="I808" s="1">
        <f>VLOOKUP(Table7[[#This Row],[Student_ID]],Placements!A808:E1807,5,0)</f>
        <v>5.19</v>
      </c>
      <c r="J808" s="1" t="str">
        <f>IF(VLOOKUP(Table7[[#This Row],[Student_ID]],student_data[#All],5,0)&gt;8,"HIGH",IF(VLOOKUP(Table7[[#This Row],[Student_ID]],student_data[#All],5,0)&lt;6.5,"LOW","MEDIUM"))</f>
        <v>HIGH</v>
      </c>
    </row>
    <row r="809" spans="1:10" x14ac:dyDescent="0.2">
      <c r="A809" s="1" t="s">
        <v>818</v>
      </c>
      <c r="B809" s="1" t="str">
        <f>VLOOKUP(Table7[[#This Row],[Student_ID]],student_data[#All],2,0)</f>
        <v>Electronics</v>
      </c>
      <c r="C809" s="1">
        <f>(VLOOKUP(Table7[[#This Row],[Student_ID]],student_data[],5,0)*5)+(VLOOKUP(Table7[[#This Row],[Student_ID]],student_data[],6,0)*3)+(VLOOKUP(Table7[[#This Row],[Student_ID]],student_skills[],6,0)*2)+(VLOOKUP(Table7[[#This Row],[Student_ID]],student_internships[],2,0)*5)</f>
        <v>60.8</v>
      </c>
      <c r="D809" s="1">
        <f>AVERAGE(VLOOKUP(Table7[[#This Row],[Student_ID]],student_skills[],3,0),VLOOKUP(Table7[[#This Row],[Student_ID]],student_skills[],4,0),VLOOKUP(Table7[[#This Row],[Student_ID]],student_skills[],5,0),VLOOKUP(Table7[[#This Row],[Student_ID]],student_skills[],6,0))</f>
        <v>2.75</v>
      </c>
      <c r="E809" s="1" t="str">
        <f>IF(VLOOKUP(Table7[[#This Row],[Student_ID]],student_internships[#All],2,0)&gt;1,"EXPERIENCED",IF(VLOOKUP(Table7[[#This Row],[Student_ID]],student_internships[#All],2,0)=1,"BEGINNER","NOT EXPERIENCED"))</f>
        <v>EXPERIENCED</v>
      </c>
      <c r="F809" s="1">
        <f>VLOOKUP(Table7[[#This Row],[Student_ID]],student_data[],5,0)</f>
        <v>7.56</v>
      </c>
      <c r="G809" s="1">
        <f>VLOOKUP(Table7[[#This Row],[Student_ID]],student_data[#All],6,0)</f>
        <v>3</v>
      </c>
      <c r="H809" s="1">
        <f>VLOOKUP(Table7[[#This Row],[Student_ID]],student_internships[],2,0)</f>
        <v>2</v>
      </c>
      <c r="I809" s="1">
        <f>VLOOKUP(Table7[[#This Row],[Student_ID]],Placements!A809:E1808,5,0)</f>
        <v>4.5</v>
      </c>
      <c r="J809" s="1" t="str">
        <f>IF(VLOOKUP(Table7[[#This Row],[Student_ID]],student_data[#All],5,0)&gt;8,"HIGH",IF(VLOOKUP(Table7[[#This Row],[Student_ID]],student_data[#All],5,0)&lt;6.5,"LOW","MEDIUM"))</f>
        <v>MEDIUM</v>
      </c>
    </row>
    <row r="810" spans="1:10" x14ac:dyDescent="0.2">
      <c r="A810" s="1" t="s">
        <v>819</v>
      </c>
      <c r="B810" s="1" t="str">
        <f>VLOOKUP(Table7[[#This Row],[Student_ID]],student_data[#All],2,0)</f>
        <v>Mechanical</v>
      </c>
      <c r="C810" s="1">
        <f>(VLOOKUP(Table7[[#This Row],[Student_ID]],student_data[],5,0)*5)+(VLOOKUP(Table7[[#This Row],[Student_ID]],student_data[],6,0)*3)+(VLOOKUP(Table7[[#This Row],[Student_ID]],student_skills[],6,0)*2)+(VLOOKUP(Table7[[#This Row],[Student_ID]],student_internships[],2,0)*5)</f>
        <v>65.849999999999994</v>
      </c>
      <c r="D810" s="1">
        <f>AVERAGE(VLOOKUP(Table7[[#This Row],[Student_ID]],student_skills[],3,0),VLOOKUP(Table7[[#This Row],[Student_ID]],student_skills[],4,0),VLOOKUP(Table7[[#This Row],[Student_ID]],student_skills[],5,0),VLOOKUP(Table7[[#This Row],[Student_ID]],student_skills[],6,0))</f>
        <v>5</v>
      </c>
      <c r="E810" s="1" t="str">
        <f>IF(VLOOKUP(Table7[[#This Row],[Student_ID]],student_internships[#All],2,0)&gt;1,"EXPERIENCED",IF(VLOOKUP(Table7[[#This Row],[Student_ID]],student_internships[#All],2,0)=1,"BEGINNER","NOT EXPERIENCED"))</f>
        <v>EXPERIENCED</v>
      </c>
      <c r="F810" s="1">
        <f>VLOOKUP(Table7[[#This Row],[Student_ID]],student_data[],5,0)</f>
        <v>5.57</v>
      </c>
      <c r="G810" s="1">
        <f>VLOOKUP(Table7[[#This Row],[Student_ID]],student_data[#All],6,0)</f>
        <v>3</v>
      </c>
      <c r="H810" s="1">
        <f>VLOOKUP(Table7[[#This Row],[Student_ID]],student_internships[],2,0)</f>
        <v>3</v>
      </c>
      <c r="I810" s="1">
        <f>VLOOKUP(Table7[[#This Row],[Student_ID]],Placements!A810:E1809,5,0)</f>
        <v>4.1900000000000004</v>
      </c>
      <c r="J810" s="1" t="str">
        <f>IF(VLOOKUP(Table7[[#This Row],[Student_ID]],student_data[#All],5,0)&gt;8,"HIGH",IF(VLOOKUP(Table7[[#This Row],[Student_ID]],student_data[#All],5,0)&lt;6.5,"LOW","MEDIUM"))</f>
        <v>LOW</v>
      </c>
    </row>
    <row r="811" spans="1:10" x14ac:dyDescent="0.2">
      <c r="A811" s="1" t="s">
        <v>820</v>
      </c>
      <c r="B811" s="1" t="str">
        <f>VLOOKUP(Table7[[#This Row],[Student_ID]],student_data[#All],2,0)</f>
        <v>Mechanical</v>
      </c>
      <c r="C811" s="1">
        <f>(VLOOKUP(Table7[[#This Row],[Student_ID]],student_data[],5,0)*5)+(VLOOKUP(Table7[[#This Row],[Student_ID]],student_data[],6,0)*3)+(VLOOKUP(Table7[[#This Row],[Student_ID]],student_skills[],6,0)*2)+(VLOOKUP(Table7[[#This Row],[Student_ID]],student_internships[],2,0)*5)</f>
        <v>65.099999999999994</v>
      </c>
      <c r="D811" s="1">
        <f>AVERAGE(VLOOKUP(Table7[[#This Row],[Student_ID]],student_skills[],3,0),VLOOKUP(Table7[[#This Row],[Student_ID]],student_skills[],4,0),VLOOKUP(Table7[[#This Row],[Student_ID]],student_skills[],5,0),VLOOKUP(Table7[[#This Row],[Student_ID]],student_skills[],6,0))</f>
        <v>7.75</v>
      </c>
      <c r="E811" s="1" t="str">
        <f>IF(VLOOKUP(Table7[[#This Row],[Student_ID]],student_internships[#All],2,0)&gt;1,"EXPERIENCED",IF(VLOOKUP(Table7[[#This Row],[Student_ID]],student_internships[#All],2,0)=1,"BEGINNER","NOT EXPERIENCED"))</f>
        <v>EXPERIENCED</v>
      </c>
      <c r="F811" s="1">
        <f>VLOOKUP(Table7[[#This Row],[Student_ID]],student_data[],5,0)</f>
        <v>8.82</v>
      </c>
      <c r="G811" s="1">
        <f>VLOOKUP(Table7[[#This Row],[Student_ID]],student_data[#All],6,0)</f>
        <v>0</v>
      </c>
      <c r="H811" s="1">
        <f>VLOOKUP(Table7[[#This Row],[Student_ID]],student_internships[],2,0)</f>
        <v>3</v>
      </c>
      <c r="I811" s="1">
        <f>VLOOKUP(Table7[[#This Row],[Student_ID]],Placements!A811:E1810,5,0)</f>
        <v>4.1100000000000003</v>
      </c>
      <c r="J811" s="1" t="str">
        <f>IF(VLOOKUP(Table7[[#This Row],[Student_ID]],student_data[#All],5,0)&gt;8,"HIGH",IF(VLOOKUP(Table7[[#This Row],[Student_ID]],student_data[#All],5,0)&lt;6.5,"LOW","MEDIUM"))</f>
        <v>HIGH</v>
      </c>
    </row>
    <row r="812" spans="1:10" x14ac:dyDescent="0.2">
      <c r="A812" s="1" t="s">
        <v>821</v>
      </c>
      <c r="B812" s="1" t="str">
        <f>VLOOKUP(Table7[[#This Row],[Student_ID]],student_data[#All],2,0)</f>
        <v>Computer Science</v>
      </c>
      <c r="C812" s="1">
        <f>(VLOOKUP(Table7[[#This Row],[Student_ID]],student_data[],5,0)*5)+(VLOOKUP(Table7[[#This Row],[Student_ID]],student_data[],6,0)*3)+(VLOOKUP(Table7[[#This Row],[Student_ID]],student_skills[],6,0)*2)+(VLOOKUP(Table7[[#This Row],[Student_ID]],student_internships[],2,0)*5)</f>
        <v>58.95</v>
      </c>
      <c r="D812" s="1">
        <f>AVERAGE(VLOOKUP(Table7[[#This Row],[Student_ID]],student_skills[],3,0),VLOOKUP(Table7[[#This Row],[Student_ID]],student_skills[],4,0),VLOOKUP(Table7[[#This Row],[Student_ID]],student_skills[],5,0),VLOOKUP(Table7[[#This Row],[Student_ID]],student_skills[],6,0))</f>
        <v>5.25</v>
      </c>
      <c r="E812" s="1" t="str">
        <f>IF(VLOOKUP(Table7[[#This Row],[Student_ID]],student_internships[#All],2,0)&gt;1,"EXPERIENCED",IF(VLOOKUP(Table7[[#This Row],[Student_ID]],student_internships[#All],2,0)=1,"BEGINNER","NOT EXPERIENCED"))</f>
        <v>BEGINNER</v>
      </c>
      <c r="F812" s="1">
        <f>VLOOKUP(Table7[[#This Row],[Student_ID]],student_data[],5,0)</f>
        <v>8.39</v>
      </c>
      <c r="G812" s="1">
        <f>VLOOKUP(Table7[[#This Row],[Student_ID]],student_data[#All],6,0)</f>
        <v>2</v>
      </c>
      <c r="H812" s="1">
        <f>VLOOKUP(Table7[[#This Row],[Student_ID]],student_internships[],2,0)</f>
        <v>1</v>
      </c>
      <c r="I812" s="1">
        <f>VLOOKUP(Table7[[#This Row],[Student_ID]],Placements!A812:E1811,5,0)</f>
        <v>0</v>
      </c>
      <c r="J812" s="1" t="str">
        <f>IF(VLOOKUP(Table7[[#This Row],[Student_ID]],student_data[#All],5,0)&gt;8,"HIGH",IF(VLOOKUP(Table7[[#This Row],[Student_ID]],student_data[#All],5,0)&lt;6.5,"LOW","MEDIUM"))</f>
        <v>HIGH</v>
      </c>
    </row>
    <row r="813" spans="1:10" x14ac:dyDescent="0.2">
      <c r="A813" s="1" t="s">
        <v>822</v>
      </c>
      <c r="B813" s="1" t="str">
        <f>VLOOKUP(Table7[[#This Row],[Student_ID]],student_data[#All],2,0)</f>
        <v>Information Technology</v>
      </c>
      <c r="C813" s="1">
        <f>(VLOOKUP(Table7[[#This Row],[Student_ID]],student_data[],5,0)*5)+(VLOOKUP(Table7[[#This Row],[Student_ID]],student_data[],6,0)*3)+(VLOOKUP(Table7[[#This Row],[Student_ID]],student_skills[],6,0)*2)+(VLOOKUP(Table7[[#This Row],[Student_ID]],student_internships[],2,0)*5)</f>
        <v>54.3</v>
      </c>
      <c r="D813" s="1">
        <f>AVERAGE(VLOOKUP(Table7[[#This Row],[Student_ID]],student_skills[],3,0),VLOOKUP(Table7[[#This Row],[Student_ID]],student_skills[],4,0),VLOOKUP(Table7[[#This Row],[Student_ID]],student_skills[],5,0),VLOOKUP(Table7[[#This Row],[Student_ID]],student_skills[],6,0))</f>
        <v>7.25</v>
      </c>
      <c r="E813" s="1" t="str">
        <f>IF(VLOOKUP(Table7[[#This Row],[Student_ID]],student_internships[#All],2,0)&gt;1,"EXPERIENCED",IF(VLOOKUP(Table7[[#This Row],[Student_ID]],student_internships[#All],2,0)=1,"BEGINNER","NOT EXPERIENCED"))</f>
        <v>NOT EXPERIENCED</v>
      </c>
      <c r="F813" s="1">
        <f>VLOOKUP(Table7[[#This Row],[Student_ID]],student_data[],5,0)</f>
        <v>8.86</v>
      </c>
      <c r="G813" s="1">
        <f>VLOOKUP(Table7[[#This Row],[Student_ID]],student_data[#All],6,0)</f>
        <v>2</v>
      </c>
      <c r="H813" s="1">
        <f>VLOOKUP(Table7[[#This Row],[Student_ID]],student_internships[],2,0)</f>
        <v>0</v>
      </c>
      <c r="I813" s="1">
        <f>VLOOKUP(Table7[[#This Row],[Student_ID]],Placements!A813:E1812,5,0)</f>
        <v>4.5599999999999996</v>
      </c>
      <c r="J813" s="1" t="str">
        <f>IF(VLOOKUP(Table7[[#This Row],[Student_ID]],student_data[#All],5,0)&gt;8,"HIGH",IF(VLOOKUP(Table7[[#This Row],[Student_ID]],student_data[#All],5,0)&lt;6.5,"LOW","MEDIUM"))</f>
        <v>HIGH</v>
      </c>
    </row>
    <row r="814" spans="1:10" x14ac:dyDescent="0.2">
      <c r="A814" s="1" t="s">
        <v>823</v>
      </c>
      <c r="B814" s="1" t="str">
        <f>VLOOKUP(Table7[[#This Row],[Student_ID]],student_data[#All],2,0)</f>
        <v>Civil</v>
      </c>
      <c r="C814" s="1">
        <f>(VLOOKUP(Table7[[#This Row],[Student_ID]],student_data[],5,0)*5)+(VLOOKUP(Table7[[#This Row],[Student_ID]],student_data[],6,0)*3)+(VLOOKUP(Table7[[#This Row],[Student_ID]],student_skills[],6,0)*2)+(VLOOKUP(Table7[[#This Row],[Student_ID]],student_internships[],2,0)*5)</f>
        <v>86.8</v>
      </c>
      <c r="D814" s="1">
        <f>AVERAGE(VLOOKUP(Table7[[#This Row],[Student_ID]],student_skills[],3,0),VLOOKUP(Table7[[#This Row],[Student_ID]],student_skills[],4,0),VLOOKUP(Table7[[#This Row],[Student_ID]],student_skills[],5,0),VLOOKUP(Table7[[#This Row],[Student_ID]],student_skills[],6,0))</f>
        <v>3</v>
      </c>
      <c r="E814" s="1" t="str">
        <f>IF(VLOOKUP(Table7[[#This Row],[Student_ID]],student_internships[#All],2,0)&gt;1,"EXPERIENCED",IF(VLOOKUP(Table7[[#This Row],[Student_ID]],student_internships[#All],2,0)=1,"BEGINNER","NOT EXPERIENCED"))</f>
        <v>EXPERIENCED</v>
      </c>
      <c r="F814" s="1">
        <f>VLOOKUP(Table7[[#This Row],[Student_ID]],student_data[],5,0)</f>
        <v>9.76</v>
      </c>
      <c r="G814" s="1">
        <f>VLOOKUP(Table7[[#This Row],[Student_ID]],student_data[#All],6,0)</f>
        <v>5</v>
      </c>
      <c r="H814" s="1">
        <f>VLOOKUP(Table7[[#This Row],[Student_ID]],student_internships[],2,0)</f>
        <v>3</v>
      </c>
      <c r="I814" s="1">
        <f>VLOOKUP(Table7[[#This Row],[Student_ID]],Placements!A814:E1813,5,0)</f>
        <v>5.13</v>
      </c>
      <c r="J814" s="1" t="str">
        <f>IF(VLOOKUP(Table7[[#This Row],[Student_ID]],student_data[#All],5,0)&gt;8,"HIGH",IF(VLOOKUP(Table7[[#This Row],[Student_ID]],student_data[#All],5,0)&lt;6.5,"LOW","MEDIUM"))</f>
        <v>HIGH</v>
      </c>
    </row>
    <row r="815" spans="1:10" x14ac:dyDescent="0.2">
      <c r="A815" s="1" t="s">
        <v>824</v>
      </c>
      <c r="B815" s="1" t="str">
        <f>VLOOKUP(Table7[[#This Row],[Student_ID]],student_data[#All],2,0)</f>
        <v>Electronics</v>
      </c>
      <c r="C815" s="1">
        <f>(VLOOKUP(Table7[[#This Row],[Student_ID]],student_data[],5,0)*5)+(VLOOKUP(Table7[[#This Row],[Student_ID]],student_data[],6,0)*3)+(VLOOKUP(Table7[[#This Row],[Student_ID]],student_skills[],6,0)*2)+(VLOOKUP(Table7[[#This Row],[Student_ID]],student_internships[],2,0)*5)</f>
        <v>85.4</v>
      </c>
      <c r="D815" s="1">
        <f>AVERAGE(VLOOKUP(Table7[[#This Row],[Student_ID]],student_skills[],3,0),VLOOKUP(Table7[[#This Row],[Student_ID]],student_skills[],4,0),VLOOKUP(Table7[[#This Row],[Student_ID]],student_skills[],5,0),VLOOKUP(Table7[[#This Row],[Student_ID]],student_skills[],6,0))</f>
        <v>6.5</v>
      </c>
      <c r="E815" s="1" t="str">
        <f>IF(VLOOKUP(Table7[[#This Row],[Student_ID]],student_internships[#All],2,0)&gt;1,"EXPERIENCED",IF(VLOOKUP(Table7[[#This Row],[Student_ID]],student_internships[#All],2,0)=1,"BEGINNER","NOT EXPERIENCED"))</f>
        <v>EXPERIENCED</v>
      </c>
      <c r="F815" s="1">
        <f>VLOOKUP(Table7[[#This Row],[Student_ID]],student_data[],5,0)</f>
        <v>8.8800000000000008</v>
      </c>
      <c r="G815" s="1">
        <f>VLOOKUP(Table7[[#This Row],[Student_ID]],student_data[#All],6,0)</f>
        <v>5</v>
      </c>
      <c r="H815" s="1">
        <f>VLOOKUP(Table7[[#This Row],[Student_ID]],student_internships[],2,0)</f>
        <v>2</v>
      </c>
      <c r="I815" s="1">
        <f>VLOOKUP(Table7[[#This Row],[Student_ID]],Placements!A815:E1814,5,0)</f>
        <v>0</v>
      </c>
      <c r="J815" s="1" t="str">
        <f>IF(VLOOKUP(Table7[[#This Row],[Student_ID]],student_data[#All],5,0)&gt;8,"HIGH",IF(VLOOKUP(Table7[[#This Row],[Student_ID]],student_data[#All],5,0)&lt;6.5,"LOW","MEDIUM"))</f>
        <v>HIGH</v>
      </c>
    </row>
    <row r="816" spans="1:10" x14ac:dyDescent="0.2">
      <c r="A816" s="1" t="s">
        <v>825</v>
      </c>
      <c r="B816" s="1" t="str">
        <f>VLOOKUP(Table7[[#This Row],[Student_ID]],student_data[#All],2,0)</f>
        <v>Computer Science</v>
      </c>
      <c r="C816" s="1">
        <f>(VLOOKUP(Table7[[#This Row],[Student_ID]],student_data[],5,0)*5)+(VLOOKUP(Table7[[#This Row],[Student_ID]],student_data[],6,0)*3)+(VLOOKUP(Table7[[#This Row],[Student_ID]],student_skills[],6,0)*2)+(VLOOKUP(Table7[[#This Row],[Student_ID]],student_internships[],2,0)*5)</f>
        <v>51.300000000000004</v>
      </c>
      <c r="D816" s="1">
        <f>AVERAGE(VLOOKUP(Table7[[#This Row],[Student_ID]],student_skills[],3,0),VLOOKUP(Table7[[#This Row],[Student_ID]],student_skills[],4,0),VLOOKUP(Table7[[#This Row],[Student_ID]],student_skills[],5,0),VLOOKUP(Table7[[#This Row],[Student_ID]],student_skills[],6,0))</f>
        <v>3</v>
      </c>
      <c r="E816" s="1" t="str">
        <f>IF(VLOOKUP(Table7[[#This Row],[Student_ID]],student_internships[#All],2,0)&gt;1,"EXPERIENCED",IF(VLOOKUP(Table7[[#This Row],[Student_ID]],student_internships[#All],2,0)=1,"BEGINNER","NOT EXPERIENCED"))</f>
        <v>NOT EXPERIENCED</v>
      </c>
      <c r="F816" s="1">
        <f>VLOOKUP(Table7[[#This Row],[Student_ID]],student_data[],5,0)</f>
        <v>8.06</v>
      </c>
      <c r="G816" s="1">
        <f>VLOOKUP(Table7[[#This Row],[Student_ID]],student_data[#All],6,0)</f>
        <v>3</v>
      </c>
      <c r="H816" s="1">
        <f>VLOOKUP(Table7[[#This Row],[Student_ID]],student_internships[],2,0)</f>
        <v>0</v>
      </c>
      <c r="I816" s="1">
        <f>VLOOKUP(Table7[[#This Row],[Student_ID]],Placements!A816:E1815,5,0)</f>
        <v>4.12</v>
      </c>
      <c r="J816" s="1" t="str">
        <f>IF(VLOOKUP(Table7[[#This Row],[Student_ID]],student_data[#All],5,0)&gt;8,"HIGH",IF(VLOOKUP(Table7[[#This Row],[Student_ID]],student_data[#All],5,0)&lt;6.5,"LOW","MEDIUM"))</f>
        <v>HIGH</v>
      </c>
    </row>
    <row r="817" spans="1:10" x14ac:dyDescent="0.2">
      <c r="A817" s="1" t="s">
        <v>826</v>
      </c>
      <c r="B817" s="1" t="str">
        <f>VLOOKUP(Table7[[#This Row],[Student_ID]],student_data[#All],2,0)</f>
        <v>Computer Science</v>
      </c>
      <c r="C817" s="1">
        <f>(VLOOKUP(Table7[[#This Row],[Student_ID]],student_data[],5,0)*5)+(VLOOKUP(Table7[[#This Row],[Student_ID]],student_data[],6,0)*3)+(VLOOKUP(Table7[[#This Row],[Student_ID]],student_skills[],6,0)*2)+(VLOOKUP(Table7[[#This Row],[Student_ID]],student_internships[],2,0)*5)</f>
        <v>63.449999999999996</v>
      </c>
      <c r="D817" s="1">
        <f>AVERAGE(VLOOKUP(Table7[[#This Row],[Student_ID]],student_skills[],3,0),VLOOKUP(Table7[[#This Row],[Student_ID]],student_skills[],4,0),VLOOKUP(Table7[[#This Row],[Student_ID]],student_skills[],5,0),VLOOKUP(Table7[[#This Row],[Student_ID]],student_skills[],6,0))</f>
        <v>4.5</v>
      </c>
      <c r="E817" s="1" t="str">
        <f>IF(VLOOKUP(Table7[[#This Row],[Student_ID]],student_internships[#All],2,0)&gt;1,"EXPERIENCED",IF(VLOOKUP(Table7[[#This Row],[Student_ID]],student_internships[#All],2,0)=1,"BEGINNER","NOT EXPERIENCED"))</f>
        <v>EXPERIENCED</v>
      </c>
      <c r="F817" s="1">
        <f>VLOOKUP(Table7[[#This Row],[Student_ID]],student_data[],5,0)</f>
        <v>9.2899999999999991</v>
      </c>
      <c r="G817" s="1">
        <f>VLOOKUP(Table7[[#This Row],[Student_ID]],student_data[#All],6,0)</f>
        <v>0</v>
      </c>
      <c r="H817" s="1">
        <f>VLOOKUP(Table7[[#This Row],[Student_ID]],student_internships[],2,0)</f>
        <v>3</v>
      </c>
      <c r="I817" s="1">
        <f>VLOOKUP(Table7[[#This Row],[Student_ID]],Placements!A817:E1816,5,0)</f>
        <v>4.3499999999999996</v>
      </c>
      <c r="J817" s="1" t="str">
        <f>IF(VLOOKUP(Table7[[#This Row],[Student_ID]],student_data[#All],5,0)&gt;8,"HIGH",IF(VLOOKUP(Table7[[#This Row],[Student_ID]],student_data[#All],5,0)&lt;6.5,"LOW","MEDIUM"))</f>
        <v>HIGH</v>
      </c>
    </row>
    <row r="818" spans="1:10" x14ac:dyDescent="0.2">
      <c r="A818" s="1" t="s">
        <v>827</v>
      </c>
      <c r="B818" s="1" t="str">
        <f>VLOOKUP(Table7[[#This Row],[Student_ID]],student_data[#All],2,0)</f>
        <v>Electronics</v>
      </c>
      <c r="C818" s="1">
        <f>(VLOOKUP(Table7[[#This Row],[Student_ID]],student_data[],5,0)*5)+(VLOOKUP(Table7[[#This Row],[Student_ID]],student_data[],6,0)*3)+(VLOOKUP(Table7[[#This Row],[Student_ID]],student_skills[],6,0)*2)+(VLOOKUP(Table7[[#This Row],[Student_ID]],student_internships[],2,0)*5)</f>
        <v>70.849999999999994</v>
      </c>
      <c r="D818" s="1">
        <f>AVERAGE(VLOOKUP(Table7[[#This Row],[Student_ID]],student_skills[],3,0),VLOOKUP(Table7[[#This Row],[Student_ID]],student_skills[],4,0),VLOOKUP(Table7[[#This Row],[Student_ID]],student_skills[],5,0),VLOOKUP(Table7[[#This Row],[Student_ID]],student_skills[],6,0))</f>
        <v>6</v>
      </c>
      <c r="E818" s="1" t="str">
        <f>IF(VLOOKUP(Table7[[#This Row],[Student_ID]],student_internships[#All],2,0)&gt;1,"EXPERIENCED",IF(VLOOKUP(Table7[[#This Row],[Student_ID]],student_internships[#All],2,0)=1,"BEGINNER","NOT EXPERIENCED"))</f>
        <v>EXPERIENCED</v>
      </c>
      <c r="F818" s="1">
        <f>VLOOKUP(Table7[[#This Row],[Student_ID]],student_data[],5,0)</f>
        <v>8.3699999999999992</v>
      </c>
      <c r="G818" s="1">
        <f>VLOOKUP(Table7[[#This Row],[Student_ID]],student_data[#All],6,0)</f>
        <v>3</v>
      </c>
      <c r="H818" s="1">
        <f>VLOOKUP(Table7[[#This Row],[Student_ID]],student_internships[],2,0)</f>
        <v>2</v>
      </c>
      <c r="I818" s="1">
        <f>VLOOKUP(Table7[[#This Row],[Student_ID]],Placements!A818:E1817,5,0)</f>
        <v>4.5</v>
      </c>
      <c r="J818" s="1" t="str">
        <f>IF(VLOOKUP(Table7[[#This Row],[Student_ID]],student_data[#All],5,0)&gt;8,"HIGH",IF(VLOOKUP(Table7[[#This Row],[Student_ID]],student_data[#All],5,0)&lt;6.5,"LOW","MEDIUM"))</f>
        <v>HIGH</v>
      </c>
    </row>
    <row r="819" spans="1:10" x14ac:dyDescent="0.2">
      <c r="A819" s="1" t="s">
        <v>828</v>
      </c>
      <c r="B819" s="1" t="str">
        <f>VLOOKUP(Table7[[#This Row],[Student_ID]],student_data[#All],2,0)</f>
        <v>Civil</v>
      </c>
      <c r="C819" s="1">
        <f>(VLOOKUP(Table7[[#This Row],[Student_ID]],student_data[],5,0)*5)+(VLOOKUP(Table7[[#This Row],[Student_ID]],student_data[],6,0)*3)+(VLOOKUP(Table7[[#This Row],[Student_ID]],student_skills[],6,0)*2)+(VLOOKUP(Table7[[#This Row],[Student_ID]],student_internships[],2,0)*5)</f>
        <v>50.2</v>
      </c>
      <c r="D819" s="1">
        <f>AVERAGE(VLOOKUP(Table7[[#This Row],[Student_ID]],student_skills[],3,0),VLOOKUP(Table7[[#This Row],[Student_ID]],student_skills[],4,0),VLOOKUP(Table7[[#This Row],[Student_ID]],student_skills[],5,0),VLOOKUP(Table7[[#This Row],[Student_ID]],student_skills[],6,0))</f>
        <v>4.25</v>
      </c>
      <c r="E819" s="1" t="str">
        <f>IF(VLOOKUP(Table7[[#This Row],[Student_ID]],student_internships[#All],2,0)&gt;1,"EXPERIENCED",IF(VLOOKUP(Table7[[#This Row],[Student_ID]],student_internships[#All],2,0)=1,"BEGINNER","NOT EXPERIENCED"))</f>
        <v>BEGINNER</v>
      </c>
      <c r="F819" s="1">
        <f>VLOOKUP(Table7[[#This Row],[Student_ID]],student_data[],5,0)</f>
        <v>7.04</v>
      </c>
      <c r="G819" s="1">
        <f>VLOOKUP(Table7[[#This Row],[Student_ID]],student_data[#All],6,0)</f>
        <v>0</v>
      </c>
      <c r="H819" s="1">
        <f>VLOOKUP(Table7[[#This Row],[Student_ID]],student_internships[],2,0)</f>
        <v>1</v>
      </c>
      <c r="I819" s="1">
        <f>VLOOKUP(Table7[[#This Row],[Student_ID]],Placements!A819:E1818,5,0)</f>
        <v>4.1900000000000004</v>
      </c>
      <c r="J819" s="1" t="str">
        <f>IF(VLOOKUP(Table7[[#This Row],[Student_ID]],student_data[#All],5,0)&gt;8,"HIGH",IF(VLOOKUP(Table7[[#This Row],[Student_ID]],student_data[#All],5,0)&lt;6.5,"LOW","MEDIUM"))</f>
        <v>MEDIUM</v>
      </c>
    </row>
    <row r="820" spans="1:10" x14ac:dyDescent="0.2">
      <c r="A820" s="1" t="s">
        <v>829</v>
      </c>
      <c r="B820" s="1" t="str">
        <f>VLOOKUP(Table7[[#This Row],[Student_ID]],student_data[#All],2,0)</f>
        <v>Computer Science</v>
      </c>
      <c r="C820" s="1">
        <f>(VLOOKUP(Table7[[#This Row],[Student_ID]],student_data[],5,0)*5)+(VLOOKUP(Table7[[#This Row],[Student_ID]],student_data[],6,0)*3)+(VLOOKUP(Table7[[#This Row],[Student_ID]],student_skills[],6,0)*2)+(VLOOKUP(Table7[[#This Row],[Student_ID]],student_internships[],2,0)*5)</f>
        <v>63.15</v>
      </c>
      <c r="D820" s="1">
        <f>AVERAGE(VLOOKUP(Table7[[#This Row],[Student_ID]],student_skills[],3,0),VLOOKUP(Table7[[#This Row],[Student_ID]],student_skills[],4,0),VLOOKUP(Table7[[#This Row],[Student_ID]],student_skills[],5,0),VLOOKUP(Table7[[#This Row],[Student_ID]],student_skills[],6,0))</f>
        <v>5.5</v>
      </c>
      <c r="E820" s="1" t="str">
        <f>IF(VLOOKUP(Table7[[#This Row],[Student_ID]],student_internships[#All],2,0)&gt;1,"EXPERIENCED",IF(VLOOKUP(Table7[[#This Row],[Student_ID]],student_internships[#All],2,0)=1,"BEGINNER","NOT EXPERIENCED"))</f>
        <v>BEGINNER</v>
      </c>
      <c r="F820" s="1">
        <f>VLOOKUP(Table7[[#This Row],[Student_ID]],student_data[],5,0)</f>
        <v>9.43</v>
      </c>
      <c r="G820" s="1">
        <f>VLOOKUP(Table7[[#This Row],[Student_ID]],student_data[#All],6,0)</f>
        <v>3</v>
      </c>
      <c r="H820" s="1">
        <f>VLOOKUP(Table7[[#This Row],[Student_ID]],student_internships[],2,0)</f>
        <v>1</v>
      </c>
      <c r="I820" s="1">
        <f>VLOOKUP(Table7[[#This Row],[Student_ID]],Placements!A820:E1819,5,0)</f>
        <v>4.1100000000000003</v>
      </c>
      <c r="J820" s="1" t="str">
        <f>IF(VLOOKUP(Table7[[#This Row],[Student_ID]],student_data[#All],5,0)&gt;8,"HIGH",IF(VLOOKUP(Table7[[#This Row],[Student_ID]],student_data[#All],5,0)&lt;6.5,"LOW","MEDIUM"))</f>
        <v>HIGH</v>
      </c>
    </row>
    <row r="821" spans="1:10" x14ac:dyDescent="0.2">
      <c r="A821" s="1" t="s">
        <v>830</v>
      </c>
      <c r="B821" s="1" t="str">
        <f>VLOOKUP(Table7[[#This Row],[Student_ID]],student_data[#All],2,0)</f>
        <v>Computer Science</v>
      </c>
      <c r="C821" s="1">
        <f>(VLOOKUP(Table7[[#This Row],[Student_ID]],student_data[],5,0)*5)+(VLOOKUP(Table7[[#This Row],[Student_ID]],student_data[],6,0)*3)+(VLOOKUP(Table7[[#This Row],[Student_ID]],student_skills[],6,0)*2)+(VLOOKUP(Table7[[#This Row],[Student_ID]],student_internships[],2,0)*5)</f>
        <v>50.55</v>
      </c>
      <c r="D821" s="1">
        <f>AVERAGE(VLOOKUP(Table7[[#This Row],[Student_ID]],student_skills[],3,0),VLOOKUP(Table7[[#This Row],[Student_ID]],student_skills[],4,0),VLOOKUP(Table7[[#This Row],[Student_ID]],student_skills[],5,0),VLOOKUP(Table7[[#This Row],[Student_ID]],student_skills[],6,0))</f>
        <v>5.25</v>
      </c>
      <c r="E821" s="1" t="str">
        <f>IF(VLOOKUP(Table7[[#This Row],[Student_ID]],student_internships[#All],2,0)&gt;1,"EXPERIENCED",IF(VLOOKUP(Table7[[#This Row],[Student_ID]],student_internships[#All],2,0)=1,"BEGINNER","NOT EXPERIENCED"))</f>
        <v>BEGINNER</v>
      </c>
      <c r="F821" s="1">
        <f>VLOOKUP(Table7[[#This Row],[Student_ID]],student_data[],5,0)</f>
        <v>6.11</v>
      </c>
      <c r="G821" s="1">
        <f>VLOOKUP(Table7[[#This Row],[Student_ID]],student_data[#All],6,0)</f>
        <v>1</v>
      </c>
      <c r="H821" s="1">
        <f>VLOOKUP(Table7[[#This Row],[Student_ID]],student_internships[],2,0)</f>
        <v>1</v>
      </c>
      <c r="I821" s="1">
        <f>VLOOKUP(Table7[[#This Row],[Student_ID]],Placements!A821:E1820,5,0)</f>
        <v>4.53</v>
      </c>
      <c r="J821" s="1" t="str">
        <f>IF(VLOOKUP(Table7[[#This Row],[Student_ID]],student_data[#All],5,0)&gt;8,"HIGH",IF(VLOOKUP(Table7[[#This Row],[Student_ID]],student_data[#All],5,0)&lt;6.5,"LOW","MEDIUM"))</f>
        <v>LOW</v>
      </c>
    </row>
    <row r="822" spans="1:10" x14ac:dyDescent="0.2">
      <c r="A822" s="1" t="s">
        <v>831</v>
      </c>
      <c r="B822" s="1" t="str">
        <f>VLOOKUP(Table7[[#This Row],[Student_ID]],student_data[#All],2,0)</f>
        <v>Information Technology</v>
      </c>
      <c r="C822" s="1">
        <f>(VLOOKUP(Table7[[#This Row],[Student_ID]],student_data[],5,0)*5)+(VLOOKUP(Table7[[#This Row],[Student_ID]],student_data[],6,0)*3)+(VLOOKUP(Table7[[#This Row],[Student_ID]],student_skills[],6,0)*2)+(VLOOKUP(Table7[[#This Row],[Student_ID]],student_internships[],2,0)*5)</f>
        <v>47.85</v>
      </c>
      <c r="D822" s="1">
        <f>AVERAGE(VLOOKUP(Table7[[#This Row],[Student_ID]],student_skills[],3,0),VLOOKUP(Table7[[#This Row],[Student_ID]],student_skills[],4,0),VLOOKUP(Table7[[#This Row],[Student_ID]],student_skills[],5,0),VLOOKUP(Table7[[#This Row],[Student_ID]],student_skills[],6,0))</f>
        <v>3.25</v>
      </c>
      <c r="E822" s="1" t="str">
        <f>IF(VLOOKUP(Table7[[#This Row],[Student_ID]],student_internships[#All],2,0)&gt;1,"EXPERIENCED",IF(VLOOKUP(Table7[[#This Row],[Student_ID]],student_internships[#All],2,0)=1,"BEGINNER","NOT EXPERIENCED"))</f>
        <v>NOT EXPERIENCED</v>
      </c>
      <c r="F822" s="1">
        <f>VLOOKUP(Table7[[#This Row],[Student_ID]],student_data[],5,0)</f>
        <v>8.57</v>
      </c>
      <c r="G822" s="1">
        <f>VLOOKUP(Table7[[#This Row],[Student_ID]],student_data[#All],6,0)</f>
        <v>1</v>
      </c>
      <c r="H822" s="1">
        <f>VLOOKUP(Table7[[#This Row],[Student_ID]],student_internships[],2,0)</f>
        <v>0</v>
      </c>
      <c r="I822" s="1">
        <f>VLOOKUP(Table7[[#This Row],[Student_ID]],Placements!A822:E1821,5,0)</f>
        <v>5.13</v>
      </c>
      <c r="J822" s="1" t="str">
        <f>IF(VLOOKUP(Table7[[#This Row],[Student_ID]],student_data[#All],5,0)&gt;8,"HIGH",IF(VLOOKUP(Table7[[#This Row],[Student_ID]],student_data[#All],5,0)&lt;6.5,"LOW","MEDIUM"))</f>
        <v>HIGH</v>
      </c>
    </row>
    <row r="823" spans="1:10" x14ac:dyDescent="0.2">
      <c r="A823" s="1" t="s">
        <v>832</v>
      </c>
      <c r="B823" s="1" t="str">
        <f>VLOOKUP(Table7[[#This Row],[Student_ID]],student_data[#All],2,0)</f>
        <v>Civil</v>
      </c>
      <c r="C823" s="1">
        <f>(VLOOKUP(Table7[[#This Row],[Student_ID]],student_data[],5,0)*5)+(VLOOKUP(Table7[[#This Row],[Student_ID]],student_data[],6,0)*3)+(VLOOKUP(Table7[[#This Row],[Student_ID]],student_skills[],6,0)*2)+(VLOOKUP(Table7[[#This Row],[Student_ID]],student_internships[],2,0)*5)</f>
        <v>74.05</v>
      </c>
      <c r="D823" s="1">
        <f>AVERAGE(VLOOKUP(Table7[[#This Row],[Student_ID]],student_skills[],3,0),VLOOKUP(Table7[[#This Row],[Student_ID]],student_skills[],4,0),VLOOKUP(Table7[[#This Row],[Student_ID]],student_skills[],5,0),VLOOKUP(Table7[[#This Row],[Student_ID]],student_skills[],6,0))</f>
        <v>2.5</v>
      </c>
      <c r="E823" s="1" t="str">
        <f>IF(VLOOKUP(Table7[[#This Row],[Student_ID]],student_internships[#All],2,0)&gt;1,"EXPERIENCED",IF(VLOOKUP(Table7[[#This Row],[Student_ID]],student_internships[#All],2,0)=1,"BEGINNER","NOT EXPERIENCED"))</f>
        <v>BEGINNER</v>
      </c>
      <c r="F823" s="1">
        <f>VLOOKUP(Table7[[#This Row],[Student_ID]],student_data[],5,0)</f>
        <v>9.41</v>
      </c>
      <c r="G823" s="1">
        <f>VLOOKUP(Table7[[#This Row],[Student_ID]],student_data[#All],6,0)</f>
        <v>4</v>
      </c>
      <c r="H823" s="1">
        <f>VLOOKUP(Table7[[#This Row],[Student_ID]],student_internships[],2,0)</f>
        <v>1</v>
      </c>
      <c r="I823" s="1">
        <f>VLOOKUP(Table7[[#This Row],[Student_ID]],Placements!A823:E1822,5,0)</f>
        <v>0</v>
      </c>
      <c r="J823" s="1" t="str">
        <f>IF(VLOOKUP(Table7[[#This Row],[Student_ID]],student_data[#All],5,0)&gt;8,"HIGH",IF(VLOOKUP(Table7[[#This Row],[Student_ID]],student_data[#All],5,0)&lt;6.5,"LOW","MEDIUM"))</f>
        <v>HIGH</v>
      </c>
    </row>
    <row r="824" spans="1:10" x14ac:dyDescent="0.2">
      <c r="A824" s="1" t="s">
        <v>833</v>
      </c>
      <c r="B824" s="1" t="str">
        <f>VLOOKUP(Table7[[#This Row],[Student_ID]],student_data[#All],2,0)</f>
        <v>Computer Science</v>
      </c>
      <c r="C824" s="1">
        <f>(VLOOKUP(Table7[[#This Row],[Student_ID]],student_data[],5,0)*5)+(VLOOKUP(Table7[[#This Row],[Student_ID]],student_data[],6,0)*3)+(VLOOKUP(Table7[[#This Row],[Student_ID]],student_skills[],6,0)*2)+(VLOOKUP(Table7[[#This Row],[Student_ID]],student_internships[],2,0)*5)</f>
        <v>80.3</v>
      </c>
      <c r="D824" s="1">
        <f>AVERAGE(VLOOKUP(Table7[[#This Row],[Student_ID]],student_skills[],3,0),VLOOKUP(Table7[[#This Row],[Student_ID]],student_skills[],4,0),VLOOKUP(Table7[[#This Row],[Student_ID]],student_skills[],5,0),VLOOKUP(Table7[[#This Row],[Student_ID]],student_skills[],6,0))</f>
        <v>8.5</v>
      </c>
      <c r="E824" s="1" t="str">
        <f>IF(VLOOKUP(Table7[[#This Row],[Student_ID]],student_internships[#All],2,0)&gt;1,"EXPERIENCED",IF(VLOOKUP(Table7[[#This Row],[Student_ID]],student_internships[#All],2,0)=1,"BEGINNER","NOT EXPERIENCED"))</f>
        <v>EXPERIENCED</v>
      </c>
      <c r="F824" s="1">
        <f>VLOOKUP(Table7[[#This Row],[Student_ID]],student_data[],5,0)</f>
        <v>8.66</v>
      </c>
      <c r="G824" s="1">
        <f>VLOOKUP(Table7[[#This Row],[Student_ID]],student_data[#All],6,0)</f>
        <v>3</v>
      </c>
      <c r="H824" s="1">
        <f>VLOOKUP(Table7[[#This Row],[Student_ID]],student_internships[],2,0)</f>
        <v>2</v>
      </c>
      <c r="I824" s="1">
        <f>VLOOKUP(Table7[[#This Row],[Student_ID]],Placements!A824:E1823,5,0)</f>
        <v>4.5</v>
      </c>
      <c r="J824" s="1" t="str">
        <f>IF(VLOOKUP(Table7[[#This Row],[Student_ID]],student_data[#All],5,0)&gt;8,"HIGH",IF(VLOOKUP(Table7[[#This Row],[Student_ID]],student_data[#All],5,0)&lt;6.5,"LOW","MEDIUM"))</f>
        <v>HIGH</v>
      </c>
    </row>
    <row r="825" spans="1:10" x14ac:dyDescent="0.2">
      <c r="A825" s="1" t="s">
        <v>834</v>
      </c>
      <c r="B825" s="1" t="str">
        <f>VLOOKUP(Table7[[#This Row],[Student_ID]],student_data[#All],2,0)</f>
        <v>Civil</v>
      </c>
      <c r="C825" s="1">
        <f>(VLOOKUP(Table7[[#This Row],[Student_ID]],student_data[],5,0)*5)+(VLOOKUP(Table7[[#This Row],[Student_ID]],student_data[],6,0)*3)+(VLOOKUP(Table7[[#This Row],[Student_ID]],student_skills[],6,0)*2)+(VLOOKUP(Table7[[#This Row],[Student_ID]],student_internships[],2,0)*5)</f>
        <v>67.45</v>
      </c>
      <c r="D825" s="1">
        <f>AVERAGE(VLOOKUP(Table7[[#This Row],[Student_ID]],student_skills[],3,0),VLOOKUP(Table7[[#This Row],[Student_ID]],student_skills[],4,0),VLOOKUP(Table7[[#This Row],[Student_ID]],student_skills[],5,0),VLOOKUP(Table7[[#This Row],[Student_ID]],student_skills[],6,0))</f>
        <v>6.25</v>
      </c>
      <c r="E825" s="1" t="str">
        <f>IF(VLOOKUP(Table7[[#This Row],[Student_ID]],student_internships[#All],2,0)&gt;1,"EXPERIENCED",IF(VLOOKUP(Table7[[#This Row],[Student_ID]],student_internships[#All],2,0)=1,"BEGINNER","NOT EXPERIENCED"))</f>
        <v>NOT EXPERIENCED</v>
      </c>
      <c r="F825" s="1">
        <f>VLOOKUP(Table7[[#This Row],[Student_ID]],student_data[],5,0)</f>
        <v>8.49</v>
      </c>
      <c r="G825" s="1">
        <f>VLOOKUP(Table7[[#This Row],[Student_ID]],student_data[#All],6,0)</f>
        <v>5</v>
      </c>
      <c r="H825" s="1">
        <f>VLOOKUP(Table7[[#This Row],[Student_ID]],student_internships[],2,0)</f>
        <v>0</v>
      </c>
      <c r="I825" s="1">
        <f>VLOOKUP(Table7[[#This Row],[Student_ID]],Placements!A825:E1824,5,0)</f>
        <v>4.3499999999999996</v>
      </c>
      <c r="J825" s="1" t="str">
        <f>IF(VLOOKUP(Table7[[#This Row],[Student_ID]],student_data[#All],5,0)&gt;8,"HIGH",IF(VLOOKUP(Table7[[#This Row],[Student_ID]],student_data[#All],5,0)&lt;6.5,"LOW","MEDIUM"))</f>
        <v>HIGH</v>
      </c>
    </row>
    <row r="826" spans="1:10" x14ac:dyDescent="0.2">
      <c r="A826" s="1" t="s">
        <v>835</v>
      </c>
      <c r="B826" s="1" t="str">
        <f>VLOOKUP(Table7[[#This Row],[Student_ID]],student_data[#All],2,0)</f>
        <v>Electronics</v>
      </c>
      <c r="C826" s="1">
        <f>(VLOOKUP(Table7[[#This Row],[Student_ID]],student_data[],5,0)*5)+(VLOOKUP(Table7[[#This Row],[Student_ID]],student_data[],6,0)*3)+(VLOOKUP(Table7[[#This Row],[Student_ID]],student_skills[],6,0)*2)+(VLOOKUP(Table7[[#This Row],[Student_ID]],student_internships[],2,0)*5)</f>
        <v>66.8</v>
      </c>
      <c r="D826" s="1">
        <f>AVERAGE(VLOOKUP(Table7[[#This Row],[Student_ID]],student_skills[],3,0),VLOOKUP(Table7[[#This Row],[Student_ID]],student_skills[],4,0),VLOOKUP(Table7[[#This Row],[Student_ID]],student_skills[],5,0),VLOOKUP(Table7[[#This Row],[Student_ID]],student_skills[],6,0))</f>
        <v>7.5</v>
      </c>
      <c r="E826" s="1" t="str">
        <f>IF(VLOOKUP(Table7[[#This Row],[Student_ID]],student_internships[#All],2,0)&gt;1,"EXPERIENCED",IF(VLOOKUP(Table7[[#This Row],[Student_ID]],student_internships[#All],2,0)=1,"BEGINNER","NOT EXPERIENCED"))</f>
        <v>BEGINNER</v>
      </c>
      <c r="F826" s="1">
        <f>VLOOKUP(Table7[[#This Row],[Student_ID]],student_data[],5,0)</f>
        <v>8.76</v>
      </c>
      <c r="G826" s="1">
        <f>VLOOKUP(Table7[[#This Row],[Student_ID]],student_data[#All],6,0)</f>
        <v>2</v>
      </c>
      <c r="H826" s="1">
        <f>VLOOKUP(Table7[[#This Row],[Student_ID]],student_internships[],2,0)</f>
        <v>1</v>
      </c>
      <c r="I826" s="1">
        <f>VLOOKUP(Table7[[#This Row],[Student_ID]],Placements!A826:E1825,5,0)</f>
        <v>4.1900000000000004</v>
      </c>
      <c r="J826" s="1" t="str">
        <f>IF(VLOOKUP(Table7[[#This Row],[Student_ID]],student_data[#All],5,0)&gt;8,"HIGH",IF(VLOOKUP(Table7[[#This Row],[Student_ID]],student_data[#All],5,0)&lt;6.5,"LOW","MEDIUM"))</f>
        <v>HIGH</v>
      </c>
    </row>
    <row r="827" spans="1:10" x14ac:dyDescent="0.2">
      <c r="A827" s="1" t="s">
        <v>836</v>
      </c>
      <c r="B827" s="1" t="str">
        <f>VLOOKUP(Table7[[#This Row],[Student_ID]],student_data[#All],2,0)</f>
        <v>Mechanical</v>
      </c>
      <c r="C827" s="1">
        <f>(VLOOKUP(Table7[[#This Row],[Student_ID]],student_data[],5,0)*5)+(VLOOKUP(Table7[[#This Row],[Student_ID]],student_data[],6,0)*3)+(VLOOKUP(Table7[[#This Row],[Student_ID]],student_skills[],6,0)*2)+(VLOOKUP(Table7[[#This Row],[Student_ID]],student_internships[],2,0)*5)</f>
        <v>69.650000000000006</v>
      </c>
      <c r="D827" s="1">
        <f>AVERAGE(VLOOKUP(Table7[[#This Row],[Student_ID]],student_skills[],3,0),VLOOKUP(Table7[[#This Row],[Student_ID]],student_skills[],4,0),VLOOKUP(Table7[[#This Row],[Student_ID]],student_skills[],5,0),VLOOKUP(Table7[[#This Row],[Student_ID]],student_skills[],6,0))</f>
        <v>7.25</v>
      </c>
      <c r="E827" s="1" t="str">
        <f>IF(VLOOKUP(Table7[[#This Row],[Student_ID]],student_internships[#All],2,0)&gt;1,"EXPERIENCED",IF(VLOOKUP(Table7[[#This Row],[Student_ID]],student_internships[#All],2,0)=1,"BEGINNER","NOT EXPERIENCED"))</f>
        <v>BEGINNER</v>
      </c>
      <c r="F827" s="1">
        <f>VLOOKUP(Table7[[#This Row],[Student_ID]],student_data[],5,0)</f>
        <v>7.33</v>
      </c>
      <c r="G827" s="1">
        <f>VLOOKUP(Table7[[#This Row],[Student_ID]],student_data[#All],6,0)</f>
        <v>4</v>
      </c>
      <c r="H827" s="1">
        <f>VLOOKUP(Table7[[#This Row],[Student_ID]],student_internships[],2,0)</f>
        <v>1</v>
      </c>
      <c r="I827" s="1">
        <f>VLOOKUP(Table7[[#This Row],[Student_ID]],Placements!A827:E1826,5,0)</f>
        <v>5.13</v>
      </c>
      <c r="J827" s="1" t="str">
        <f>IF(VLOOKUP(Table7[[#This Row],[Student_ID]],student_data[#All],5,0)&gt;8,"HIGH",IF(VLOOKUP(Table7[[#This Row],[Student_ID]],student_data[#All],5,0)&lt;6.5,"LOW","MEDIUM"))</f>
        <v>MEDIUM</v>
      </c>
    </row>
    <row r="828" spans="1:10" x14ac:dyDescent="0.2">
      <c r="A828" s="1" t="s">
        <v>837</v>
      </c>
      <c r="B828" s="1" t="str">
        <f>VLOOKUP(Table7[[#This Row],[Student_ID]],student_data[#All],2,0)</f>
        <v>Computer Science</v>
      </c>
      <c r="C828" s="1">
        <f>(VLOOKUP(Table7[[#This Row],[Student_ID]],student_data[],5,0)*5)+(VLOOKUP(Table7[[#This Row],[Student_ID]],student_data[],6,0)*3)+(VLOOKUP(Table7[[#This Row],[Student_ID]],student_skills[],6,0)*2)+(VLOOKUP(Table7[[#This Row],[Student_ID]],student_internships[],2,0)*5)</f>
        <v>68.849999999999994</v>
      </c>
      <c r="D828" s="1">
        <f>AVERAGE(VLOOKUP(Table7[[#This Row],[Student_ID]],student_skills[],3,0),VLOOKUP(Table7[[#This Row],[Student_ID]],student_skills[],4,0),VLOOKUP(Table7[[#This Row],[Student_ID]],student_skills[],5,0),VLOOKUP(Table7[[#This Row],[Student_ID]],student_skills[],6,0))</f>
        <v>2.5</v>
      </c>
      <c r="E828" s="1" t="str">
        <f>IF(VLOOKUP(Table7[[#This Row],[Student_ID]],student_internships[#All],2,0)&gt;1,"EXPERIENCED",IF(VLOOKUP(Table7[[#This Row],[Student_ID]],student_internships[#All],2,0)=1,"BEGINNER","NOT EXPERIENCED"))</f>
        <v>BEGINNER</v>
      </c>
      <c r="F828" s="1">
        <f>VLOOKUP(Table7[[#This Row],[Student_ID]],student_data[],5,0)</f>
        <v>9.3699999999999992</v>
      </c>
      <c r="G828" s="1">
        <f>VLOOKUP(Table7[[#This Row],[Student_ID]],student_data[#All],6,0)</f>
        <v>5</v>
      </c>
      <c r="H828" s="1">
        <f>VLOOKUP(Table7[[#This Row],[Student_ID]],student_internships[],2,0)</f>
        <v>1</v>
      </c>
      <c r="I828" s="1">
        <f>VLOOKUP(Table7[[#This Row],[Student_ID]],Placements!A828:E1827,5,0)</f>
        <v>4.12</v>
      </c>
      <c r="J828" s="1" t="str">
        <f>IF(VLOOKUP(Table7[[#This Row],[Student_ID]],student_data[#All],5,0)&gt;8,"HIGH",IF(VLOOKUP(Table7[[#This Row],[Student_ID]],student_data[#All],5,0)&lt;6.5,"LOW","MEDIUM"))</f>
        <v>HIGH</v>
      </c>
    </row>
    <row r="829" spans="1:10" x14ac:dyDescent="0.2">
      <c r="A829" s="1" t="s">
        <v>838</v>
      </c>
      <c r="B829" s="1" t="str">
        <f>VLOOKUP(Table7[[#This Row],[Student_ID]],student_data[#All],2,0)</f>
        <v>Information Technology</v>
      </c>
      <c r="C829" s="1">
        <f>(VLOOKUP(Table7[[#This Row],[Student_ID]],student_data[],5,0)*5)+(VLOOKUP(Table7[[#This Row],[Student_ID]],student_data[],6,0)*3)+(VLOOKUP(Table7[[#This Row],[Student_ID]],student_skills[],6,0)*2)+(VLOOKUP(Table7[[#This Row],[Student_ID]],student_internships[],2,0)*5)</f>
        <v>52.099999999999994</v>
      </c>
      <c r="D829" s="1">
        <f>AVERAGE(VLOOKUP(Table7[[#This Row],[Student_ID]],student_skills[],3,0),VLOOKUP(Table7[[#This Row],[Student_ID]],student_skills[],4,0),VLOOKUP(Table7[[#This Row],[Student_ID]],student_skills[],5,0),VLOOKUP(Table7[[#This Row],[Student_ID]],student_skills[],6,0))</f>
        <v>5.75</v>
      </c>
      <c r="E829" s="1" t="str">
        <f>IF(VLOOKUP(Table7[[#This Row],[Student_ID]],student_internships[#All],2,0)&gt;1,"EXPERIENCED",IF(VLOOKUP(Table7[[#This Row],[Student_ID]],student_internships[#All],2,0)=1,"BEGINNER","NOT EXPERIENCED"))</f>
        <v>EXPERIENCED</v>
      </c>
      <c r="F829" s="1">
        <f>VLOOKUP(Table7[[#This Row],[Student_ID]],student_data[],5,0)</f>
        <v>6.02</v>
      </c>
      <c r="G829" s="1">
        <f>VLOOKUP(Table7[[#This Row],[Student_ID]],student_data[#All],6,0)</f>
        <v>1</v>
      </c>
      <c r="H829" s="1">
        <f>VLOOKUP(Table7[[#This Row],[Student_ID]],student_internships[],2,0)</f>
        <v>3</v>
      </c>
      <c r="I829" s="1">
        <f>VLOOKUP(Table7[[#This Row],[Student_ID]],Placements!A829:E1828,5,0)</f>
        <v>4.5599999999999996</v>
      </c>
      <c r="J829" s="1" t="str">
        <f>IF(VLOOKUP(Table7[[#This Row],[Student_ID]],student_data[#All],5,0)&gt;8,"HIGH",IF(VLOOKUP(Table7[[#This Row],[Student_ID]],student_data[#All],5,0)&lt;6.5,"LOW","MEDIUM"))</f>
        <v>LOW</v>
      </c>
    </row>
    <row r="830" spans="1:10" x14ac:dyDescent="0.2">
      <c r="A830" s="1" t="s">
        <v>839</v>
      </c>
      <c r="B830" s="1" t="str">
        <f>VLOOKUP(Table7[[#This Row],[Student_ID]],student_data[#All],2,0)</f>
        <v>Electronics</v>
      </c>
      <c r="C830" s="1">
        <f>(VLOOKUP(Table7[[#This Row],[Student_ID]],student_data[],5,0)*5)+(VLOOKUP(Table7[[#This Row],[Student_ID]],student_data[],6,0)*3)+(VLOOKUP(Table7[[#This Row],[Student_ID]],student_skills[],6,0)*2)+(VLOOKUP(Table7[[#This Row],[Student_ID]],student_internships[],2,0)*5)</f>
        <v>60.2</v>
      </c>
      <c r="D830" s="1">
        <f>AVERAGE(VLOOKUP(Table7[[#This Row],[Student_ID]],student_skills[],3,0),VLOOKUP(Table7[[#This Row],[Student_ID]],student_skills[],4,0),VLOOKUP(Table7[[#This Row],[Student_ID]],student_skills[],5,0),VLOOKUP(Table7[[#This Row],[Student_ID]],student_skills[],6,0))</f>
        <v>5.25</v>
      </c>
      <c r="E830" s="1" t="str">
        <f>IF(VLOOKUP(Table7[[#This Row],[Student_ID]],student_internships[#All],2,0)&gt;1,"EXPERIENCED",IF(VLOOKUP(Table7[[#This Row],[Student_ID]],student_internships[#All],2,0)=1,"BEGINNER","NOT EXPERIENCED"))</f>
        <v>BEGINNER</v>
      </c>
      <c r="F830" s="1">
        <f>VLOOKUP(Table7[[#This Row],[Student_ID]],student_data[],5,0)</f>
        <v>5.64</v>
      </c>
      <c r="G830" s="1">
        <f>VLOOKUP(Table7[[#This Row],[Student_ID]],student_data[#All],6,0)</f>
        <v>3</v>
      </c>
      <c r="H830" s="1">
        <f>VLOOKUP(Table7[[#This Row],[Student_ID]],student_internships[],2,0)</f>
        <v>1</v>
      </c>
      <c r="I830" s="1">
        <f>VLOOKUP(Table7[[#This Row],[Student_ID]],Placements!A830:E1829,5,0)</f>
        <v>0</v>
      </c>
      <c r="J830" s="1" t="str">
        <f>IF(VLOOKUP(Table7[[#This Row],[Student_ID]],student_data[#All],5,0)&gt;8,"HIGH",IF(VLOOKUP(Table7[[#This Row],[Student_ID]],student_data[#All],5,0)&lt;6.5,"LOW","MEDIUM"))</f>
        <v>LOW</v>
      </c>
    </row>
    <row r="831" spans="1:10" x14ac:dyDescent="0.2">
      <c r="A831" s="1" t="s">
        <v>840</v>
      </c>
      <c r="B831" s="1" t="str">
        <f>VLOOKUP(Table7[[#This Row],[Student_ID]],student_data[#All],2,0)</f>
        <v>Civil</v>
      </c>
      <c r="C831" s="1">
        <f>(VLOOKUP(Table7[[#This Row],[Student_ID]],student_data[],5,0)*5)+(VLOOKUP(Table7[[#This Row],[Student_ID]],student_data[],6,0)*3)+(VLOOKUP(Table7[[#This Row],[Student_ID]],student_skills[],6,0)*2)+(VLOOKUP(Table7[[#This Row],[Student_ID]],student_internships[],2,0)*5)</f>
        <v>55.15</v>
      </c>
      <c r="D831" s="1">
        <f>AVERAGE(VLOOKUP(Table7[[#This Row],[Student_ID]],student_skills[],3,0),VLOOKUP(Table7[[#This Row],[Student_ID]],student_skills[],4,0),VLOOKUP(Table7[[#This Row],[Student_ID]],student_skills[],5,0),VLOOKUP(Table7[[#This Row],[Student_ID]],student_skills[],6,0))</f>
        <v>6.25</v>
      </c>
      <c r="E831" s="1" t="str">
        <f>IF(VLOOKUP(Table7[[#This Row],[Student_ID]],student_internships[#All],2,0)&gt;1,"EXPERIENCED",IF(VLOOKUP(Table7[[#This Row],[Student_ID]],student_internships[#All],2,0)=1,"BEGINNER","NOT EXPERIENCED"))</f>
        <v>BEGINNER</v>
      </c>
      <c r="F831" s="1">
        <f>VLOOKUP(Table7[[#This Row],[Student_ID]],student_data[],5,0)</f>
        <v>6.43</v>
      </c>
      <c r="G831" s="1">
        <f>VLOOKUP(Table7[[#This Row],[Student_ID]],student_data[#All],6,0)</f>
        <v>4</v>
      </c>
      <c r="H831" s="1">
        <f>VLOOKUP(Table7[[#This Row],[Student_ID]],student_internships[],2,0)</f>
        <v>1</v>
      </c>
      <c r="I831" s="1">
        <f>VLOOKUP(Table7[[#This Row],[Student_ID]],Placements!A831:E1830,5,0)</f>
        <v>5.13</v>
      </c>
      <c r="J831" s="1" t="str">
        <f>IF(VLOOKUP(Table7[[#This Row],[Student_ID]],student_data[#All],5,0)&gt;8,"HIGH",IF(VLOOKUP(Table7[[#This Row],[Student_ID]],student_data[#All],5,0)&lt;6.5,"LOW","MEDIUM"))</f>
        <v>LOW</v>
      </c>
    </row>
    <row r="832" spans="1:10" x14ac:dyDescent="0.2">
      <c r="A832" s="1" t="s">
        <v>841</v>
      </c>
      <c r="B832" s="1" t="str">
        <f>VLOOKUP(Table7[[#This Row],[Student_ID]],student_data[#All],2,0)</f>
        <v>Electronics</v>
      </c>
      <c r="C832" s="1">
        <f>(VLOOKUP(Table7[[#This Row],[Student_ID]],student_data[],5,0)*5)+(VLOOKUP(Table7[[#This Row],[Student_ID]],student_data[],6,0)*3)+(VLOOKUP(Table7[[#This Row],[Student_ID]],student_skills[],6,0)*2)+(VLOOKUP(Table7[[#This Row],[Student_ID]],student_internships[],2,0)*5)</f>
        <v>69.3</v>
      </c>
      <c r="D832" s="1">
        <f>AVERAGE(VLOOKUP(Table7[[#This Row],[Student_ID]],student_skills[],3,0),VLOOKUP(Table7[[#This Row],[Student_ID]],student_skills[],4,0),VLOOKUP(Table7[[#This Row],[Student_ID]],student_skills[],5,0),VLOOKUP(Table7[[#This Row],[Student_ID]],student_skills[],6,0))</f>
        <v>6</v>
      </c>
      <c r="E832" s="1" t="str">
        <f>IF(VLOOKUP(Table7[[#This Row],[Student_ID]],student_internships[#All],2,0)&gt;1,"EXPERIENCED",IF(VLOOKUP(Table7[[#This Row],[Student_ID]],student_internships[#All],2,0)=1,"BEGINNER","NOT EXPERIENCED"))</f>
        <v>EXPERIENCED</v>
      </c>
      <c r="F832" s="1">
        <f>VLOOKUP(Table7[[#This Row],[Student_ID]],student_data[],5,0)</f>
        <v>7.66</v>
      </c>
      <c r="G832" s="1">
        <f>VLOOKUP(Table7[[#This Row],[Student_ID]],student_data[#All],6,0)</f>
        <v>3</v>
      </c>
      <c r="H832" s="1">
        <f>VLOOKUP(Table7[[#This Row],[Student_ID]],student_internships[],2,0)</f>
        <v>2</v>
      </c>
      <c r="I832" s="1">
        <f>VLOOKUP(Table7[[#This Row],[Student_ID]],Placements!A832:E1831,5,0)</f>
        <v>5.19</v>
      </c>
      <c r="J832" s="1" t="str">
        <f>IF(VLOOKUP(Table7[[#This Row],[Student_ID]],student_data[#All],5,0)&gt;8,"HIGH",IF(VLOOKUP(Table7[[#This Row],[Student_ID]],student_data[#All],5,0)&lt;6.5,"LOW","MEDIUM"))</f>
        <v>MEDIUM</v>
      </c>
    </row>
    <row r="833" spans="1:10" x14ac:dyDescent="0.2">
      <c r="A833" s="1" t="s">
        <v>842</v>
      </c>
      <c r="B833" s="1" t="str">
        <f>VLOOKUP(Table7[[#This Row],[Student_ID]],student_data[#All],2,0)</f>
        <v>Computer Science</v>
      </c>
      <c r="C833" s="1">
        <f>(VLOOKUP(Table7[[#This Row],[Student_ID]],student_data[],5,0)*5)+(VLOOKUP(Table7[[#This Row],[Student_ID]],student_data[],6,0)*3)+(VLOOKUP(Table7[[#This Row],[Student_ID]],student_skills[],6,0)*2)+(VLOOKUP(Table7[[#This Row],[Student_ID]],student_internships[],2,0)*5)</f>
        <v>55.75</v>
      </c>
      <c r="D833" s="1">
        <f>AVERAGE(VLOOKUP(Table7[[#This Row],[Student_ID]],student_skills[],3,0),VLOOKUP(Table7[[#This Row],[Student_ID]],student_skills[],4,0),VLOOKUP(Table7[[#This Row],[Student_ID]],student_skills[],5,0),VLOOKUP(Table7[[#This Row],[Student_ID]],student_skills[],6,0))</f>
        <v>6.5</v>
      </c>
      <c r="E833" s="1" t="str">
        <f>IF(VLOOKUP(Table7[[#This Row],[Student_ID]],student_internships[#All],2,0)&gt;1,"EXPERIENCED",IF(VLOOKUP(Table7[[#This Row],[Student_ID]],student_internships[#All],2,0)=1,"BEGINNER","NOT EXPERIENCED"))</f>
        <v>BEGINNER</v>
      </c>
      <c r="F833" s="1">
        <f>VLOOKUP(Table7[[#This Row],[Student_ID]],student_data[],5,0)</f>
        <v>7.55</v>
      </c>
      <c r="G833" s="1">
        <f>VLOOKUP(Table7[[#This Row],[Student_ID]],student_data[#All],6,0)</f>
        <v>1</v>
      </c>
      <c r="H833" s="1">
        <f>VLOOKUP(Table7[[#This Row],[Student_ID]],student_internships[],2,0)</f>
        <v>1</v>
      </c>
      <c r="I833" s="1">
        <f>VLOOKUP(Table7[[#This Row],[Student_ID]],Placements!A833:E1832,5,0)</f>
        <v>4.5</v>
      </c>
      <c r="J833" s="1" t="str">
        <f>IF(VLOOKUP(Table7[[#This Row],[Student_ID]],student_data[#All],5,0)&gt;8,"HIGH",IF(VLOOKUP(Table7[[#This Row],[Student_ID]],student_data[#All],5,0)&lt;6.5,"LOW","MEDIUM"))</f>
        <v>MEDIUM</v>
      </c>
    </row>
    <row r="834" spans="1:10" x14ac:dyDescent="0.2">
      <c r="A834" s="1" t="s">
        <v>843</v>
      </c>
      <c r="B834" s="1" t="str">
        <f>VLOOKUP(Table7[[#This Row],[Student_ID]],student_data[#All],2,0)</f>
        <v>Civil</v>
      </c>
      <c r="C834" s="1">
        <f>(VLOOKUP(Table7[[#This Row],[Student_ID]],student_data[],5,0)*5)+(VLOOKUP(Table7[[#This Row],[Student_ID]],student_data[],6,0)*3)+(VLOOKUP(Table7[[#This Row],[Student_ID]],student_skills[],6,0)*2)+(VLOOKUP(Table7[[#This Row],[Student_ID]],student_internships[],2,0)*5)</f>
        <v>61.5</v>
      </c>
      <c r="D834" s="1">
        <f>AVERAGE(VLOOKUP(Table7[[#This Row],[Student_ID]],student_skills[],3,0),VLOOKUP(Table7[[#This Row],[Student_ID]],student_skills[],4,0),VLOOKUP(Table7[[#This Row],[Student_ID]],student_skills[],5,0),VLOOKUP(Table7[[#This Row],[Student_ID]],student_skills[],6,0))</f>
        <v>3.5</v>
      </c>
      <c r="E834" s="1" t="str">
        <f>IF(VLOOKUP(Table7[[#This Row],[Student_ID]],student_internships[#All],2,0)&gt;1,"EXPERIENCED",IF(VLOOKUP(Table7[[#This Row],[Student_ID]],student_internships[#All],2,0)=1,"BEGINNER","NOT EXPERIENCED"))</f>
        <v>NOT EXPERIENCED</v>
      </c>
      <c r="F834" s="1">
        <f>VLOOKUP(Table7[[#This Row],[Student_ID]],student_data[],5,0)</f>
        <v>9.1</v>
      </c>
      <c r="G834" s="1">
        <f>VLOOKUP(Table7[[#This Row],[Student_ID]],student_data[#All],6,0)</f>
        <v>4</v>
      </c>
      <c r="H834" s="1">
        <f>VLOOKUP(Table7[[#This Row],[Student_ID]],student_internships[],2,0)</f>
        <v>0</v>
      </c>
      <c r="I834" s="1">
        <f>VLOOKUP(Table7[[#This Row],[Student_ID]],Placements!A834:E1833,5,0)</f>
        <v>4.1900000000000004</v>
      </c>
      <c r="J834" s="1" t="str">
        <f>IF(VLOOKUP(Table7[[#This Row],[Student_ID]],student_data[#All],5,0)&gt;8,"HIGH",IF(VLOOKUP(Table7[[#This Row],[Student_ID]],student_data[#All],5,0)&lt;6.5,"LOW","MEDIUM"))</f>
        <v>HIGH</v>
      </c>
    </row>
    <row r="835" spans="1:10" x14ac:dyDescent="0.2">
      <c r="A835" s="1" t="s">
        <v>844</v>
      </c>
      <c r="B835" s="1" t="str">
        <f>VLOOKUP(Table7[[#This Row],[Student_ID]],student_data[#All],2,0)</f>
        <v>Mechanical</v>
      </c>
      <c r="C835" s="1">
        <f>(VLOOKUP(Table7[[#This Row],[Student_ID]],student_data[],5,0)*5)+(VLOOKUP(Table7[[#This Row],[Student_ID]],student_data[],6,0)*3)+(VLOOKUP(Table7[[#This Row],[Student_ID]],student_skills[],6,0)*2)+(VLOOKUP(Table7[[#This Row],[Student_ID]],student_internships[],2,0)*5)</f>
        <v>57.099999999999994</v>
      </c>
      <c r="D835" s="1">
        <f>AVERAGE(VLOOKUP(Table7[[#This Row],[Student_ID]],student_skills[],3,0),VLOOKUP(Table7[[#This Row],[Student_ID]],student_skills[],4,0),VLOOKUP(Table7[[#This Row],[Student_ID]],student_skills[],5,0),VLOOKUP(Table7[[#This Row],[Student_ID]],student_skills[],6,0))</f>
        <v>6.25</v>
      </c>
      <c r="E835" s="1" t="str">
        <f>IF(VLOOKUP(Table7[[#This Row],[Student_ID]],student_internships[#All],2,0)&gt;1,"EXPERIENCED",IF(VLOOKUP(Table7[[#This Row],[Student_ID]],student_internships[#All],2,0)=1,"BEGINNER","NOT EXPERIENCED"))</f>
        <v>BEGINNER</v>
      </c>
      <c r="F835" s="1">
        <f>VLOOKUP(Table7[[#This Row],[Student_ID]],student_data[],5,0)</f>
        <v>7.02</v>
      </c>
      <c r="G835" s="1">
        <f>VLOOKUP(Table7[[#This Row],[Student_ID]],student_data[#All],6,0)</f>
        <v>1</v>
      </c>
      <c r="H835" s="1">
        <f>VLOOKUP(Table7[[#This Row],[Student_ID]],student_internships[],2,0)</f>
        <v>1</v>
      </c>
      <c r="I835" s="1">
        <f>VLOOKUP(Table7[[#This Row],[Student_ID]],Placements!A835:E1834,5,0)</f>
        <v>4.1100000000000003</v>
      </c>
      <c r="J835" s="1" t="str">
        <f>IF(VLOOKUP(Table7[[#This Row],[Student_ID]],student_data[#All],5,0)&gt;8,"HIGH",IF(VLOOKUP(Table7[[#This Row],[Student_ID]],student_data[#All],5,0)&lt;6.5,"LOW","MEDIUM"))</f>
        <v>MEDIUM</v>
      </c>
    </row>
    <row r="836" spans="1:10" x14ac:dyDescent="0.2">
      <c r="A836" s="1" t="s">
        <v>845</v>
      </c>
      <c r="B836" s="1" t="str">
        <f>VLOOKUP(Table7[[#This Row],[Student_ID]],student_data[#All],2,0)</f>
        <v>Electronics</v>
      </c>
      <c r="C836" s="1">
        <f>(VLOOKUP(Table7[[#This Row],[Student_ID]],student_data[],5,0)*5)+(VLOOKUP(Table7[[#This Row],[Student_ID]],student_data[],6,0)*3)+(VLOOKUP(Table7[[#This Row],[Student_ID]],student_skills[],6,0)*2)+(VLOOKUP(Table7[[#This Row],[Student_ID]],student_internships[],2,0)*5)</f>
        <v>45.1</v>
      </c>
      <c r="D836" s="1">
        <f>AVERAGE(VLOOKUP(Table7[[#This Row],[Student_ID]],student_skills[],3,0),VLOOKUP(Table7[[#This Row],[Student_ID]],student_skills[],4,0),VLOOKUP(Table7[[#This Row],[Student_ID]],student_skills[],5,0),VLOOKUP(Table7[[#This Row],[Student_ID]],student_skills[],6,0))</f>
        <v>6</v>
      </c>
      <c r="E836" s="1" t="str">
        <f>IF(VLOOKUP(Table7[[#This Row],[Student_ID]],student_internships[#All],2,0)&gt;1,"EXPERIENCED",IF(VLOOKUP(Table7[[#This Row],[Student_ID]],student_internships[#All],2,0)=1,"BEGINNER","NOT EXPERIENCED"))</f>
        <v>NOT EXPERIENCED</v>
      </c>
      <c r="F836" s="1">
        <f>VLOOKUP(Table7[[#This Row],[Student_ID]],student_data[],5,0)</f>
        <v>7.42</v>
      </c>
      <c r="G836" s="1">
        <f>VLOOKUP(Table7[[#This Row],[Student_ID]],student_data[#All],6,0)</f>
        <v>0</v>
      </c>
      <c r="H836" s="1">
        <f>VLOOKUP(Table7[[#This Row],[Student_ID]],student_internships[],2,0)</f>
        <v>0</v>
      </c>
      <c r="I836" s="1">
        <f>VLOOKUP(Table7[[#This Row],[Student_ID]],Placements!A836:E1835,5,0)</f>
        <v>0</v>
      </c>
      <c r="J836" s="1" t="str">
        <f>IF(VLOOKUP(Table7[[#This Row],[Student_ID]],student_data[#All],5,0)&gt;8,"HIGH",IF(VLOOKUP(Table7[[#This Row],[Student_ID]],student_data[#All],5,0)&lt;6.5,"LOW","MEDIUM"))</f>
        <v>MEDIUM</v>
      </c>
    </row>
    <row r="837" spans="1:10" x14ac:dyDescent="0.2">
      <c r="A837" s="1" t="s">
        <v>846</v>
      </c>
      <c r="B837" s="1" t="str">
        <f>VLOOKUP(Table7[[#This Row],[Student_ID]],student_data[#All],2,0)</f>
        <v>Computer Science</v>
      </c>
      <c r="C837" s="1">
        <f>(VLOOKUP(Table7[[#This Row],[Student_ID]],student_data[],5,0)*5)+(VLOOKUP(Table7[[#This Row],[Student_ID]],student_data[],6,0)*3)+(VLOOKUP(Table7[[#This Row],[Student_ID]],student_skills[],6,0)*2)+(VLOOKUP(Table7[[#This Row],[Student_ID]],student_internships[],2,0)*5)</f>
        <v>30.35</v>
      </c>
      <c r="D837" s="1">
        <f>AVERAGE(VLOOKUP(Table7[[#This Row],[Student_ID]],student_skills[],3,0),VLOOKUP(Table7[[#This Row],[Student_ID]],student_skills[],4,0),VLOOKUP(Table7[[#This Row],[Student_ID]],student_skills[],5,0),VLOOKUP(Table7[[#This Row],[Student_ID]],student_skills[],6,0))</f>
        <v>5</v>
      </c>
      <c r="E837" s="1" t="str">
        <f>IF(VLOOKUP(Table7[[#This Row],[Student_ID]],student_internships[#All],2,0)&gt;1,"EXPERIENCED",IF(VLOOKUP(Table7[[#This Row],[Student_ID]],student_internships[#All],2,0)=1,"BEGINNER","NOT EXPERIENCED"))</f>
        <v>NOT EXPERIENCED</v>
      </c>
      <c r="F837" s="1">
        <f>VLOOKUP(Table7[[#This Row],[Student_ID]],student_data[],5,0)</f>
        <v>5.07</v>
      </c>
      <c r="G837" s="1">
        <f>VLOOKUP(Table7[[#This Row],[Student_ID]],student_data[#All],6,0)</f>
        <v>1</v>
      </c>
      <c r="H837" s="1">
        <f>VLOOKUP(Table7[[#This Row],[Student_ID]],student_internships[],2,0)</f>
        <v>0</v>
      </c>
      <c r="I837" s="1">
        <f>VLOOKUP(Table7[[#This Row],[Student_ID]],Placements!A837:E1836,5,0)</f>
        <v>4.5599999999999996</v>
      </c>
      <c r="J837" s="1" t="str">
        <f>IF(VLOOKUP(Table7[[#This Row],[Student_ID]],student_data[#All],5,0)&gt;8,"HIGH",IF(VLOOKUP(Table7[[#This Row],[Student_ID]],student_data[#All],5,0)&lt;6.5,"LOW","MEDIUM"))</f>
        <v>LOW</v>
      </c>
    </row>
    <row r="838" spans="1:10" x14ac:dyDescent="0.2">
      <c r="A838" s="1" t="s">
        <v>847</v>
      </c>
      <c r="B838" s="1" t="str">
        <f>VLOOKUP(Table7[[#This Row],[Student_ID]],student_data[#All],2,0)</f>
        <v>Information Technology</v>
      </c>
      <c r="C838" s="1">
        <f>(VLOOKUP(Table7[[#This Row],[Student_ID]],student_data[],5,0)*5)+(VLOOKUP(Table7[[#This Row],[Student_ID]],student_data[],6,0)*3)+(VLOOKUP(Table7[[#This Row],[Student_ID]],student_skills[],6,0)*2)+(VLOOKUP(Table7[[#This Row],[Student_ID]],student_internships[],2,0)*5)</f>
        <v>57.25</v>
      </c>
      <c r="D838" s="1">
        <f>AVERAGE(VLOOKUP(Table7[[#This Row],[Student_ID]],student_skills[],3,0),VLOOKUP(Table7[[#This Row],[Student_ID]],student_skills[],4,0),VLOOKUP(Table7[[#This Row],[Student_ID]],student_skills[],5,0),VLOOKUP(Table7[[#This Row],[Student_ID]],student_skills[],6,0))</f>
        <v>4.5</v>
      </c>
      <c r="E838" s="1" t="str">
        <f>IF(VLOOKUP(Table7[[#This Row],[Student_ID]],student_internships[#All],2,0)&gt;1,"EXPERIENCED",IF(VLOOKUP(Table7[[#This Row],[Student_ID]],student_internships[#All],2,0)=1,"BEGINNER","NOT EXPERIENCED"))</f>
        <v>BEGINNER</v>
      </c>
      <c r="F838" s="1">
        <f>VLOOKUP(Table7[[#This Row],[Student_ID]],student_data[],5,0)</f>
        <v>7.05</v>
      </c>
      <c r="G838" s="1">
        <f>VLOOKUP(Table7[[#This Row],[Student_ID]],student_data[#All],6,0)</f>
        <v>3</v>
      </c>
      <c r="H838" s="1">
        <f>VLOOKUP(Table7[[#This Row],[Student_ID]],student_internships[],2,0)</f>
        <v>1</v>
      </c>
      <c r="I838" s="1">
        <f>VLOOKUP(Table7[[#This Row],[Student_ID]],Placements!A838:E1837,5,0)</f>
        <v>5.13</v>
      </c>
      <c r="J838" s="1" t="str">
        <f>IF(VLOOKUP(Table7[[#This Row],[Student_ID]],student_data[#All],5,0)&gt;8,"HIGH",IF(VLOOKUP(Table7[[#This Row],[Student_ID]],student_data[#All],5,0)&lt;6.5,"LOW","MEDIUM"))</f>
        <v>MEDIUM</v>
      </c>
    </row>
    <row r="839" spans="1:10" x14ac:dyDescent="0.2">
      <c r="A839" s="1" t="s">
        <v>848</v>
      </c>
      <c r="B839" s="1" t="str">
        <f>VLOOKUP(Table7[[#This Row],[Student_ID]],student_data[#All],2,0)</f>
        <v>Civil</v>
      </c>
      <c r="C839" s="1">
        <f>(VLOOKUP(Table7[[#This Row],[Student_ID]],student_data[],5,0)*5)+(VLOOKUP(Table7[[#This Row],[Student_ID]],student_data[],6,0)*3)+(VLOOKUP(Table7[[#This Row],[Student_ID]],student_skills[],6,0)*2)+(VLOOKUP(Table7[[#This Row],[Student_ID]],student_internships[],2,0)*5)</f>
        <v>64.2</v>
      </c>
      <c r="D839" s="1">
        <f>AVERAGE(VLOOKUP(Table7[[#This Row],[Student_ID]],student_skills[],3,0),VLOOKUP(Table7[[#This Row],[Student_ID]],student_skills[],4,0),VLOOKUP(Table7[[#This Row],[Student_ID]],student_skills[],5,0),VLOOKUP(Table7[[#This Row],[Student_ID]],student_skills[],6,0))</f>
        <v>5</v>
      </c>
      <c r="E839" s="1" t="str">
        <f>IF(VLOOKUP(Table7[[#This Row],[Student_ID]],student_internships[#All],2,0)&gt;1,"EXPERIENCED",IF(VLOOKUP(Table7[[#This Row],[Student_ID]],student_internships[#All],2,0)=1,"BEGINNER","NOT EXPERIENCED"))</f>
        <v>BEGINNER</v>
      </c>
      <c r="F839" s="1">
        <f>VLOOKUP(Table7[[#This Row],[Student_ID]],student_data[],5,0)</f>
        <v>8.24</v>
      </c>
      <c r="G839" s="1">
        <f>VLOOKUP(Table7[[#This Row],[Student_ID]],student_data[#All],6,0)</f>
        <v>2</v>
      </c>
      <c r="H839" s="1">
        <f>VLOOKUP(Table7[[#This Row],[Student_ID]],student_internships[],2,0)</f>
        <v>1</v>
      </c>
      <c r="I839" s="1">
        <f>VLOOKUP(Table7[[#This Row],[Student_ID]],Placements!A839:E1838,5,0)</f>
        <v>0</v>
      </c>
      <c r="J839" s="1" t="str">
        <f>IF(VLOOKUP(Table7[[#This Row],[Student_ID]],student_data[#All],5,0)&gt;8,"HIGH",IF(VLOOKUP(Table7[[#This Row],[Student_ID]],student_data[#All],5,0)&lt;6.5,"LOW","MEDIUM"))</f>
        <v>HIGH</v>
      </c>
    </row>
    <row r="840" spans="1:10" x14ac:dyDescent="0.2">
      <c r="A840" s="1" t="s">
        <v>849</v>
      </c>
      <c r="B840" s="1" t="str">
        <f>VLOOKUP(Table7[[#This Row],[Student_ID]],student_data[#All],2,0)</f>
        <v>Electronics</v>
      </c>
      <c r="C840" s="1">
        <f>(VLOOKUP(Table7[[#This Row],[Student_ID]],student_data[],5,0)*5)+(VLOOKUP(Table7[[#This Row],[Student_ID]],student_data[],6,0)*3)+(VLOOKUP(Table7[[#This Row],[Student_ID]],student_skills[],6,0)*2)+(VLOOKUP(Table7[[#This Row],[Student_ID]],student_internships[],2,0)*5)</f>
        <v>57.4</v>
      </c>
      <c r="D840" s="1">
        <f>AVERAGE(VLOOKUP(Table7[[#This Row],[Student_ID]],student_skills[],3,0),VLOOKUP(Table7[[#This Row],[Student_ID]],student_skills[],4,0),VLOOKUP(Table7[[#This Row],[Student_ID]],student_skills[],5,0),VLOOKUP(Table7[[#This Row],[Student_ID]],student_skills[],6,0))</f>
        <v>4.25</v>
      </c>
      <c r="E840" s="1" t="str">
        <f>IF(VLOOKUP(Table7[[#This Row],[Student_ID]],student_internships[#All],2,0)&gt;1,"EXPERIENCED",IF(VLOOKUP(Table7[[#This Row],[Student_ID]],student_internships[#All],2,0)=1,"BEGINNER","NOT EXPERIENCED"))</f>
        <v>EXPERIENCED</v>
      </c>
      <c r="F840" s="1">
        <f>VLOOKUP(Table7[[#This Row],[Student_ID]],student_data[],5,0)</f>
        <v>5.08</v>
      </c>
      <c r="G840" s="1">
        <f>VLOOKUP(Table7[[#This Row],[Student_ID]],student_data[#All],6,0)</f>
        <v>1</v>
      </c>
      <c r="H840" s="1">
        <f>VLOOKUP(Table7[[#This Row],[Student_ID]],student_internships[],2,0)</f>
        <v>3</v>
      </c>
      <c r="I840" s="1">
        <f>VLOOKUP(Table7[[#This Row],[Student_ID]],Placements!A840:E1839,5,0)</f>
        <v>4.12</v>
      </c>
      <c r="J840" s="1" t="str">
        <f>IF(VLOOKUP(Table7[[#This Row],[Student_ID]],student_data[#All],5,0)&gt;8,"HIGH",IF(VLOOKUP(Table7[[#This Row],[Student_ID]],student_data[#All],5,0)&lt;6.5,"LOW","MEDIUM"))</f>
        <v>LOW</v>
      </c>
    </row>
    <row r="841" spans="1:10" x14ac:dyDescent="0.2">
      <c r="A841" s="1" t="s">
        <v>850</v>
      </c>
      <c r="B841" s="1" t="str">
        <f>VLOOKUP(Table7[[#This Row],[Student_ID]],student_data[#All],2,0)</f>
        <v>Electronics</v>
      </c>
      <c r="C841" s="1">
        <f>(VLOOKUP(Table7[[#This Row],[Student_ID]],student_data[],5,0)*5)+(VLOOKUP(Table7[[#This Row],[Student_ID]],student_data[],6,0)*3)+(VLOOKUP(Table7[[#This Row],[Student_ID]],student_skills[],6,0)*2)+(VLOOKUP(Table7[[#This Row],[Student_ID]],student_internships[],2,0)*5)</f>
        <v>66</v>
      </c>
      <c r="D841" s="1">
        <f>AVERAGE(VLOOKUP(Table7[[#This Row],[Student_ID]],student_skills[],3,0),VLOOKUP(Table7[[#This Row],[Student_ID]],student_skills[],4,0),VLOOKUP(Table7[[#This Row],[Student_ID]],student_skills[],5,0),VLOOKUP(Table7[[#This Row],[Student_ID]],student_skills[],6,0))</f>
        <v>5.5</v>
      </c>
      <c r="E841" s="1" t="str">
        <f>IF(VLOOKUP(Table7[[#This Row],[Student_ID]],student_internships[#All],2,0)&gt;1,"EXPERIENCED",IF(VLOOKUP(Table7[[#This Row],[Student_ID]],student_internships[#All],2,0)=1,"BEGINNER","NOT EXPERIENCED"))</f>
        <v>BEGINNER</v>
      </c>
      <c r="F841" s="1">
        <f>VLOOKUP(Table7[[#This Row],[Student_ID]],student_data[],5,0)</f>
        <v>6.4</v>
      </c>
      <c r="G841" s="1">
        <f>VLOOKUP(Table7[[#This Row],[Student_ID]],student_data[#All],6,0)</f>
        <v>5</v>
      </c>
      <c r="H841" s="1">
        <f>VLOOKUP(Table7[[#This Row],[Student_ID]],student_internships[],2,0)</f>
        <v>1</v>
      </c>
      <c r="I841" s="1">
        <f>VLOOKUP(Table7[[#This Row],[Student_ID]],Placements!A841:E1840,5,0)</f>
        <v>4.3499999999999996</v>
      </c>
      <c r="J841" s="1" t="str">
        <f>IF(VLOOKUP(Table7[[#This Row],[Student_ID]],student_data[#All],5,0)&gt;8,"HIGH",IF(VLOOKUP(Table7[[#This Row],[Student_ID]],student_data[#All],5,0)&lt;6.5,"LOW","MEDIUM"))</f>
        <v>LOW</v>
      </c>
    </row>
    <row r="842" spans="1:10" x14ac:dyDescent="0.2">
      <c r="A842" s="1" t="s">
        <v>851</v>
      </c>
      <c r="B842" s="1" t="str">
        <f>VLOOKUP(Table7[[#This Row],[Student_ID]],student_data[#All],2,0)</f>
        <v>Mechanical</v>
      </c>
      <c r="C842" s="1">
        <f>(VLOOKUP(Table7[[#This Row],[Student_ID]],student_data[],5,0)*5)+(VLOOKUP(Table7[[#This Row],[Student_ID]],student_data[],6,0)*3)+(VLOOKUP(Table7[[#This Row],[Student_ID]],student_skills[],6,0)*2)+(VLOOKUP(Table7[[#This Row],[Student_ID]],student_internships[],2,0)*5)</f>
        <v>55.2</v>
      </c>
      <c r="D842" s="1">
        <f>AVERAGE(VLOOKUP(Table7[[#This Row],[Student_ID]],student_skills[],3,0),VLOOKUP(Table7[[#This Row],[Student_ID]],student_skills[],4,0),VLOOKUP(Table7[[#This Row],[Student_ID]],student_skills[],5,0),VLOOKUP(Table7[[#This Row],[Student_ID]],student_skills[],6,0))</f>
        <v>4.5</v>
      </c>
      <c r="E842" s="1" t="str">
        <f>IF(VLOOKUP(Table7[[#This Row],[Student_ID]],student_internships[#All],2,0)&gt;1,"EXPERIENCED",IF(VLOOKUP(Table7[[#This Row],[Student_ID]],student_internships[#All],2,0)=1,"BEGINNER","NOT EXPERIENCED"))</f>
        <v>BEGINNER</v>
      </c>
      <c r="F842" s="1">
        <f>VLOOKUP(Table7[[#This Row],[Student_ID]],student_data[],5,0)</f>
        <v>6.04</v>
      </c>
      <c r="G842" s="1">
        <f>VLOOKUP(Table7[[#This Row],[Student_ID]],student_data[#All],6,0)</f>
        <v>2</v>
      </c>
      <c r="H842" s="1">
        <f>VLOOKUP(Table7[[#This Row],[Student_ID]],student_internships[],2,0)</f>
        <v>1</v>
      </c>
      <c r="I842" s="1">
        <f>VLOOKUP(Table7[[#This Row],[Student_ID]],Placements!A842:E1841,5,0)</f>
        <v>4.5</v>
      </c>
      <c r="J842" s="1" t="str">
        <f>IF(VLOOKUP(Table7[[#This Row],[Student_ID]],student_data[#All],5,0)&gt;8,"HIGH",IF(VLOOKUP(Table7[[#This Row],[Student_ID]],student_data[#All],5,0)&lt;6.5,"LOW","MEDIUM"))</f>
        <v>LOW</v>
      </c>
    </row>
    <row r="843" spans="1:10" x14ac:dyDescent="0.2">
      <c r="A843" s="1" t="s">
        <v>852</v>
      </c>
      <c r="B843" s="1" t="str">
        <f>VLOOKUP(Table7[[#This Row],[Student_ID]],student_data[#All],2,0)</f>
        <v>Mechanical</v>
      </c>
      <c r="C843" s="1">
        <f>(VLOOKUP(Table7[[#This Row],[Student_ID]],student_data[],5,0)*5)+(VLOOKUP(Table7[[#This Row],[Student_ID]],student_data[],6,0)*3)+(VLOOKUP(Table7[[#This Row],[Student_ID]],student_skills[],6,0)*2)+(VLOOKUP(Table7[[#This Row],[Student_ID]],student_internships[],2,0)*5)</f>
        <v>37.049999999999997</v>
      </c>
      <c r="D843" s="1">
        <f>AVERAGE(VLOOKUP(Table7[[#This Row],[Student_ID]],student_skills[],3,0),VLOOKUP(Table7[[#This Row],[Student_ID]],student_skills[],4,0),VLOOKUP(Table7[[#This Row],[Student_ID]],student_skills[],5,0),VLOOKUP(Table7[[#This Row],[Student_ID]],student_skills[],6,0))</f>
        <v>6.25</v>
      </c>
      <c r="E843" s="1" t="str">
        <f>IF(VLOOKUP(Table7[[#This Row],[Student_ID]],student_internships[#All],2,0)&gt;1,"EXPERIENCED",IF(VLOOKUP(Table7[[#This Row],[Student_ID]],student_internships[#All],2,0)=1,"BEGINNER","NOT EXPERIENCED"))</f>
        <v>BEGINNER</v>
      </c>
      <c r="F843" s="1">
        <f>VLOOKUP(Table7[[#This Row],[Student_ID]],student_data[],5,0)</f>
        <v>5.21</v>
      </c>
      <c r="G843" s="1">
        <f>VLOOKUP(Table7[[#This Row],[Student_ID]],student_data[#All],6,0)</f>
        <v>0</v>
      </c>
      <c r="H843" s="1">
        <f>VLOOKUP(Table7[[#This Row],[Student_ID]],student_internships[],2,0)</f>
        <v>1</v>
      </c>
      <c r="I843" s="1">
        <f>VLOOKUP(Table7[[#This Row],[Student_ID]],Placements!A843:E1842,5,0)</f>
        <v>4.1900000000000004</v>
      </c>
      <c r="J843" s="1" t="str">
        <f>IF(VLOOKUP(Table7[[#This Row],[Student_ID]],student_data[#All],5,0)&gt;8,"HIGH",IF(VLOOKUP(Table7[[#This Row],[Student_ID]],student_data[#All],5,0)&lt;6.5,"LOW","MEDIUM"))</f>
        <v>LOW</v>
      </c>
    </row>
    <row r="844" spans="1:10" x14ac:dyDescent="0.2">
      <c r="A844" s="1" t="s">
        <v>853</v>
      </c>
      <c r="B844" s="1" t="str">
        <f>VLOOKUP(Table7[[#This Row],[Student_ID]],student_data[#All],2,0)</f>
        <v>Information Technology</v>
      </c>
      <c r="C844" s="1">
        <f>(VLOOKUP(Table7[[#This Row],[Student_ID]],student_data[],5,0)*5)+(VLOOKUP(Table7[[#This Row],[Student_ID]],student_data[],6,0)*3)+(VLOOKUP(Table7[[#This Row],[Student_ID]],student_skills[],6,0)*2)+(VLOOKUP(Table7[[#This Row],[Student_ID]],student_internships[],2,0)*5)</f>
        <v>61</v>
      </c>
      <c r="D844" s="1">
        <f>AVERAGE(VLOOKUP(Table7[[#This Row],[Student_ID]],student_skills[],3,0),VLOOKUP(Table7[[#This Row],[Student_ID]],student_skills[],4,0),VLOOKUP(Table7[[#This Row],[Student_ID]],student_skills[],5,0),VLOOKUP(Table7[[#This Row],[Student_ID]],student_skills[],6,0))</f>
        <v>7</v>
      </c>
      <c r="E844" s="1" t="str">
        <f>IF(VLOOKUP(Table7[[#This Row],[Student_ID]],student_internships[#All],2,0)&gt;1,"EXPERIENCED",IF(VLOOKUP(Table7[[#This Row],[Student_ID]],student_internships[#All],2,0)=1,"BEGINNER","NOT EXPERIENCED"))</f>
        <v>NOT EXPERIENCED</v>
      </c>
      <c r="F844" s="1">
        <f>VLOOKUP(Table7[[#This Row],[Student_ID]],student_data[],5,0)</f>
        <v>7.4</v>
      </c>
      <c r="G844" s="1">
        <f>VLOOKUP(Table7[[#This Row],[Student_ID]],student_data[#All],6,0)</f>
        <v>4</v>
      </c>
      <c r="H844" s="1">
        <f>VLOOKUP(Table7[[#This Row],[Student_ID]],student_internships[],2,0)</f>
        <v>0</v>
      </c>
      <c r="I844" s="1">
        <f>VLOOKUP(Table7[[#This Row],[Student_ID]],Placements!A844:E1843,5,0)</f>
        <v>4.1100000000000003</v>
      </c>
      <c r="J844" s="1" t="str">
        <f>IF(VLOOKUP(Table7[[#This Row],[Student_ID]],student_data[#All],5,0)&gt;8,"HIGH",IF(VLOOKUP(Table7[[#This Row],[Student_ID]],student_data[#All],5,0)&lt;6.5,"LOW","MEDIUM"))</f>
        <v>MEDIUM</v>
      </c>
    </row>
    <row r="845" spans="1:10" x14ac:dyDescent="0.2">
      <c r="A845" s="1" t="s">
        <v>854</v>
      </c>
      <c r="B845" s="1" t="str">
        <f>VLOOKUP(Table7[[#This Row],[Student_ID]],student_data[#All],2,0)</f>
        <v>Information Technology</v>
      </c>
      <c r="C845" s="1">
        <f>(VLOOKUP(Table7[[#This Row],[Student_ID]],student_data[],5,0)*5)+(VLOOKUP(Table7[[#This Row],[Student_ID]],student_data[],6,0)*3)+(VLOOKUP(Table7[[#This Row],[Student_ID]],student_skills[],6,0)*2)+(VLOOKUP(Table7[[#This Row],[Student_ID]],student_internships[],2,0)*5)</f>
        <v>62.55</v>
      </c>
      <c r="D845" s="1">
        <f>AVERAGE(VLOOKUP(Table7[[#This Row],[Student_ID]],student_skills[],3,0),VLOOKUP(Table7[[#This Row],[Student_ID]],student_skills[],4,0),VLOOKUP(Table7[[#This Row],[Student_ID]],student_skills[],5,0),VLOOKUP(Table7[[#This Row],[Student_ID]],student_skills[],6,0))</f>
        <v>6</v>
      </c>
      <c r="E845" s="1" t="str">
        <f>IF(VLOOKUP(Table7[[#This Row],[Student_ID]],student_internships[#All],2,0)&gt;1,"EXPERIENCED",IF(VLOOKUP(Table7[[#This Row],[Student_ID]],student_internships[#All],2,0)=1,"BEGINNER","NOT EXPERIENCED"))</f>
        <v>BEGINNER</v>
      </c>
      <c r="F845" s="1">
        <f>VLOOKUP(Table7[[#This Row],[Student_ID]],student_data[],5,0)</f>
        <v>5.91</v>
      </c>
      <c r="G845" s="1">
        <f>VLOOKUP(Table7[[#This Row],[Student_ID]],student_data[#All],6,0)</f>
        <v>4</v>
      </c>
      <c r="H845" s="1">
        <f>VLOOKUP(Table7[[#This Row],[Student_ID]],student_internships[],2,0)</f>
        <v>1</v>
      </c>
      <c r="I845" s="1">
        <f>VLOOKUP(Table7[[#This Row],[Student_ID]],Placements!A845:E1844,5,0)</f>
        <v>4.53</v>
      </c>
      <c r="J845" s="1" t="str">
        <f>IF(VLOOKUP(Table7[[#This Row],[Student_ID]],student_data[#All],5,0)&gt;8,"HIGH",IF(VLOOKUP(Table7[[#This Row],[Student_ID]],student_data[#All],5,0)&lt;6.5,"LOW","MEDIUM"))</f>
        <v>LOW</v>
      </c>
    </row>
    <row r="846" spans="1:10" x14ac:dyDescent="0.2">
      <c r="A846" s="1" t="s">
        <v>855</v>
      </c>
      <c r="B846" s="1" t="str">
        <f>VLOOKUP(Table7[[#This Row],[Student_ID]],student_data[#All],2,0)</f>
        <v>Computer Science</v>
      </c>
      <c r="C846" s="1">
        <f>(VLOOKUP(Table7[[#This Row],[Student_ID]],student_data[],5,0)*5)+(VLOOKUP(Table7[[#This Row],[Student_ID]],student_data[],6,0)*3)+(VLOOKUP(Table7[[#This Row],[Student_ID]],student_skills[],6,0)*2)+(VLOOKUP(Table7[[#This Row],[Student_ID]],student_internships[],2,0)*5)</f>
        <v>57.6</v>
      </c>
      <c r="D846" s="1">
        <f>AVERAGE(VLOOKUP(Table7[[#This Row],[Student_ID]],student_skills[],3,0),VLOOKUP(Table7[[#This Row],[Student_ID]],student_skills[],4,0),VLOOKUP(Table7[[#This Row],[Student_ID]],student_skills[],5,0),VLOOKUP(Table7[[#This Row],[Student_ID]],student_skills[],6,0))</f>
        <v>4.25</v>
      </c>
      <c r="E846" s="1" t="str">
        <f>IF(VLOOKUP(Table7[[#This Row],[Student_ID]],student_internships[#All],2,0)&gt;1,"EXPERIENCED",IF(VLOOKUP(Table7[[#This Row],[Student_ID]],student_internships[#All],2,0)=1,"BEGINNER","NOT EXPERIENCED"))</f>
        <v>NOT EXPERIENCED</v>
      </c>
      <c r="F846" s="1">
        <f>VLOOKUP(Table7[[#This Row],[Student_ID]],student_data[],5,0)</f>
        <v>8.7200000000000006</v>
      </c>
      <c r="G846" s="1">
        <f>VLOOKUP(Table7[[#This Row],[Student_ID]],student_data[#All],6,0)</f>
        <v>2</v>
      </c>
      <c r="H846" s="1">
        <f>VLOOKUP(Table7[[#This Row],[Student_ID]],student_internships[],2,0)</f>
        <v>0</v>
      </c>
      <c r="I846" s="1">
        <f>VLOOKUP(Table7[[#This Row],[Student_ID]],Placements!A846:E1845,5,0)</f>
        <v>5.13</v>
      </c>
      <c r="J846" s="1" t="str">
        <f>IF(VLOOKUP(Table7[[#This Row],[Student_ID]],student_data[#All],5,0)&gt;8,"HIGH",IF(VLOOKUP(Table7[[#This Row],[Student_ID]],student_data[#All],5,0)&lt;6.5,"LOW","MEDIUM"))</f>
        <v>HIGH</v>
      </c>
    </row>
    <row r="847" spans="1:10" x14ac:dyDescent="0.2">
      <c r="A847" s="1" t="s">
        <v>856</v>
      </c>
      <c r="B847" s="1" t="str">
        <f>VLOOKUP(Table7[[#This Row],[Student_ID]],student_data[#All],2,0)</f>
        <v>Computer Science</v>
      </c>
      <c r="C847" s="1">
        <f>(VLOOKUP(Table7[[#This Row],[Student_ID]],student_data[],5,0)*5)+(VLOOKUP(Table7[[#This Row],[Student_ID]],student_data[],6,0)*3)+(VLOOKUP(Table7[[#This Row],[Student_ID]],student_skills[],6,0)*2)+(VLOOKUP(Table7[[#This Row],[Student_ID]],student_internships[],2,0)*5)</f>
        <v>89.2</v>
      </c>
      <c r="D847" s="1">
        <f>AVERAGE(VLOOKUP(Table7[[#This Row],[Student_ID]],student_skills[],3,0),VLOOKUP(Table7[[#This Row],[Student_ID]],student_skills[],4,0),VLOOKUP(Table7[[#This Row],[Student_ID]],student_skills[],5,0),VLOOKUP(Table7[[#This Row],[Student_ID]],student_skills[],6,0))</f>
        <v>5.5</v>
      </c>
      <c r="E847" s="1" t="str">
        <f>IF(VLOOKUP(Table7[[#This Row],[Student_ID]],student_internships[#All],2,0)&gt;1,"EXPERIENCED",IF(VLOOKUP(Table7[[#This Row],[Student_ID]],student_internships[#All],2,0)=1,"BEGINNER","NOT EXPERIENCED"))</f>
        <v>EXPERIENCED</v>
      </c>
      <c r="F847" s="1">
        <f>VLOOKUP(Table7[[#This Row],[Student_ID]],student_data[],5,0)</f>
        <v>9.24</v>
      </c>
      <c r="G847" s="1">
        <f>VLOOKUP(Table7[[#This Row],[Student_ID]],student_data[#All],6,0)</f>
        <v>4</v>
      </c>
      <c r="H847" s="1">
        <f>VLOOKUP(Table7[[#This Row],[Student_ID]],student_internships[],2,0)</f>
        <v>3</v>
      </c>
      <c r="I847" s="1">
        <f>VLOOKUP(Table7[[#This Row],[Student_ID]],Placements!A847:E1846,5,0)</f>
        <v>0</v>
      </c>
      <c r="J847" s="1" t="str">
        <f>IF(VLOOKUP(Table7[[#This Row],[Student_ID]],student_data[#All],5,0)&gt;8,"HIGH",IF(VLOOKUP(Table7[[#This Row],[Student_ID]],student_data[#All],5,0)&lt;6.5,"LOW","MEDIUM"))</f>
        <v>HIGH</v>
      </c>
    </row>
    <row r="848" spans="1:10" x14ac:dyDescent="0.2">
      <c r="A848" s="1" t="s">
        <v>857</v>
      </c>
      <c r="B848" s="1" t="str">
        <f>VLOOKUP(Table7[[#This Row],[Student_ID]],student_data[#All],2,0)</f>
        <v>Information Technology</v>
      </c>
      <c r="C848" s="1">
        <f>(VLOOKUP(Table7[[#This Row],[Student_ID]],student_data[],5,0)*5)+(VLOOKUP(Table7[[#This Row],[Student_ID]],student_data[],6,0)*3)+(VLOOKUP(Table7[[#This Row],[Student_ID]],student_skills[],6,0)*2)+(VLOOKUP(Table7[[#This Row],[Student_ID]],student_internships[],2,0)*5)</f>
        <v>45.650000000000006</v>
      </c>
      <c r="D848" s="1">
        <f>AVERAGE(VLOOKUP(Table7[[#This Row],[Student_ID]],student_skills[],3,0),VLOOKUP(Table7[[#This Row],[Student_ID]],student_skills[],4,0),VLOOKUP(Table7[[#This Row],[Student_ID]],student_skills[],5,0),VLOOKUP(Table7[[#This Row],[Student_ID]],student_skills[],6,0))</f>
        <v>4.25</v>
      </c>
      <c r="E848" s="1" t="str">
        <f>IF(VLOOKUP(Table7[[#This Row],[Student_ID]],student_internships[#All],2,0)&gt;1,"EXPERIENCED",IF(VLOOKUP(Table7[[#This Row],[Student_ID]],student_internships[#All],2,0)=1,"BEGINNER","NOT EXPERIENCED"))</f>
        <v>NOT EXPERIENCED</v>
      </c>
      <c r="F848" s="1">
        <f>VLOOKUP(Table7[[#This Row],[Student_ID]],student_data[],5,0)</f>
        <v>7.73</v>
      </c>
      <c r="G848" s="1">
        <f>VLOOKUP(Table7[[#This Row],[Student_ID]],student_data[#All],6,0)</f>
        <v>1</v>
      </c>
      <c r="H848" s="1">
        <f>VLOOKUP(Table7[[#This Row],[Student_ID]],student_internships[],2,0)</f>
        <v>0</v>
      </c>
      <c r="I848" s="1">
        <f>VLOOKUP(Table7[[#This Row],[Student_ID]],Placements!A848:E1847,5,0)</f>
        <v>4.5</v>
      </c>
      <c r="J848" s="1" t="str">
        <f>IF(VLOOKUP(Table7[[#This Row],[Student_ID]],student_data[#All],5,0)&gt;8,"HIGH",IF(VLOOKUP(Table7[[#This Row],[Student_ID]],student_data[#All],5,0)&lt;6.5,"LOW","MEDIUM"))</f>
        <v>MEDIUM</v>
      </c>
    </row>
    <row r="849" spans="1:10" x14ac:dyDescent="0.2">
      <c r="A849" s="1" t="s">
        <v>858</v>
      </c>
      <c r="B849" s="1" t="str">
        <f>VLOOKUP(Table7[[#This Row],[Student_ID]],student_data[#All],2,0)</f>
        <v>Information Technology</v>
      </c>
      <c r="C849" s="1">
        <f>(VLOOKUP(Table7[[#This Row],[Student_ID]],student_data[],5,0)*5)+(VLOOKUP(Table7[[#This Row],[Student_ID]],student_data[],6,0)*3)+(VLOOKUP(Table7[[#This Row],[Student_ID]],student_skills[],6,0)*2)+(VLOOKUP(Table7[[#This Row],[Student_ID]],student_internships[],2,0)*5)</f>
        <v>80.55</v>
      </c>
      <c r="D849" s="1">
        <f>AVERAGE(VLOOKUP(Table7[[#This Row],[Student_ID]],student_skills[],3,0),VLOOKUP(Table7[[#This Row],[Student_ID]],student_skills[],4,0),VLOOKUP(Table7[[#This Row],[Student_ID]],student_skills[],5,0),VLOOKUP(Table7[[#This Row],[Student_ID]],student_skills[],6,0))</f>
        <v>5</v>
      </c>
      <c r="E849" s="1" t="str">
        <f>IF(VLOOKUP(Table7[[#This Row],[Student_ID]],student_internships[#All],2,0)&gt;1,"EXPERIENCED",IF(VLOOKUP(Table7[[#This Row],[Student_ID]],student_internships[#All],2,0)=1,"BEGINNER","NOT EXPERIENCED"))</f>
        <v>BEGINNER</v>
      </c>
      <c r="F849" s="1">
        <f>VLOOKUP(Table7[[#This Row],[Student_ID]],student_data[],5,0)</f>
        <v>9.91</v>
      </c>
      <c r="G849" s="1">
        <f>VLOOKUP(Table7[[#This Row],[Student_ID]],student_data[#All],6,0)</f>
        <v>2</v>
      </c>
      <c r="H849" s="1">
        <f>VLOOKUP(Table7[[#This Row],[Student_ID]],student_internships[],2,0)</f>
        <v>1</v>
      </c>
      <c r="I849" s="1">
        <f>VLOOKUP(Table7[[#This Row],[Student_ID]],Placements!A849:E1848,5,0)</f>
        <v>4.3499999999999996</v>
      </c>
      <c r="J849" s="1" t="str">
        <f>IF(VLOOKUP(Table7[[#This Row],[Student_ID]],student_data[#All],5,0)&gt;8,"HIGH",IF(VLOOKUP(Table7[[#This Row],[Student_ID]],student_data[#All],5,0)&lt;6.5,"LOW","MEDIUM"))</f>
        <v>HIGH</v>
      </c>
    </row>
    <row r="850" spans="1:10" x14ac:dyDescent="0.2">
      <c r="A850" s="1" t="s">
        <v>859</v>
      </c>
      <c r="B850" s="1" t="str">
        <f>VLOOKUP(Table7[[#This Row],[Student_ID]],student_data[#All],2,0)</f>
        <v>Civil</v>
      </c>
      <c r="C850" s="1">
        <f>(VLOOKUP(Table7[[#This Row],[Student_ID]],student_data[],5,0)*5)+(VLOOKUP(Table7[[#This Row],[Student_ID]],student_data[],6,0)*3)+(VLOOKUP(Table7[[#This Row],[Student_ID]],student_skills[],6,0)*2)+(VLOOKUP(Table7[[#This Row],[Student_ID]],student_internships[],2,0)*5)</f>
        <v>63.25</v>
      </c>
      <c r="D850" s="1">
        <f>AVERAGE(VLOOKUP(Table7[[#This Row],[Student_ID]],student_skills[],3,0),VLOOKUP(Table7[[#This Row],[Student_ID]],student_skills[],4,0),VLOOKUP(Table7[[#This Row],[Student_ID]],student_skills[],5,0),VLOOKUP(Table7[[#This Row],[Student_ID]],student_skills[],6,0))</f>
        <v>7</v>
      </c>
      <c r="E850" s="1" t="str">
        <f>IF(VLOOKUP(Table7[[#This Row],[Student_ID]],student_internships[#All],2,0)&gt;1,"EXPERIENCED",IF(VLOOKUP(Table7[[#This Row],[Student_ID]],student_internships[#All],2,0)=1,"BEGINNER","NOT EXPERIENCED"))</f>
        <v>NOT EXPERIENCED</v>
      </c>
      <c r="F850" s="1">
        <f>VLOOKUP(Table7[[#This Row],[Student_ID]],student_data[],5,0)</f>
        <v>7.25</v>
      </c>
      <c r="G850" s="1">
        <f>VLOOKUP(Table7[[#This Row],[Student_ID]],student_data[#All],6,0)</f>
        <v>3</v>
      </c>
      <c r="H850" s="1">
        <f>VLOOKUP(Table7[[#This Row],[Student_ID]],student_internships[],2,0)</f>
        <v>0</v>
      </c>
      <c r="I850" s="1">
        <f>VLOOKUP(Table7[[#This Row],[Student_ID]],Placements!A850:E1849,5,0)</f>
        <v>4.1900000000000004</v>
      </c>
      <c r="J850" s="1" t="str">
        <f>IF(VLOOKUP(Table7[[#This Row],[Student_ID]],student_data[#All],5,0)&gt;8,"HIGH",IF(VLOOKUP(Table7[[#This Row],[Student_ID]],student_data[#All],5,0)&lt;6.5,"LOW","MEDIUM"))</f>
        <v>MEDIUM</v>
      </c>
    </row>
    <row r="851" spans="1:10" x14ac:dyDescent="0.2">
      <c r="A851" s="1" t="s">
        <v>860</v>
      </c>
      <c r="B851" s="1" t="str">
        <f>VLOOKUP(Table7[[#This Row],[Student_ID]],student_data[#All],2,0)</f>
        <v>Mechanical</v>
      </c>
      <c r="C851" s="1">
        <f>(VLOOKUP(Table7[[#This Row],[Student_ID]],student_data[],5,0)*5)+(VLOOKUP(Table7[[#This Row],[Student_ID]],student_data[],6,0)*3)+(VLOOKUP(Table7[[#This Row],[Student_ID]],student_skills[],6,0)*2)+(VLOOKUP(Table7[[#This Row],[Student_ID]],student_internships[],2,0)*5)</f>
        <v>73.849999999999994</v>
      </c>
      <c r="D851" s="1">
        <f>AVERAGE(VLOOKUP(Table7[[#This Row],[Student_ID]],student_skills[],3,0),VLOOKUP(Table7[[#This Row],[Student_ID]],student_skills[],4,0),VLOOKUP(Table7[[#This Row],[Student_ID]],student_skills[],5,0),VLOOKUP(Table7[[#This Row],[Student_ID]],student_skills[],6,0))</f>
        <v>7.75</v>
      </c>
      <c r="E851" s="1" t="str">
        <f>IF(VLOOKUP(Table7[[#This Row],[Student_ID]],student_internships[#All],2,0)&gt;1,"EXPERIENCED",IF(VLOOKUP(Table7[[#This Row],[Student_ID]],student_internships[#All],2,0)=1,"BEGINNER","NOT EXPERIENCED"))</f>
        <v>EXPERIENCED</v>
      </c>
      <c r="F851" s="1">
        <f>VLOOKUP(Table7[[#This Row],[Student_ID]],student_data[],5,0)</f>
        <v>7.57</v>
      </c>
      <c r="G851" s="1">
        <f>VLOOKUP(Table7[[#This Row],[Student_ID]],student_data[#All],6,0)</f>
        <v>1</v>
      </c>
      <c r="H851" s="1">
        <f>VLOOKUP(Table7[[#This Row],[Student_ID]],student_internships[],2,0)</f>
        <v>3</v>
      </c>
      <c r="I851" s="1">
        <f>VLOOKUP(Table7[[#This Row],[Student_ID]],Placements!A851:E1850,5,0)</f>
        <v>5.13</v>
      </c>
      <c r="J851" s="1" t="str">
        <f>IF(VLOOKUP(Table7[[#This Row],[Student_ID]],student_data[#All],5,0)&gt;8,"HIGH",IF(VLOOKUP(Table7[[#This Row],[Student_ID]],student_data[#All],5,0)&lt;6.5,"LOW","MEDIUM"))</f>
        <v>MEDIUM</v>
      </c>
    </row>
    <row r="852" spans="1:10" x14ac:dyDescent="0.2">
      <c r="A852" s="1" t="s">
        <v>861</v>
      </c>
      <c r="B852" s="1" t="str">
        <f>VLOOKUP(Table7[[#This Row],[Student_ID]],student_data[#All],2,0)</f>
        <v>Computer Science</v>
      </c>
      <c r="C852" s="1">
        <f>(VLOOKUP(Table7[[#This Row],[Student_ID]],student_data[],5,0)*5)+(VLOOKUP(Table7[[#This Row],[Student_ID]],student_data[],6,0)*3)+(VLOOKUP(Table7[[#This Row],[Student_ID]],student_skills[],6,0)*2)+(VLOOKUP(Table7[[#This Row],[Student_ID]],student_internships[],2,0)*5)</f>
        <v>73.75</v>
      </c>
      <c r="D852" s="1">
        <f>AVERAGE(VLOOKUP(Table7[[#This Row],[Student_ID]],student_skills[],3,0),VLOOKUP(Table7[[#This Row],[Student_ID]],student_skills[],4,0),VLOOKUP(Table7[[#This Row],[Student_ID]],student_skills[],5,0),VLOOKUP(Table7[[#This Row],[Student_ID]],student_skills[],6,0))</f>
        <v>8.5</v>
      </c>
      <c r="E852" s="1" t="str">
        <f>IF(VLOOKUP(Table7[[#This Row],[Student_ID]],student_internships[#All],2,0)&gt;1,"EXPERIENCED",IF(VLOOKUP(Table7[[#This Row],[Student_ID]],student_internships[#All],2,0)=1,"BEGINNER","NOT EXPERIENCED"))</f>
        <v>BEGINNER</v>
      </c>
      <c r="F852" s="1">
        <f>VLOOKUP(Table7[[#This Row],[Student_ID]],student_data[],5,0)</f>
        <v>9.9499999999999993</v>
      </c>
      <c r="G852" s="1">
        <f>VLOOKUP(Table7[[#This Row],[Student_ID]],student_data[#All],6,0)</f>
        <v>1</v>
      </c>
      <c r="H852" s="1">
        <f>VLOOKUP(Table7[[#This Row],[Student_ID]],student_internships[],2,0)</f>
        <v>1</v>
      </c>
      <c r="I852" s="1">
        <f>VLOOKUP(Table7[[#This Row],[Student_ID]],Placements!A852:E1851,5,0)</f>
        <v>4.12</v>
      </c>
      <c r="J852" s="1" t="str">
        <f>IF(VLOOKUP(Table7[[#This Row],[Student_ID]],student_data[#All],5,0)&gt;8,"HIGH",IF(VLOOKUP(Table7[[#This Row],[Student_ID]],student_data[#All],5,0)&lt;6.5,"LOW","MEDIUM"))</f>
        <v>HIGH</v>
      </c>
    </row>
    <row r="853" spans="1:10" x14ac:dyDescent="0.2">
      <c r="A853" s="1" t="s">
        <v>862</v>
      </c>
      <c r="B853" s="1" t="str">
        <f>VLOOKUP(Table7[[#This Row],[Student_ID]],student_data[#All],2,0)</f>
        <v>Mechanical</v>
      </c>
      <c r="C853" s="1">
        <f>(VLOOKUP(Table7[[#This Row],[Student_ID]],student_data[],5,0)*5)+(VLOOKUP(Table7[[#This Row],[Student_ID]],student_data[],6,0)*3)+(VLOOKUP(Table7[[#This Row],[Student_ID]],student_skills[],6,0)*2)+(VLOOKUP(Table7[[#This Row],[Student_ID]],student_internships[],2,0)*5)</f>
        <v>58.8</v>
      </c>
      <c r="D853" s="1">
        <f>AVERAGE(VLOOKUP(Table7[[#This Row],[Student_ID]],student_skills[],3,0),VLOOKUP(Table7[[#This Row],[Student_ID]],student_skills[],4,0),VLOOKUP(Table7[[#This Row],[Student_ID]],student_skills[],5,0),VLOOKUP(Table7[[#This Row],[Student_ID]],student_skills[],6,0))</f>
        <v>6.25</v>
      </c>
      <c r="E853" s="1" t="str">
        <f>IF(VLOOKUP(Table7[[#This Row],[Student_ID]],student_internships[#All],2,0)&gt;1,"EXPERIENCED",IF(VLOOKUP(Table7[[#This Row],[Student_ID]],student_internships[#All],2,0)=1,"BEGINNER","NOT EXPERIENCED"))</f>
        <v>BEGINNER</v>
      </c>
      <c r="F853" s="1">
        <f>VLOOKUP(Table7[[#This Row],[Student_ID]],student_data[],5,0)</f>
        <v>6.16</v>
      </c>
      <c r="G853" s="1">
        <f>VLOOKUP(Table7[[#This Row],[Student_ID]],student_data[#All],6,0)</f>
        <v>1</v>
      </c>
      <c r="H853" s="1">
        <f>VLOOKUP(Table7[[#This Row],[Student_ID]],student_internships[],2,0)</f>
        <v>1</v>
      </c>
      <c r="I853" s="1">
        <f>VLOOKUP(Table7[[#This Row],[Student_ID]],Placements!A853:E1852,5,0)</f>
        <v>4.5599999999999996</v>
      </c>
      <c r="J853" s="1" t="str">
        <f>IF(VLOOKUP(Table7[[#This Row],[Student_ID]],student_data[#All],5,0)&gt;8,"HIGH",IF(VLOOKUP(Table7[[#This Row],[Student_ID]],student_data[#All],5,0)&lt;6.5,"LOW","MEDIUM"))</f>
        <v>LOW</v>
      </c>
    </row>
    <row r="854" spans="1:10" x14ac:dyDescent="0.2">
      <c r="A854" s="1" t="s">
        <v>863</v>
      </c>
      <c r="B854" s="1" t="str">
        <f>VLOOKUP(Table7[[#This Row],[Student_ID]],student_data[#All],2,0)</f>
        <v>Mechanical</v>
      </c>
      <c r="C854" s="1">
        <f>(VLOOKUP(Table7[[#This Row],[Student_ID]],student_data[],5,0)*5)+(VLOOKUP(Table7[[#This Row],[Student_ID]],student_data[],6,0)*3)+(VLOOKUP(Table7[[#This Row],[Student_ID]],student_skills[],6,0)*2)+(VLOOKUP(Table7[[#This Row],[Student_ID]],student_internships[],2,0)*5)</f>
        <v>77.550000000000011</v>
      </c>
      <c r="D854" s="1">
        <f>AVERAGE(VLOOKUP(Table7[[#This Row],[Student_ID]],student_skills[],3,0),VLOOKUP(Table7[[#This Row],[Student_ID]],student_skills[],4,0),VLOOKUP(Table7[[#This Row],[Student_ID]],student_skills[],5,0),VLOOKUP(Table7[[#This Row],[Student_ID]],student_skills[],6,0))</f>
        <v>6</v>
      </c>
      <c r="E854" s="1" t="str">
        <f>IF(VLOOKUP(Table7[[#This Row],[Student_ID]],student_internships[#All],2,0)&gt;1,"EXPERIENCED",IF(VLOOKUP(Table7[[#This Row],[Student_ID]],student_internships[#All],2,0)=1,"BEGINNER","NOT EXPERIENCED"))</f>
        <v>NOT EXPERIENCED</v>
      </c>
      <c r="F854" s="1">
        <f>VLOOKUP(Table7[[#This Row],[Student_ID]],student_data[],5,0)</f>
        <v>9.7100000000000009</v>
      </c>
      <c r="G854" s="1">
        <f>VLOOKUP(Table7[[#This Row],[Student_ID]],student_data[#All],6,0)</f>
        <v>3</v>
      </c>
      <c r="H854" s="1">
        <f>VLOOKUP(Table7[[#This Row],[Student_ID]],student_internships[],2,0)</f>
        <v>0</v>
      </c>
      <c r="I854" s="1">
        <f>VLOOKUP(Table7[[#This Row],[Student_ID]],Placements!A854:E1853,5,0)</f>
        <v>0</v>
      </c>
      <c r="J854" s="1" t="str">
        <f>IF(VLOOKUP(Table7[[#This Row],[Student_ID]],student_data[#All],5,0)&gt;8,"HIGH",IF(VLOOKUP(Table7[[#This Row],[Student_ID]],student_data[#All],5,0)&lt;6.5,"LOW","MEDIUM"))</f>
        <v>HIGH</v>
      </c>
    </row>
    <row r="855" spans="1:10" x14ac:dyDescent="0.2">
      <c r="A855" s="1" t="s">
        <v>864</v>
      </c>
      <c r="B855" s="1" t="str">
        <f>VLOOKUP(Table7[[#This Row],[Student_ID]],student_data[#All],2,0)</f>
        <v>Information Technology</v>
      </c>
      <c r="C855" s="1">
        <f>(VLOOKUP(Table7[[#This Row],[Student_ID]],student_data[],5,0)*5)+(VLOOKUP(Table7[[#This Row],[Student_ID]],student_data[],6,0)*3)+(VLOOKUP(Table7[[#This Row],[Student_ID]],student_skills[],6,0)*2)+(VLOOKUP(Table7[[#This Row],[Student_ID]],student_internships[],2,0)*5)</f>
        <v>38.049999999999997</v>
      </c>
      <c r="D855" s="1">
        <f>AVERAGE(VLOOKUP(Table7[[#This Row],[Student_ID]],student_skills[],3,0),VLOOKUP(Table7[[#This Row],[Student_ID]],student_skills[],4,0),VLOOKUP(Table7[[#This Row],[Student_ID]],student_skills[],5,0),VLOOKUP(Table7[[#This Row],[Student_ID]],student_skills[],6,0))</f>
        <v>2.5</v>
      </c>
      <c r="E855" s="1" t="str">
        <f>IF(VLOOKUP(Table7[[#This Row],[Student_ID]],student_internships[#All],2,0)&gt;1,"EXPERIENCED",IF(VLOOKUP(Table7[[#This Row],[Student_ID]],student_internships[#All],2,0)=1,"BEGINNER","NOT EXPERIENCED"))</f>
        <v>EXPERIENCED</v>
      </c>
      <c r="F855" s="1">
        <f>VLOOKUP(Table7[[#This Row],[Student_ID]],student_data[],5,0)</f>
        <v>5.21</v>
      </c>
      <c r="G855" s="1">
        <f>VLOOKUP(Table7[[#This Row],[Student_ID]],student_data[#All],6,0)</f>
        <v>0</v>
      </c>
      <c r="H855" s="1">
        <f>VLOOKUP(Table7[[#This Row],[Student_ID]],student_internships[],2,0)</f>
        <v>2</v>
      </c>
      <c r="I855" s="1">
        <f>VLOOKUP(Table7[[#This Row],[Student_ID]],Placements!A855:E1854,5,0)</f>
        <v>5.13</v>
      </c>
      <c r="J855" s="1" t="str">
        <f>IF(VLOOKUP(Table7[[#This Row],[Student_ID]],student_data[#All],5,0)&gt;8,"HIGH",IF(VLOOKUP(Table7[[#This Row],[Student_ID]],student_data[#All],5,0)&lt;6.5,"LOW","MEDIUM"))</f>
        <v>LOW</v>
      </c>
    </row>
    <row r="856" spans="1:10" x14ac:dyDescent="0.2">
      <c r="A856" s="1" t="s">
        <v>865</v>
      </c>
      <c r="B856" s="1" t="str">
        <f>VLOOKUP(Table7[[#This Row],[Student_ID]],student_data[#All],2,0)</f>
        <v>Civil</v>
      </c>
      <c r="C856" s="1">
        <f>(VLOOKUP(Table7[[#This Row],[Student_ID]],student_data[],5,0)*5)+(VLOOKUP(Table7[[#This Row],[Student_ID]],student_data[],6,0)*3)+(VLOOKUP(Table7[[#This Row],[Student_ID]],student_skills[],6,0)*2)+(VLOOKUP(Table7[[#This Row],[Student_ID]],student_internships[],2,0)*5)</f>
        <v>55.150000000000006</v>
      </c>
      <c r="D856" s="1">
        <f>AVERAGE(VLOOKUP(Table7[[#This Row],[Student_ID]],student_skills[],3,0),VLOOKUP(Table7[[#This Row],[Student_ID]],student_skills[],4,0),VLOOKUP(Table7[[#This Row],[Student_ID]],student_skills[],5,0),VLOOKUP(Table7[[#This Row],[Student_ID]],student_skills[],6,0))</f>
        <v>2.5</v>
      </c>
      <c r="E856" s="1" t="str">
        <f>IF(VLOOKUP(Table7[[#This Row],[Student_ID]],student_internships[#All],2,0)&gt;1,"EXPERIENCED",IF(VLOOKUP(Table7[[#This Row],[Student_ID]],student_internships[#All],2,0)=1,"BEGINNER","NOT EXPERIENCED"))</f>
        <v>NOT EXPERIENCED</v>
      </c>
      <c r="F856" s="1">
        <f>VLOOKUP(Table7[[#This Row],[Student_ID]],student_data[],5,0)</f>
        <v>7.23</v>
      </c>
      <c r="G856" s="1">
        <f>VLOOKUP(Table7[[#This Row],[Student_ID]],student_data[#All],6,0)</f>
        <v>5</v>
      </c>
      <c r="H856" s="1">
        <f>VLOOKUP(Table7[[#This Row],[Student_ID]],student_internships[],2,0)</f>
        <v>0</v>
      </c>
      <c r="I856" s="1">
        <f>VLOOKUP(Table7[[#This Row],[Student_ID]],Placements!A856:E1855,5,0)</f>
        <v>5.19</v>
      </c>
      <c r="J856" s="1" t="str">
        <f>IF(VLOOKUP(Table7[[#This Row],[Student_ID]],student_data[#All],5,0)&gt;8,"HIGH",IF(VLOOKUP(Table7[[#This Row],[Student_ID]],student_data[#All],5,0)&lt;6.5,"LOW","MEDIUM"))</f>
        <v>MEDIUM</v>
      </c>
    </row>
    <row r="857" spans="1:10" x14ac:dyDescent="0.2">
      <c r="A857" s="1" t="s">
        <v>866</v>
      </c>
      <c r="B857" s="1" t="str">
        <f>VLOOKUP(Table7[[#This Row],[Student_ID]],student_data[#All],2,0)</f>
        <v>Electronics</v>
      </c>
      <c r="C857" s="1">
        <f>(VLOOKUP(Table7[[#This Row],[Student_ID]],student_data[],5,0)*5)+(VLOOKUP(Table7[[#This Row],[Student_ID]],student_data[],6,0)*3)+(VLOOKUP(Table7[[#This Row],[Student_ID]],student_skills[],6,0)*2)+(VLOOKUP(Table7[[#This Row],[Student_ID]],student_internships[],2,0)*5)</f>
        <v>60.75</v>
      </c>
      <c r="D857" s="1">
        <f>AVERAGE(VLOOKUP(Table7[[#This Row],[Student_ID]],student_skills[],3,0),VLOOKUP(Table7[[#This Row],[Student_ID]],student_skills[],4,0),VLOOKUP(Table7[[#This Row],[Student_ID]],student_skills[],5,0),VLOOKUP(Table7[[#This Row],[Student_ID]],student_skills[],6,0))</f>
        <v>6.5</v>
      </c>
      <c r="E857" s="1" t="str">
        <f>IF(VLOOKUP(Table7[[#This Row],[Student_ID]],student_internships[#All],2,0)&gt;1,"EXPERIENCED",IF(VLOOKUP(Table7[[#This Row],[Student_ID]],student_internships[#All],2,0)=1,"BEGINNER","NOT EXPERIENCED"))</f>
        <v>EXPERIENCED</v>
      </c>
      <c r="F857" s="1">
        <f>VLOOKUP(Table7[[#This Row],[Student_ID]],student_data[],5,0)</f>
        <v>5.35</v>
      </c>
      <c r="G857" s="1">
        <f>VLOOKUP(Table7[[#This Row],[Student_ID]],student_data[#All],6,0)</f>
        <v>4</v>
      </c>
      <c r="H857" s="1">
        <f>VLOOKUP(Table7[[#This Row],[Student_ID]],student_internships[],2,0)</f>
        <v>2</v>
      </c>
      <c r="I857" s="1">
        <f>VLOOKUP(Table7[[#This Row],[Student_ID]],Placements!A857:E1856,5,0)</f>
        <v>4.5</v>
      </c>
      <c r="J857" s="1" t="str">
        <f>IF(VLOOKUP(Table7[[#This Row],[Student_ID]],student_data[#All],5,0)&gt;8,"HIGH",IF(VLOOKUP(Table7[[#This Row],[Student_ID]],student_data[#All],5,0)&lt;6.5,"LOW","MEDIUM"))</f>
        <v>LOW</v>
      </c>
    </row>
    <row r="858" spans="1:10" x14ac:dyDescent="0.2">
      <c r="A858" s="1" t="s">
        <v>867</v>
      </c>
      <c r="B858" s="1" t="str">
        <f>VLOOKUP(Table7[[#This Row],[Student_ID]],student_data[#All],2,0)</f>
        <v>Civil</v>
      </c>
      <c r="C858" s="1">
        <f>(VLOOKUP(Table7[[#This Row],[Student_ID]],student_data[],5,0)*5)+(VLOOKUP(Table7[[#This Row],[Student_ID]],student_data[],6,0)*3)+(VLOOKUP(Table7[[#This Row],[Student_ID]],student_skills[],6,0)*2)+(VLOOKUP(Table7[[#This Row],[Student_ID]],student_internships[],2,0)*5)</f>
        <v>69.25</v>
      </c>
      <c r="D858" s="1">
        <f>AVERAGE(VLOOKUP(Table7[[#This Row],[Student_ID]],student_skills[],3,0),VLOOKUP(Table7[[#This Row],[Student_ID]],student_skills[],4,0),VLOOKUP(Table7[[#This Row],[Student_ID]],student_skills[],5,0),VLOOKUP(Table7[[#This Row],[Student_ID]],student_skills[],6,0))</f>
        <v>5.25</v>
      </c>
      <c r="E858" s="1" t="str">
        <f>IF(VLOOKUP(Table7[[#This Row],[Student_ID]],student_internships[#All],2,0)&gt;1,"EXPERIENCED",IF(VLOOKUP(Table7[[#This Row],[Student_ID]],student_internships[#All],2,0)=1,"BEGINNER","NOT EXPERIENCED"))</f>
        <v>NOT EXPERIENCED</v>
      </c>
      <c r="F858" s="1">
        <f>VLOOKUP(Table7[[#This Row],[Student_ID]],student_data[],5,0)</f>
        <v>8.65</v>
      </c>
      <c r="G858" s="1">
        <f>VLOOKUP(Table7[[#This Row],[Student_ID]],student_data[#All],6,0)</f>
        <v>2</v>
      </c>
      <c r="H858" s="1">
        <f>VLOOKUP(Table7[[#This Row],[Student_ID]],student_internships[],2,0)</f>
        <v>0</v>
      </c>
      <c r="I858" s="1">
        <f>VLOOKUP(Table7[[#This Row],[Student_ID]],Placements!A858:E1857,5,0)</f>
        <v>4.1900000000000004</v>
      </c>
      <c r="J858" s="1" t="str">
        <f>IF(VLOOKUP(Table7[[#This Row],[Student_ID]],student_data[#All],5,0)&gt;8,"HIGH",IF(VLOOKUP(Table7[[#This Row],[Student_ID]],student_data[#All],5,0)&lt;6.5,"LOW","MEDIUM"))</f>
        <v>HIGH</v>
      </c>
    </row>
    <row r="859" spans="1:10" x14ac:dyDescent="0.2">
      <c r="A859" s="1" t="s">
        <v>868</v>
      </c>
      <c r="B859" s="1" t="str">
        <f>VLOOKUP(Table7[[#This Row],[Student_ID]],student_data[#All],2,0)</f>
        <v>Civil</v>
      </c>
      <c r="C859" s="1">
        <f>(VLOOKUP(Table7[[#This Row],[Student_ID]],student_data[],5,0)*5)+(VLOOKUP(Table7[[#This Row],[Student_ID]],student_data[],6,0)*3)+(VLOOKUP(Table7[[#This Row],[Student_ID]],student_skills[],6,0)*2)+(VLOOKUP(Table7[[#This Row],[Student_ID]],student_internships[],2,0)*5)</f>
        <v>50.199999999999996</v>
      </c>
      <c r="D859" s="1">
        <f>AVERAGE(VLOOKUP(Table7[[#This Row],[Student_ID]],student_skills[],3,0),VLOOKUP(Table7[[#This Row],[Student_ID]],student_skills[],4,0),VLOOKUP(Table7[[#This Row],[Student_ID]],student_skills[],5,0),VLOOKUP(Table7[[#This Row],[Student_ID]],student_skills[],6,0))</f>
        <v>5</v>
      </c>
      <c r="E859" s="1" t="str">
        <f>IF(VLOOKUP(Table7[[#This Row],[Student_ID]],student_internships[#All],2,0)&gt;1,"EXPERIENCED",IF(VLOOKUP(Table7[[#This Row],[Student_ID]],student_internships[#All],2,0)=1,"BEGINNER","NOT EXPERIENCED"))</f>
        <v>NOT EXPERIENCED</v>
      </c>
      <c r="F859" s="1">
        <f>VLOOKUP(Table7[[#This Row],[Student_ID]],student_data[],5,0)</f>
        <v>8.0399999999999991</v>
      </c>
      <c r="G859" s="1">
        <f>VLOOKUP(Table7[[#This Row],[Student_ID]],student_data[#All],6,0)</f>
        <v>0</v>
      </c>
      <c r="H859" s="1">
        <f>VLOOKUP(Table7[[#This Row],[Student_ID]],student_internships[],2,0)</f>
        <v>0</v>
      </c>
      <c r="I859" s="1">
        <f>VLOOKUP(Table7[[#This Row],[Student_ID]],Placements!A859:E1858,5,0)</f>
        <v>4.1100000000000003</v>
      </c>
      <c r="J859" s="1" t="str">
        <f>IF(VLOOKUP(Table7[[#This Row],[Student_ID]],student_data[#All],5,0)&gt;8,"HIGH",IF(VLOOKUP(Table7[[#This Row],[Student_ID]],student_data[#All],5,0)&lt;6.5,"LOW","MEDIUM"))</f>
        <v>HIGH</v>
      </c>
    </row>
    <row r="860" spans="1:10" x14ac:dyDescent="0.2">
      <c r="A860" s="1" t="s">
        <v>869</v>
      </c>
      <c r="B860" s="1" t="str">
        <f>VLOOKUP(Table7[[#This Row],[Student_ID]],student_data[#All],2,0)</f>
        <v>Mechanical</v>
      </c>
      <c r="C860" s="1">
        <f>(VLOOKUP(Table7[[#This Row],[Student_ID]],student_data[],5,0)*5)+(VLOOKUP(Table7[[#This Row],[Student_ID]],student_data[],6,0)*3)+(VLOOKUP(Table7[[#This Row],[Student_ID]],student_skills[],6,0)*2)+(VLOOKUP(Table7[[#This Row],[Student_ID]],student_internships[],2,0)*5)</f>
        <v>66.650000000000006</v>
      </c>
      <c r="D860" s="1">
        <f>AVERAGE(VLOOKUP(Table7[[#This Row],[Student_ID]],student_skills[],3,0),VLOOKUP(Table7[[#This Row],[Student_ID]],student_skills[],4,0),VLOOKUP(Table7[[#This Row],[Student_ID]],student_skills[],5,0),VLOOKUP(Table7[[#This Row],[Student_ID]],student_skills[],6,0))</f>
        <v>6.75</v>
      </c>
      <c r="E860" s="1" t="str">
        <f>IF(VLOOKUP(Table7[[#This Row],[Student_ID]],student_internships[#All],2,0)&gt;1,"EXPERIENCED",IF(VLOOKUP(Table7[[#This Row],[Student_ID]],student_internships[#All],2,0)=1,"BEGINNER","NOT EXPERIENCED"))</f>
        <v>NOT EXPERIENCED</v>
      </c>
      <c r="F860" s="1">
        <f>VLOOKUP(Table7[[#This Row],[Student_ID]],student_data[],5,0)</f>
        <v>8.5299999999999994</v>
      </c>
      <c r="G860" s="1">
        <f>VLOOKUP(Table7[[#This Row],[Student_ID]],student_data[#All],6,0)</f>
        <v>2</v>
      </c>
      <c r="H860" s="1">
        <f>VLOOKUP(Table7[[#This Row],[Student_ID]],student_internships[],2,0)</f>
        <v>0</v>
      </c>
      <c r="I860" s="1">
        <f>VLOOKUP(Table7[[#This Row],[Student_ID]],Placements!A860:E1859,5,0)</f>
        <v>0</v>
      </c>
      <c r="J860" s="1" t="str">
        <f>IF(VLOOKUP(Table7[[#This Row],[Student_ID]],student_data[#All],5,0)&gt;8,"HIGH",IF(VLOOKUP(Table7[[#This Row],[Student_ID]],student_data[#All],5,0)&lt;6.5,"LOW","MEDIUM"))</f>
        <v>HIGH</v>
      </c>
    </row>
    <row r="861" spans="1:10" x14ac:dyDescent="0.2">
      <c r="A861" s="1" t="s">
        <v>870</v>
      </c>
      <c r="B861" s="1" t="str">
        <f>VLOOKUP(Table7[[#This Row],[Student_ID]],student_data[#All],2,0)</f>
        <v>Civil</v>
      </c>
      <c r="C861" s="1">
        <f>(VLOOKUP(Table7[[#This Row],[Student_ID]],student_data[],5,0)*5)+(VLOOKUP(Table7[[#This Row],[Student_ID]],student_data[],6,0)*3)+(VLOOKUP(Table7[[#This Row],[Student_ID]],student_skills[],6,0)*2)+(VLOOKUP(Table7[[#This Row],[Student_ID]],student_internships[],2,0)*5)</f>
        <v>61.35</v>
      </c>
      <c r="D861" s="1">
        <f>AVERAGE(VLOOKUP(Table7[[#This Row],[Student_ID]],student_skills[],3,0),VLOOKUP(Table7[[#This Row],[Student_ID]],student_skills[],4,0),VLOOKUP(Table7[[#This Row],[Student_ID]],student_skills[],5,0),VLOOKUP(Table7[[#This Row],[Student_ID]],student_skills[],6,0))</f>
        <v>6.25</v>
      </c>
      <c r="E861" s="1" t="str">
        <f>IF(VLOOKUP(Table7[[#This Row],[Student_ID]],student_internships[#All],2,0)&gt;1,"EXPERIENCED",IF(VLOOKUP(Table7[[#This Row],[Student_ID]],student_internships[#All],2,0)=1,"BEGINNER","NOT EXPERIENCED"))</f>
        <v>BEGINNER</v>
      </c>
      <c r="F861" s="1">
        <f>VLOOKUP(Table7[[#This Row],[Student_ID]],student_data[],5,0)</f>
        <v>6.87</v>
      </c>
      <c r="G861" s="1">
        <f>VLOOKUP(Table7[[#This Row],[Student_ID]],student_data[#All],6,0)</f>
        <v>4</v>
      </c>
      <c r="H861" s="1">
        <f>VLOOKUP(Table7[[#This Row],[Student_ID]],student_internships[],2,0)</f>
        <v>1</v>
      </c>
      <c r="I861" s="1">
        <f>VLOOKUP(Table7[[#This Row],[Student_ID]],Placements!A861:E1860,5,0)</f>
        <v>4.5599999999999996</v>
      </c>
      <c r="J861" s="1" t="str">
        <f>IF(VLOOKUP(Table7[[#This Row],[Student_ID]],student_data[#All],5,0)&gt;8,"HIGH",IF(VLOOKUP(Table7[[#This Row],[Student_ID]],student_data[#All],5,0)&lt;6.5,"LOW","MEDIUM"))</f>
        <v>MEDIUM</v>
      </c>
    </row>
    <row r="862" spans="1:10" x14ac:dyDescent="0.2">
      <c r="A862" s="1" t="s">
        <v>871</v>
      </c>
      <c r="B862" s="1" t="str">
        <f>VLOOKUP(Table7[[#This Row],[Student_ID]],student_data[#All],2,0)</f>
        <v>Computer Science</v>
      </c>
      <c r="C862" s="1">
        <f>(VLOOKUP(Table7[[#This Row],[Student_ID]],student_data[],5,0)*5)+(VLOOKUP(Table7[[#This Row],[Student_ID]],student_data[],6,0)*3)+(VLOOKUP(Table7[[#This Row],[Student_ID]],student_skills[],6,0)*2)+(VLOOKUP(Table7[[#This Row],[Student_ID]],student_internships[],2,0)*5)</f>
        <v>52.25</v>
      </c>
      <c r="D862" s="1">
        <f>AVERAGE(VLOOKUP(Table7[[#This Row],[Student_ID]],student_skills[],3,0),VLOOKUP(Table7[[#This Row],[Student_ID]],student_skills[],4,0),VLOOKUP(Table7[[#This Row],[Student_ID]],student_skills[],5,0),VLOOKUP(Table7[[#This Row],[Student_ID]],student_skills[],6,0))</f>
        <v>3.25</v>
      </c>
      <c r="E862" s="1" t="str">
        <f>IF(VLOOKUP(Table7[[#This Row],[Student_ID]],student_internships[#All],2,0)&gt;1,"EXPERIENCED",IF(VLOOKUP(Table7[[#This Row],[Student_ID]],student_internships[#All],2,0)=1,"BEGINNER","NOT EXPERIENCED"))</f>
        <v>BEGINNER</v>
      </c>
      <c r="F862" s="1">
        <f>VLOOKUP(Table7[[#This Row],[Student_ID]],student_data[],5,0)</f>
        <v>6.85</v>
      </c>
      <c r="G862" s="1">
        <f>VLOOKUP(Table7[[#This Row],[Student_ID]],student_data[#All],6,0)</f>
        <v>3</v>
      </c>
      <c r="H862" s="1">
        <f>VLOOKUP(Table7[[#This Row],[Student_ID]],student_internships[],2,0)</f>
        <v>1</v>
      </c>
      <c r="I862" s="1">
        <f>VLOOKUP(Table7[[#This Row],[Student_ID]],Placements!A862:E1861,5,0)</f>
        <v>5.13</v>
      </c>
      <c r="J862" s="1" t="str">
        <f>IF(VLOOKUP(Table7[[#This Row],[Student_ID]],student_data[#All],5,0)&gt;8,"HIGH",IF(VLOOKUP(Table7[[#This Row],[Student_ID]],student_data[#All],5,0)&lt;6.5,"LOW","MEDIUM"))</f>
        <v>MEDIUM</v>
      </c>
    </row>
    <row r="863" spans="1:10" x14ac:dyDescent="0.2">
      <c r="A863" s="1" t="s">
        <v>872</v>
      </c>
      <c r="B863" s="1" t="str">
        <f>VLOOKUP(Table7[[#This Row],[Student_ID]],student_data[#All],2,0)</f>
        <v>Mechanical</v>
      </c>
      <c r="C863" s="1">
        <f>(VLOOKUP(Table7[[#This Row],[Student_ID]],student_data[],5,0)*5)+(VLOOKUP(Table7[[#This Row],[Student_ID]],student_data[],6,0)*3)+(VLOOKUP(Table7[[#This Row],[Student_ID]],student_skills[],6,0)*2)+(VLOOKUP(Table7[[#This Row],[Student_ID]],student_internships[],2,0)*5)</f>
        <v>49.150000000000006</v>
      </c>
      <c r="D863" s="1">
        <f>AVERAGE(VLOOKUP(Table7[[#This Row],[Student_ID]],student_skills[],3,0),VLOOKUP(Table7[[#This Row],[Student_ID]],student_skills[],4,0),VLOOKUP(Table7[[#This Row],[Student_ID]],student_skills[],5,0),VLOOKUP(Table7[[#This Row],[Student_ID]],student_skills[],6,0))</f>
        <v>7.5</v>
      </c>
      <c r="E863" s="1" t="str">
        <f>IF(VLOOKUP(Table7[[#This Row],[Student_ID]],student_internships[#All],2,0)&gt;1,"EXPERIENCED",IF(VLOOKUP(Table7[[#This Row],[Student_ID]],student_internships[#All],2,0)=1,"BEGINNER","NOT EXPERIENCED"))</f>
        <v>NOT EXPERIENCED</v>
      </c>
      <c r="F863" s="1">
        <f>VLOOKUP(Table7[[#This Row],[Student_ID]],student_data[],5,0)</f>
        <v>5.23</v>
      </c>
      <c r="G863" s="1">
        <f>VLOOKUP(Table7[[#This Row],[Student_ID]],student_data[#All],6,0)</f>
        <v>1</v>
      </c>
      <c r="H863" s="1">
        <f>VLOOKUP(Table7[[#This Row],[Student_ID]],student_internships[],2,0)</f>
        <v>0</v>
      </c>
      <c r="I863" s="1">
        <f>VLOOKUP(Table7[[#This Row],[Student_ID]],Placements!A863:E1862,5,0)</f>
        <v>0</v>
      </c>
      <c r="J863" s="1" t="str">
        <f>IF(VLOOKUP(Table7[[#This Row],[Student_ID]],student_data[#All],5,0)&gt;8,"HIGH",IF(VLOOKUP(Table7[[#This Row],[Student_ID]],student_data[#All],5,0)&lt;6.5,"LOW","MEDIUM"))</f>
        <v>LOW</v>
      </c>
    </row>
    <row r="864" spans="1:10" x14ac:dyDescent="0.2">
      <c r="A864" s="1" t="s">
        <v>873</v>
      </c>
      <c r="B864" s="1" t="str">
        <f>VLOOKUP(Table7[[#This Row],[Student_ID]],student_data[#All],2,0)</f>
        <v>Computer Science</v>
      </c>
      <c r="C864" s="1">
        <f>(VLOOKUP(Table7[[#This Row],[Student_ID]],student_data[],5,0)*5)+(VLOOKUP(Table7[[#This Row],[Student_ID]],student_data[],6,0)*3)+(VLOOKUP(Table7[[#This Row],[Student_ID]],student_skills[],6,0)*2)+(VLOOKUP(Table7[[#This Row],[Student_ID]],student_internships[],2,0)*5)</f>
        <v>54.75</v>
      </c>
      <c r="D864" s="1">
        <f>AVERAGE(VLOOKUP(Table7[[#This Row],[Student_ID]],student_skills[],3,0),VLOOKUP(Table7[[#This Row],[Student_ID]],student_skills[],4,0),VLOOKUP(Table7[[#This Row],[Student_ID]],student_skills[],5,0),VLOOKUP(Table7[[#This Row],[Student_ID]],student_skills[],6,0))</f>
        <v>4.5</v>
      </c>
      <c r="E864" s="1" t="str">
        <f>IF(VLOOKUP(Table7[[#This Row],[Student_ID]],student_internships[#All],2,0)&gt;1,"EXPERIENCED",IF(VLOOKUP(Table7[[#This Row],[Student_ID]],student_internships[#All],2,0)=1,"BEGINNER","NOT EXPERIENCED"))</f>
        <v>EXPERIENCED</v>
      </c>
      <c r="F864" s="1">
        <f>VLOOKUP(Table7[[#This Row],[Student_ID]],student_data[],5,0)</f>
        <v>6.75</v>
      </c>
      <c r="G864" s="1">
        <f>VLOOKUP(Table7[[#This Row],[Student_ID]],student_data[#All],6,0)</f>
        <v>1</v>
      </c>
      <c r="H864" s="1">
        <f>VLOOKUP(Table7[[#This Row],[Student_ID]],student_internships[],2,0)</f>
        <v>2</v>
      </c>
      <c r="I864" s="1">
        <f>VLOOKUP(Table7[[#This Row],[Student_ID]],Placements!A864:E1863,5,0)</f>
        <v>4.12</v>
      </c>
      <c r="J864" s="1" t="str">
        <f>IF(VLOOKUP(Table7[[#This Row],[Student_ID]],student_data[#All],5,0)&gt;8,"HIGH",IF(VLOOKUP(Table7[[#This Row],[Student_ID]],student_data[#All],5,0)&lt;6.5,"LOW","MEDIUM"))</f>
        <v>MEDIUM</v>
      </c>
    </row>
    <row r="865" spans="1:10" x14ac:dyDescent="0.2">
      <c r="A865" s="1" t="s">
        <v>874</v>
      </c>
      <c r="B865" s="1" t="str">
        <f>VLOOKUP(Table7[[#This Row],[Student_ID]],student_data[#All],2,0)</f>
        <v>Electronics</v>
      </c>
      <c r="C865" s="1">
        <f>(VLOOKUP(Table7[[#This Row],[Student_ID]],student_data[],5,0)*5)+(VLOOKUP(Table7[[#This Row],[Student_ID]],student_data[],6,0)*3)+(VLOOKUP(Table7[[#This Row],[Student_ID]],student_skills[],6,0)*2)+(VLOOKUP(Table7[[#This Row],[Student_ID]],student_internships[],2,0)*5)</f>
        <v>80.25</v>
      </c>
      <c r="D865" s="1">
        <f>AVERAGE(VLOOKUP(Table7[[#This Row],[Student_ID]],student_skills[],3,0),VLOOKUP(Table7[[#This Row],[Student_ID]],student_skills[],4,0),VLOOKUP(Table7[[#This Row],[Student_ID]],student_skills[],5,0),VLOOKUP(Table7[[#This Row],[Student_ID]],student_skills[],6,0))</f>
        <v>8.5</v>
      </c>
      <c r="E865" s="1" t="str">
        <f>IF(VLOOKUP(Table7[[#This Row],[Student_ID]],student_internships[#All],2,0)&gt;1,"EXPERIENCED",IF(VLOOKUP(Table7[[#This Row],[Student_ID]],student_internships[#All],2,0)=1,"BEGINNER","NOT EXPERIENCED"))</f>
        <v>BEGINNER</v>
      </c>
      <c r="F865" s="1">
        <f>VLOOKUP(Table7[[#This Row],[Student_ID]],student_data[],5,0)</f>
        <v>9.65</v>
      </c>
      <c r="G865" s="1">
        <f>VLOOKUP(Table7[[#This Row],[Student_ID]],student_data[#All],6,0)</f>
        <v>3</v>
      </c>
      <c r="H865" s="1">
        <f>VLOOKUP(Table7[[#This Row],[Student_ID]],student_internships[],2,0)</f>
        <v>1</v>
      </c>
      <c r="I865" s="1">
        <f>VLOOKUP(Table7[[#This Row],[Student_ID]],Placements!A865:E1864,5,0)</f>
        <v>4.3499999999999996</v>
      </c>
      <c r="J865" s="1" t="str">
        <f>IF(VLOOKUP(Table7[[#This Row],[Student_ID]],student_data[#All],5,0)&gt;8,"HIGH",IF(VLOOKUP(Table7[[#This Row],[Student_ID]],student_data[#All],5,0)&lt;6.5,"LOW","MEDIUM"))</f>
        <v>HIGH</v>
      </c>
    </row>
    <row r="866" spans="1:10" x14ac:dyDescent="0.2">
      <c r="A866" s="1" t="s">
        <v>875</v>
      </c>
      <c r="B866" s="1" t="str">
        <f>VLOOKUP(Table7[[#This Row],[Student_ID]],student_data[#All],2,0)</f>
        <v>Mechanical</v>
      </c>
      <c r="C866" s="1">
        <f>(VLOOKUP(Table7[[#This Row],[Student_ID]],student_data[],5,0)*5)+(VLOOKUP(Table7[[#This Row],[Student_ID]],student_data[],6,0)*3)+(VLOOKUP(Table7[[#This Row],[Student_ID]],student_skills[],6,0)*2)+(VLOOKUP(Table7[[#This Row],[Student_ID]],student_internships[],2,0)*5)</f>
        <v>41.5</v>
      </c>
      <c r="D866" s="1">
        <f>AVERAGE(VLOOKUP(Table7[[#This Row],[Student_ID]],student_skills[],3,0),VLOOKUP(Table7[[#This Row],[Student_ID]],student_skills[],4,0),VLOOKUP(Table7[[#This Row],[Student_ID]],student_skills[],5,0),VLOOKUP(Table7[[#This Row],[Student_ID]],student_skills[],6,0))</f>
        <v>4.5</v>
      </c>
      <c r="E866" s="1" t="str">
        <f>IF(VLOOKUP(Table7[[#This Row],[Student_ID]],student_internships[#All],2,0)&gt;1,"EXPERIENCED",IF(VLOOKUP(Table7[[#This Row],[Student_ID]],student_internships[#All],2,0)=1,"BEGINNER","NOT EXPERIENCED"))</f>
        <v>BEGINNER</v>
      </c>
      <c r="F866" s="1">
        <f>VLOOKUP(Table7[[#This Row],[Student_ID]],student_data[],5,0)</f>
        <v>6.9</v>
      </c>
      <c r="G866" s="1">
        <f>VLOOKUP(Table7[[#This Row],[Student_ID]],student_data[#All],6,0)</f>
        <v>0</v>
      </c>
      <c r="H866" s="1">
        <f>VLOOKUP(Table7[[#This Row],[Student_ID]],student_internships[],2,0)</f>
        <v>1</v>
      </c>
      <c r="I866" s="1">
        <f>VLOOKUP(Table7[[#This Row],[Student_ID]],Placements!A866:E1865,5,0)</f>
        <v>4.5</v>
      </c>
      <c r="J866" s="1" t="str">
        <f>IF(VLOOKUP(Table7[[#This Row],[Student_ID]],student_data[#All],5,0)&gt;8,"HIGH",IF(VLOOKUP(Table7[[#This Row],[Student_ID]],student_data[#All],5,0)&lt;6.5,"LOW","MEDIUM"))</f>
        <v>MEDIUM</v>
      </c>
    </row>
    <row r="867" spans="1:10" x14ac:dyDescent="0.2">
      <c r="A867" s="1" t="s">
        <v>876</v>
      </c>
      <c r="B867" s="1" t="str">
        <f>VLOOKUP(Table7[[#This Row],[Student_ID]],student_data[#All],2,0)</f>
        <v>Electronics</v>
      </c>
      <c r="C867" s="1">
        <f>(VLOOKUP(Table7[[#This Row],[Student_ID]],student_data[],5,0)*5)+(VLOOKUP(Table7[[#This Row],[Student_ID]],student_data[],6,0)*3)+(VLOOKUP(Table7[[#This Row],[Student_ID]],student_skills[],6,0)*2)+(VLOOKUP(Table7[[#This Row],[Student_ID]],student_internships[],2,0)*5)</f>
        <v>52.8</v>
      </c>
      <c r="D867" s="1">
        <f>AVERAGE(VLOOKUP(Table7[[#This Row],[Student_ID]],student_skills[],3,0),VLOOKUP(Table7[[#This Row],[Student_ID]],student_skills[],4,0),VLOOKUP(Table7[[#This Row],[Student_ID]],student_skills[],5,0),VLOOKUP(Table7[[#This Row],[Student_ID]],student_skills[],6,0))</f>
        <v>2.75</v>
      </c>
      <c r="E867" s="1" t="str">
        <f>IF(VLOOKUP(Table7[[#This Row],[Student_ID]],student_internships[#All],2,0)&gt;1,"EXPERIENCED",IF(VLOOKUP(Table7[[#This Row],[Student_ID]],student_internships[#All],2,0)=1,"BEGINNER","NOT EXPERIENCED"))</f>
        <v>BEGINNER</v>
      </c>
      <c r="F867" s="1">
        <f>VLOOKUP(Table7[[#This Row],[Student_ID]],student_data[],5,0)</f>
        <v>9.16</v>
      </c>
      <c r="G867" s="1">
        <f>VLOOKUP(Table7[[#This Row],[Student_ID]],student_data[#All],6,0)</f>
        <v>0</v>
      </c>
      <c r="H867" s="1">
        <f>VLOOKUP(Table7[[#This Row],[Student_ID]],student_internships[],2,0)</f>
        <v>1</v>
      </c>
      <c r="I867" s="1">
        <f>VLOOKUP(Table7[[#This Row],[Student_ID]],Placements!A867:E1866,5,0)</f>
        <v>4.1900000000000004</v>
      </c>
      <c r="J867" s="1" t="str">
        <f>IF(VLOOKUP(Table7[[#This Row],[Student_ID]],student_data[#All],5,0)&gt;8,"HIGH",IF(VLOOKUP(Table7[[#This Row],[Student_ID]],student_data[#All],5,0)&lt;6.5,"LOW","MEDIUM"))</f>
        <v>HIGH</v>
      </c>
    </row>
    <row r="868" spans="1:10" x14ac:dyDescent="0.2">
      <c r="A868" s="1" t="s">
        <v>877</v>
      </c>
      <c r="B868" s="1" t="str">
        <f>VLOOKUP(Table7[[#This Row],[Student_ID]],student_data[#All],2,0)</f>
        <v>Mechanical</v>
      </c>
      <c r="C868" s="1">
        <f>(VLOOKUP(Table7[[#This Row],[Student_ID]],student_data[],5,0)*5)+(VLOOKUP(Table7[[#This Row],[Student_ID]],student_data[],6,0)*3)+(VLOOKUP(Table7[[#This Row],[Student_ID]],student_skills[],6,0)*2)+(VLOOKUP(Table7[[#This Row],[Student_ID]],student_internships[],2,0)*5)</f>
        <v>71.050000000000011</v>
      </c>
      <c r="D868" s="1">
        <f>AVERAGE(VLOOKUP(Table7[[#This Row],[Student_ID]],student_skills[],3,0),VLOOKUP(Table7[[#This Row],[Student_ID]],student_skills[],4,0),VLOOKUP(Table7[[#This Row],[Student_ID]],student_skills[],5,0),VLOOKUP(Table7[[#This Row],[Student_ID]],student_skills[],6,0))</f>
        <v>7</v>
      </c>
      <c r="E868" s="1" t="str">
        <f>IF(VLOOKUP(Table7[[#This Row],[Student_ID]],student_internships[#All],2,0)&gt;1,"EXPERIENCED",IF(VLOOKUP(Table7[[#This Row],[Student_ID]],student_internships[#All],2,0)=1,"BEGINNER","NOT EXPERIENCED"))</f>
        <v>BEGINNER</v>
      </c>
      <c r="F868" s="1">
        <f>VLOOKUP(Table7[[#This Row],[Student_ID]],student_data[],5,0)</f>
        <v>9.2100000000000009</v>
      </c>
      <c r="G868" s="1">
        <f>VLOOKUP(Table7[[#This Row],[Student_ID]],student_data[#All],6,0)</f>
        <v>2</v>
      </c>
      <c r="H868" s="1">
        <f>VLOOKUP(Table7[[#This Row],[Student_ID]],student_internships[],2,0)</f>
        <v>1</v>
      </c>
      <c r="I868" s="1">
        <f>VLOOKUP(Table7[[#This Row],[Student_ID]],Placements!A868:E1867,5,0)</f>
        <v>4.1100000000000003</v>
      </c>
      <c r="J868" s="1" t="str">
        <f>IF(VLOOKUP(Table7[[#This Row],[Student_ID]],student_data[#All],5,0)&gt;8,"HIGH",IF(VLOOKUP(Table7[[#This Row],[Student_ID]],student_data[#All],5,0)&lt;6.5,"LOW","MEDIUM"))</f>
        <v>HIGH</v>
      </c>
    </row>
    <row r="869" spans="1:10" x14ac:dyDescent="0.2">
      <c r="A869" s="1" t="s">
        <v>878</v>
      </c>
      <c r="B869" s="1" t="str">
        <f>VLOOKUP(Table7[[#This Row],[Student_ID]],student_data[#All],2,0)</f>
        <v>Information Technology</v>
      </c>
      <c r="C869" s="1">
        <f>(VLOOKUP(Table7[[#This Row],[Student_ID]],student_data[],5,0)*5)+(VLOOKUP(Table7[[#This Row],[Student_ID]],student_data[],6,0)*3)+(VLOOKUP(Table7[[#This Row],[Student_ID]],student_skills[],6,0)*2)+(VLOOKUP(Table7[[#This Row],[Student_ID]],student_internships[],2,0)*5)</f>
        <v>54.35</v>
      </c>
      <c r="D869" s="1">
        <f>AVERAGE(VLOOKUP(Table7[[#This Row],[Student_ID]],student_skills[],3,0),VLOOKUP(Table7[[#This Row],[Student_ID]],student_skills[],4,0),VLOOKUP(Table7[[#This Row],[Student_ID]],student_skills[],5,0),VLOOKUP(Table7[[#This Row],[Student_ID]],student_skills[],6,0))</f>
        <v>5</v>
      </c>
      <c r="E869" s="1" t="str">
        <f>IF(VLOOKUP(Table7[[#This Row],[Student_ID]],student_internships[#All],2,0)&gt;1,"EXPERIENCED",IF(VLOOKUP(Table7[[#This Row],[Student_ID]],student_internships[#All],2,0)=1,"BEGINNER","NOT EXPERIENCED"))</f>
        <v>BEGINNER</v>
      </c>
      <c r="F869" s="1">
        <f>VLOOKUP(Table7[[#This Row],[Student_ID]],student_data[],5,0)</f>
        <v>6.87</v>
      </c>
      <c r="G869" s="1">
        <f>VLOOKUP(Table7[[#This Row],[Student_ID]],student_data[#All],6,0)</f>
        <v>3</v>
      </c>
      <c r="H869" s="1">
        <f>VLOOKUP(Table7[[#This Row],[Student_ID]],student_internships[],2,0)</f>
        <v>1</v>
      </c>
      <c r="I869" s="1">
        <f>VLOOKUP(Table7[[#This Row],[Student_ID]],Placements!A869:E1868,5,0)</f>
        <v>4.53</v>
      </c>
      <c r="J869" s="1" t="str">
        <f>IF(VLOOKUP(Table7[[#This Row],[Student_ID]],student_data[#All],5,0)&gt;8,"HIGH",IF(VLOOKUP(Table7[[#This Row],[Student_ID]],student_data[#All],5,0)&lt;6.5,"LOW","MEDIUM"))</f>
        <v>MEDIUM</v>
      </c>
    </row>
    <row r="870" spans="1:10" x14ac:dyDescent="0.2">
      <c r="A870" s="1" t="s">
        <v>879</v>
      </c>
      <c r="B870" s="1" t="str">
        <f>VLOOKUP(Table7[[#This Row],[Student_ID]],student_data[#All],2,0)</f>
        <v>Civil</v>
      </c>
      <c r="C870" s="1">
        <f>(VLOOKUP(Table7[[#This Row],[Student_ID]],student_data[],5,0)*5)+(VLOOKUP(Table7[[#This Row],[Student_ID]],student_data[],6,0)*3)+(VLOOKUP(Table7[[#This Row],[Student_ID]],student_skills[],6,0)*2)+(VLOOKUP(Table7[[#This Row],[Student_ID]],student_internships[],2,0)*5)</f>
        <v>60.8</v>
      </c>
      <c r="D870" s="1">
        <f>AVERAGE(VLOOKUP(Table7[[#This Row],[Student_ID]],student_skills[],3,0),VLOOKUP(Table7[[#This Row],[Student_ID]],student_skills[],4,0),VLOOKUP(Table7[[#This Row],[Student_ID]],student_skills[],5,0),VLOOKUP(Table7[[#This Row],[Student_ID]],student_skills[],6,0))</f>
        <v>7.5</v>
      </c>
      <c r="E870" s="1" t="str">
        <f>IF(VLOOKUP(Table7[[#This Row],[Student_ID]],student_internships[#All],2,0)&gt;1,"EXPERIENCED",IF(VLOOKUP(Table7[[#This Row],[Student_ID]],student_internships[#All],2,0)=1,"BEGINNER","NOT EXPERIENCED"))</f>
        <v>NOT EXPERIENCED</v>
      </c>
      <c r="F870" s="1">
        <f>VLOOKUP(Table7[[#This Row],[Student_ID]],student_data[],5,0)</f>
        <v>8.16</v>
      </c>
      <c r="G870" s="1">
        <f>VLOOKUP(Table7[[#This Row],[Student_ID]],student_data[#All],6,0)</f>
        <v>0</v>
      </c>
      <c r="H870" s="1">
        <f>VLOOKUP(Table7[[#This Row],[Student_ID]],student_internships[],2,0)</f>
        <v>0</v>
      </c>
      <c r="I870" s="1">
        <f>VLOOKUP(Table7[[#This Row],[Student_ID]],Placements!A870:E1869,5,0)</f>
        <v>5.13</v>
      </c>
      <c r="J870" s="1" t="str">
        <f>IF(VLOOKUP(Table7[[#This Row],[Student_ID]],student_data[#All],5,0)&gt;8,"HIGH",IF(VLOOKUP(Table7[[#This Row],[Student_ID]],student_data[#All],5,0)&lt;6.5,"LOW","MEDIUM"))</f>
        <v>HIGH</v>
      </c>
    </row>
    <row r="871" spans="1:10" x14ac:dyDescent="0.2">
      <c r="A871" s="1" t="s">
        <v>880</v>
      </c>
      <c r="B871" s="1" t="str">
        <f>VLOOKUP(Table7[[#This Row],[Student_ID]],student_data[#All],2,0)</f>
        <v>Information Technology</v>
      </c>
      <c r="C871" s="1">
        <f>(VLOOKUP(Table7[[#This Row],[Student_ID]],student_data[],5,0)*5)+(VLOOKUP(Table7[[#This Row],[Student_ID]],student_data[],6,0)*3)+(VLOOKUP(Table7[[#This Row],[Student_ID]],student_skills[],6,0)*2)+(VLOOKUP(Table7[[#This Row],[Student_ID]],student_internships[],2,0)*5)</f>
        <v>40.400000000000006</v>
      </c>
      <c r="D871" s="1">
        <f>AVERAGE(VLOOKUP(Table7[[#This Row],[Student_ID]],student_skills[],3,0),VLOOKUP(Table7[[#This Row],[Student_ID]],student_skills[],4,0),VLOOKUP(Table7[[#This Row],[Student_ID]],student_skills[],5,0),VLOOKUP(Table7[[#This Row],[Student_ID]],student_skills[],6,0))</f>
        <v>5.75</v>
      </c>
      <c r="E871" s="1" t="str">
        <f>IF(VLOOKUP(Table7[[#This Row],[Student_ID]],student_internships[#All],2,0)&gt;1,"EXPERIENCED",IF(VLOOKUP(Table7[[#This Row],[Student_ID]],student_internships[#All],2,0)=1,"BEGINNER","NOT EXPERIENCED"))</f>
        <v>NOT EXPERIENCED</v>
      </c>
      <c r="F871" s="1">
        <f>VLOOKUP(Table7[[#This Row],[Student_ID]],student_data[],5,0)</f>
        <v>5.48</v>
      </c>
      <c r="G871" s="1">
        <f>VLOOKUP(Table7[[#This Row],[Student_ID]],student_data[#All],6,0)</f>
        <v>3</v>
      </c>
      <c r="H871" s="1">
        <f>VLOOKUP(Table7[[#This Row],[Student_ID]],student_internships[],2,0)</f>
        <v>0</v>
      </c>
      <c r="I871" s="1">
        <f>VLOOKUP(Table7[[#This Row],[Student_ID]],Placements!A871:E1870,5,0)</f>
        <v>0</v>
      </c>
      <c r="J871" s="1" t="str">
        <f>IF(VLOOKUP(Table7[[#This Row],[Student_ID]],student_data[#All],5,0)&gt;8,"HIGH",IF(VLOOKUP(Table7[[#This Row],[Student_ID]],student_data[#All],5,0)&lt;6.5,"LOW","MEDIUM"))</f>
        <v>LOW</v>
      </c>
    </row>
    <row r="872" spans="1:10" x14ac:dyDescent="0.2">
      <c r="A872" s="1" t="s">
        <v>881</v>
      </c>
      <c r="B872" s="1" t="str">
        <f>VLOOKUP(Table7[[#This Row],[Student_ID]],student_data[#All],2,0)</f>
        <v>Electronics</v>
      </c>
      <c r="C872" s="1">
        <f>(VLOOKUP(Table7[[#This Row],[Student_ID]],student_data[],5,0)*5)+(VLOOKUP(Table7[[#This Row],[Student_ID]],student_data[],6,0)*3)+(VLOOKUP(Table7[[#This Row],[Student_ID]],student_skills[],6,0)*2)+(VLOOKUP(Table7[[#This Row],[Student_ID]],student_internships[],2,0)*5)</f>
        <v>67.599999999999994</v>
      </c>
      <c r="D872" s="1">
        <f>AVERAGE(VLOOKUP(Table7[[#This Row],[Student_ID]],student_skills[],3,0),VLOOKUP(Table7[[#This Row],[Student_ID]],student_skills[],4,0),VLOOKUP(Table7[[#This Row],[Student_ID]],student_skills[],5,0),VLOOKUP(Table7[[#This Row],[Student_ID]],student_skills[],6,0))</f>
        <v>5.5</v>
      </c>
      <c r="E872" s="1" t="str">
        <f>IF(VLOOKUP(Table7[[#This Row],[Student_ID]],student_internships[#All],2,0)&gt;1,"EXPERIENCED",IF(VLOOKUP(Table7[[#This Row],[Student_ID]],student_internships[#All],2,0)=1,"BEGINNER","NOT EXPERIENCED"))</f>
        <v>EXPERIENCED</v>
      </c>
      <c r="F872" s="1">
        <f>VLOOKUP(Table7[[#This Row],[Student_ID]],student_data[],5,0)</f>
        <v>5.52</v>
      </c>
      <c r="G872" s="1">
        <f>VLOOKUP(Table7[[#This Row],[Student_ID]],student_data[#All],6,0)</f>
        <v>4</v>
      </c>
      <c r="H872" s="1">
        <f>VLOOKUP(Table7[[#This Row],[Student_ID]],student_internships[],2,0)</f>
        <v>2</v>
      </c>
      <c r="I872" s="1">
        <f>VLOOKUP(Table7[[#This Row],[Student_ID]],Placements!A872:E1871,5,0)</f>
        <v>4.5</v>
      </c>
      <c r="J872" s="1" t="str">
        <f>IF(VLOOKUP(Table7[[#This Row],[Student_ID]],student_data[#All],5,0)&gt;8,"HIGH",IF(VLOOKUP(Table7[[#This Row],[Student_ID]],student_data[#All],5,0)&lt;6.5,"LOW","MEDIUM"))</f>
        <v>LOW</v>
      </c>
    </row>
    <row r="873" spans="1:10" x14ac:dyDescent="0.2">
      <c r="A873" s="1" t="s">
        <v>882</v>
      </c>
      <c r="B873" s="1" t="str">
        <f>VLOOKUP(Table7[[#This Row],[Student_ID]],student_data[#All],2,0)</f>
        <v>Civil</v>
      </c>
      <c r="C873" s="1">
        <f>(VLOOKUP(Table7[[#This Row],[Student_ID]],student_data[],5,0)*5)+(VLOOKUP(Table7[[#This Row],[Student_ID]],student_data[],6,0)*3)+(VLOOKUP(Table7[[#This Row],[Student_ID]],student_skills[],6,0)*2)+(VLOOKUP(Table7[[#This Row],[Student_ID]],student_internships[],2,0)*5)</f>
        <v>50.2</v>
      </c>
      <c r="D873" s="1">
        <f>AVERAGE(VLOOKUP(Table7[[#This Row],[Student_ID]],student_skills[],3,0),VLOOKUP(Table7[[#This Row],[Student_ID]],student_skills[],4,0),VLOOKUP(Table7[[#This Row],[Student_ID]],student_skills[],5,0),VLOOKUP(Table7[[#This Row],[Student_ID]],student_skills[],6,0))</f>
        <v>4</v>
      </c>
      <c r="E873" s="1" t="str">
        <f>IF(VLOOKUP(Table7[[#This Row],[Student_ID]],student_internships[#All],2,0)&gt;1,"EXPERIENCED",IF(VLOOKUP(Table7[[#This Row],[Student_ID]],student_internships[#All],2,0)=1,"BEGINNER","NOT EXPERIENCED"))</f>
        <v>EXPERIENCED</v>
      </c>
      <c r="F873" s="1">
        <f>VLOOKUP(Table7[[#This Row],[Student_ID]],student_data[],5,0)</f>
        <v>5.24</v>
      </c>
      <c r="G873" s="1">
        <f>VLOOKUP(Table7[[#This Row],[Student_ID]],student_data[#All],6,0)</f>
        <v>1</v>
      </c>
      <c r="H873" s="1">
        <f>VLOOKUP(Table7[[#This Row],[Student_ID]],student_internships[],2,0)</f>
        <v>3</v>
      </c>
      <c r="I873" s="1">
        <f>VLOOKUP(Table7[[#This Row],[Student_ID]],Placements!A873:E1872,5,0)</f>
        <v>4.3499999999999996</v>
      </c>
      <c r="J873" s="1" t="str">
        <f>IF(VLOOKUP(Table7[[#This Row],[Student_ID]],student_data[#All],5,0)&gt;8,"HIGH",IF(VLOOKUP(Table7[[#This Row],[Student_ID]],student_data[#All],5,0)&lt;6.5,"LOW","MEDIUM"))</f>
        <v>LOW</v>
      </c>
    </row>
    <row r="874" spans="1:10" x14ac:dyDescent="0.2">
      <c r="A874" s="1" t="s">
        <v>883</v>
      </c>
      <c r="B874" s="1" t="str">
        <f>VLOOKUP(Table7[[#This Row],[Student_ID]],student_data[#All],2,0)</f>
        <v>Mechanical</v>
      </c>
      <c r="C874" s="1">
        <f>(VLOOKUP(Table7[[#This Row],[Student_ID]],student_data[],5,0)*5)+(VLOOKUP(Table7[[#This Row],[Student_ID]],student_data[],6,0)*3)+(VLOOKUP(Table7[[#This Row],[Student_ID]],student_skills[],6,0)*2)+(VLOOKUP(Table7[[#This Row],[Student_ID]],student_internships[],2,0)*5)</f>
        <v>51.55</v>
      </c>
      <c r="D874" s="1">
        <f>AVERAGE(VLOOKUP(Table7[[#This Row],[Student_ID]],student_skills[],3,0),VLOOKUP(Table7[[#This Row],[Student_ID]],student_skills[],4,0),VLOOKUP(Table7[[#This Row],[Student_ID]],student_skills[],5,0),VLOOKUP(Table7[[#This Row],[Student_ID]],student_skills[],6,0))</f>
        <v>4.75</v>
      </c>
      <c r="E874" s="1" t="str">
        <f>IF(VLOOKUP(Table7[[#This Row],[Student_ID]],student_internships[#All],2,0)&gt;1,"EXPERIENCED",IF(VLOOKUP(Table7[[#This Row],[Student_ID]],student_internships[#All],2,0)=1,"BEGINNER","NOT EXPERIENCED"))</f>
        <v>BEGINNER</v>
      </c>
      <c r="F874" s="1">
        <f>VLOOKUP(Table7[[#This Row],[Student_ID]],student_data[],5,0)</f>
        <v>7.91</v>
      </c>
      <c r="G874" s="1">
        <f>VLOOKUP(Table7[[#This Row],[Student_ID]],student_data[#All],6,0)</f>
        <v>1</v>
      </c>
      <c r="H874" s="1">
        <f>VLOOKUP(Table7[[#This Row],[Student_ID]],student_internships[],2,0)</f>
        <v>1</v>
      </c>
      <c r="I874" s="1">
        <f>VLOOKUP(Table7[[#This Row],[Student_ID]],Placements!A874:E1873,5,0)</f>
        <v>4.1900000000000004</v>
      </c>
      <c r="J874" s="1" t="str">
        <f>IF(VLOOKUP(Table7[[#This Row],[Student_ID]],student_data[#All],5,0)&gt;8,"HIGH",IF(VLOOKUP(Table7[[#This Row],[Student_ID]],student_data[#All],5,0)&lt;6.5,"LOW","MEDIUM"))</f>
        <v>MEDIUM</v>
      </c>
    </row>
    <row r="875" spans="1:10" x14ac:dyDescent="0.2">
      <c r="A875" s="1" t="s">
        <v>884</v>
      </c>
      <c r="B875" s="1" t="str">
        <f>VLOOKUP(Table7[[#This Row],[Student_ID]],student_data[#All],2,0)</f>
        <v>Civil</v>
      </c>
      <c r="C875" s="1">
        <f>(VLOOKUP(Table7[[#This Row],[Student_ID]],student_data[],5,0)*5)+(VLOOKUP(Table7[[#This Row],[Student_ID]],student_data[],6,0)*3)+(VLOOKUP(Table7[[#This Row],[Student_ID]],student_skills[],6,0)*2)+(VLOOKUP(Table7[[#This Row],[Student_ID]],student_internships[],2,0)*5)</f>
        <v>54.65</v>
      </c>
      <c r="D875" s="1">
        <f>AVERAGE(VLOOKUP(Table7[[#This Row],[Student_ID]],student_skills[],3,0),VLOOKUP(Table7[[#This Row],[Student_ID]],student_skills[],4,0),VLOOKUP(Table7[[#This Row],[Student_ID]],student_skills[],5,0),VLOOKUP(Table7[[#This Row],[Student_ID]],student_skills[],6,0))</f>
        <v>5</v>
      </c>
      <c r="E875" s="1" t="str">
        <f>IF(VLOOKUP(Table7[[#This Row],[Student_ID]],student_internships[#All],2,0)&gt;1,"EXPERIENCED",IF(VLOOKUP(Table7[[#This Row],[Student_ID]],student_internships[#All],2,0)=1,"BEGINNER","NOT EXPERIENCED"))</f>
        <v>NOT EXPERIENCED</v>
      </c>
      <c r="F875" s="1">
        <f>VLOOKUP(Table7[[#This Row],[Student_ID]],student_data[],5,0)</f>
        <v>7.13</v>
      </c>
      <c r="G875" s="1">
        <f>VLOOKUP(Table7[[#This Row],[Student_ID]],student_data[#All],6,0)</f>
        <v>1</v>
      </c>
      <c r="H875" s="1">
        <f>VLOOKUP(Table7[[#This Row],[Student_ID]],student_internships[],2,0)</f>
        <v>0</v>
      </c>
      <c r="I875" s="1">
        <f>VLOOKUP(Table7[[#This Row],[Student_ID]],Placements!A875:E1874,5,0)</f>
        <v>5.13</v>
      </c>
      <c r="J875" s="1" t="str">
        <f>IF(VLOOKUP(Table7[[#This Row],[Student_ID]],student_data[#All],5,0)&gt;8,"HIGH",IF(VLOOKUP(Table7[[#This Row],[Student_ID]],student_data[#All],5,0)&lt;6.5,"LOW","MEDIUM"))</f>
        <v>MEDIUM</v>
      </c>
    </row>
    <row r="876" spans="1:10" x14ac:dyDescent="0.2">
      <c r="A876" s="1" t="s">
        <v>885</v>
      </c>
      <c r="B876" s="1" t="str">
        <f>VLOOKUP(Table7[[#This Row],[Student_ID]],student_data[#All],2,0)</f>
        <v>Computer Science</v>
      </c>
      <c r="C876" s="1">
        <f>(VLOOKUP(Table7[[#This Row],[Student_ID]],student_data[],5,0)*5)+(VLOOKUP(Table7[[#This Row],[Student_ID]],student_data[],6,0)*3)+(VLOOKUP(Table7[[#This Row],[Student_ID]],student_skills[],6,0)*2)+(VLOOKUP(Table7[[#This Row],[Student_ID]],student_internships[],2,0)*5)</f>
        <v>72.7</v>
      </c>
      <c r="D876" s="1">
        <f>AVERAGE(VLOOKUP(Table7[[#This Row],[Student_ID]],student_skills[],3,0),VLOOKUP(Table7[[#This Row],[Student_ID]],student_skills[],4,0),VLOOKUP(Table7[[#This Row],[Student_ID]],student_skills[],5,0),VLOOKUP(Table7[[#This Row],[Student_ID]],student_skills[],6,0))</f>
        <v>6.5</v>
      </c>
      <c r="E876" s="1" t="str">
        <f>IF(VLOOKUP(Table7[[#This Row],[Student_ID]],student_internships[#All],2,0)&gt;1,"EXPERIENCED",IF(VLOOKUP(Table7[[#This Row],[Student_ID]],student_internships[#All],2,0)=1,"BEGINNER","NOT EXPERIENCED"))</f>
        <v>BEGINNER</v>
      </c>
      <c r="F876" s="1">
        <f>VLOOKUP(Table7[[#This Row],[Student_ID]],student_data[],5,0)</f>
        <v>7.74</v>
      </c>
      <c r="G876" s="1">
        <f>VLOOKUP(Table7[[#This Row],[Student_ID]],student_data[#All],6,0)</f>
        <v>3</v>
      </c>
      <c r="H876" s="1">
        <f>VLOOKUP(Table7[[#This Row],[Student_ID]],student_internships[],2,0)</f>
        <v>1</v>
      </c>
      <c r="I876" s="1">
        <f>VLOOKUP(Table7[[#This Row],[Student_ID]],Placements!A876:E1875,5,0)</f>
        <v>4.12</v>
      </c>
      <c r="J876" s="1" t="str">
        <f>IF(VLOOKUP(Table7[[#This Row],[Student_ID]],student_data[#All],5,0)&gt;8,"HIGH",IF(VLOOKUP(Table7[[#This Row],[Student_ID]],student_data[#All],5,0)&lt;6.5,"LOW","MEDIUM"))</f>
        <v>MEDIUM</v>
      </c>
    </row>
    <row r="877" spans="1:10" x14ac:dyDescent="0.2">
      <c r="A877" s="1" t="s">
        <v>886</v>
      </c>
      <c r="B877" s="1" t="str">
        <f>VLOOKUP(Table7[[#This Row],[Student_ID]],student_data[#All],2,0)</f>
        <v>Civil</v>
      </c>
      <c r="C877" s="1">
        <f>(VLOOKUP(Table7[[#This Row],[Student_ID]],student_data[],5,0)*5)+(VLOOKUP(Table7[[#This Row],[Student_ID]],student_data[],6,0)*3)+(VLOOKUP(Table7[[#This Row],[Student_ID]],student_skills[],6,0)*2)+(VLOOKUP(Table7[[#This Row],[Student_ID]],student_internships[],2,0)*5)</f>
        <v>64.050000000000011</v>
      </c>
      <c r="D877" s="1">
        <f>AVERAGE(VLOOKUP(Table7[[#This Row],[Student_ID]],student_skills[],3,0),VLOOKUP(Table7[[#This Row],[Student_ID]],student_skills[],4,0),VLOOKUP(Table7[[#This Row],[Student_ID]],student_skills[],5,0),VLOOKUP(Table7[[#This Row],[Student_ID]],student_skills[],6,0))</f>
        <v>4.25</v>
      </c>
      <c r="E877" s="1" t="str">
        <f>IF(VLOOKUP(Table7[[#This Row],[Student_ID]],student_internships[#All],2,0)&gt;1,"EXPERIENCED",IF(VLOOKUP(Table7[[#This Row],[Student_ID]],student_internships[#All],2,0)=1,"BEGINNER","NOT EXPERIENCED"))</f>
        <v>BEGINNER</v>
      </c>
      <c r="F877" s="1">
        <f>VLOOKUP(Table7[[#This Row],[Student_ID]],student_data[],5,0)</f>
        <v>7.61</v>
      </c>
      <c r="G877" s="1">
        <f>VLOOKUP(Table7[[#This Row],[Student_ID]],student_data[#All],6,0)</f>
        <v>3</v>
      </c>
      <c r="H877" s="1">
        <f>VLOOKUP(Table7[[#This Row],[Student_ID]],student_internships[],2,0)</f>
        <v>1</v>
      </c>
      <c r="I877" s="1">
        <f>VLOOKUP(Table7[[#This Row],[Student_ID]],Placements!A877:E1876,5,0)</f>
        <v>4.5599999999999996</v>
      </c>
      <c r="J877" s="1" t="str">
        <f>IF(VLOOKUP(Table7[[#This Row],[Student_ID]],student_data[#All],5,0)&gt;8,"HIGH",IF(VLOOKUP(Table7[[#This Row],[Student_ID]],student_data[#All],5,0)&lt;6.5,"LOW","MEDIUM"))</f>
        <v>MEDIUM</v>
      </c>
    </row>
    <row r="878" spans="1:10" x14ac:dyDescent="0.2">
      <c r="A878" s="1" t="s">
        <v>887</v>
      </c>
      <c r="B878" s="1" t="str">
        <f>VLOOKUP(Table7[[#This Row],[Student_ID]],student_data[#All],2,0)</f>
        <v>Computer Science</v>
      </c>
      <c r="C878" s="1">
        <f>(VLOOKUP(Table7[[#This Row],[Student_ID]],student_data[],5,0)*5)+(VLOOKUP(Table7[[#This Row],[Student_ID]],student_data[],6,0)*3)+(VLOOKUP(Table7[[#This Row],[Student_ID]],student_skills[],6,0)*2)+(VLOOKUP(Table7[[#This Row],[Student_ID]],student_internships[],2,0)*5)</f>
        <v>51.75</v>
      </c>
      <c r="D878" s="1">
        <f>AVERAGE(VLOOKUP(Table7[[#This Row],[Student_ID]],student_skills[],3,0),VLOOKUP(Table7[[#This Row],[Student_ID]],student_skills[],4,0),VLOOKUP(Table7[[#This Row],[Student_ID]],student_skills[],5,0),VLOOKUP(Table7[[#This Row],[Student_ID]],student_skills[],6,0))</f>
        <v>5</v>
      </c>
      <c r="E878" s="1" t="str">
        <f>IF(VLOOKUP(Table7[[#This Row],[Student_ID]],student_internships[#All],2,0)&gt;1,"EXPERIENCED",IF(VLOOKUP(Table7[[#This Row],[Student_ID]],student_internships[#All],2,0)=1,"BEGINNER","NOT EXPERIENCED"))</f>
        <v>NOT EXPERIENCED</v>
      </c>
      <c r="F878" s="1">
        <f>VLOOKUP(Table7[[#This Row],[Student_ID]],student_data[],5,0)</f>
        <v>6.75</v>
      </c>
      <c r="G878" s="1">
        <f>VLOOKUP(Table7[[#This Row],[Student_ID]],student_data[#All],6,0)</f>
        <v>2</v>
      </c>
      <c r="H878" s="1">
        <f>VLOOKUP(Table7[[#This Row],[Student_ID]],student_internships[],2,0)</f>
        <v>0</v>
      </c>
      <c r="I878" s="1">
        <f>VLOOKUP(Table7[[#This Row],[Student_ID]],Placements!A878:E1877,5,0)</f>
        <v>0</v>
      </c>
      <c r="J878" s="1" t="str">
        <f>IF(VLOOKUP(Table7[[#This Row],[Student_ID]],student_data[#All],5,0)&gt;8,"HIGH",IF(VLOOKUP(Table7[[#This Row],[Student_ID]],student_data[#All],5,0)&lt;6.5,"LOW","MEDIUM"))</f>
        <v>MEDIUM</v>
      </c>
    </row>
    <row r="879" spans="1:10" x14ac:dyDescent="0.2">
      <c r="A879" s="1" t="s">
        <v>888</v>
      </c>
      <c r="B879" s="1" t="str">
        <f>VLOOKUP(Table7[[#This Row],[Student_ID]],student_data[#All],2,0)</f>
        <v>Civil</v>
      </c>
      <c r="C879" s="1">
        <f>(VLOOKUP(Table7[[#This Row],[Student_ID]],student_data[],5,0)*5)+(VLOOKUP(Table7[[#This Row],[Student_ID]],student_data[],6,0)*3)+(VLOOKUP(Table7[[#This Row],[Student_ID]],student_skills[],6,0)*2)+(VLOOKUP(Table7[[#This Row],[Student_ID]],student_internships[],2,0)*5)</f>
        <v>64.95</v>
      </c>
      <c r="D879" s="1">
        <f>AVERAGE(VLOOKUP(Table7[[#This Row],[Student_ID]],student_skills[],3,0),VLOOKUP(Table7[[#This Row],[Student_ID]],student_skills[],4,0),VLOOKUP(Table7[[#This Row],[Student_ID]],student_skills[],5,0),VLOOKUP(Table7[[#This Row],[Student_ID]],student_skills[],6,0))</f>
        <v>6.75</v>
      </c>
      <c r="E879" s="1" t="str">
        <f>IF(VLOOKUP(Table7[[#This Row],[Student_ID]],student_internships[#All],2,0)&gt;1,"EXPERIENCED",IF(VLOOKUP(Table7[[#This Row],[Student_ID]],student_internships[#All],2,0)=1,"BEGINNER","NOT EXPERIENCED"))</f>
        <v>NOT EXPERIENCED</v>
      </c>
      <c r="F879" s="1">
        <f>VLOOKUP(Table7[[#This Row],[Student_ID]],student_data[],5,0)</f>
        <v>8.39</v>
      </c>
      <c r="G879" s="1">
        <f>VLOOKUP(Table7[[#This Row],[Student_ID]],student_data[#All],6,0)</f>
        <v>1</v>
      </c>
      <c r="H879" s="1">
        <f>VLOOKUP(Table7[[#This Row],[Student_ID]],student_internships[],2,0)</f>
        <v>0</v>
      </c>
      <c r="I879" s="1">
        <f>VLOOKUP(Table7[[#This Row],[Student_ID]],Placements!A879:E1878,5,0)</f>
        <v>5.13</v>
      </c>
      <c r="J879" s="1" t="str">
        <f>IF(VLOOKUP(Table7[[#This Row],[Student_ID]],student_data[#All],5,0)&gt;8,"HIGH",IF(VLOOKUP(Table7[[#This Row],[Student_ID]],student_data[#All],5,0)&lt;6.5,"LOW","MEDIUM"))</f>
        <v>HIGH</v>
      </c>
    </row>
    <row r="880" spans="1:10" x14ac:dyDescent="0.2">
      <c r="A880" s="1" t="s">
        <v>889</v>
      </c>
      <c r="B880" s="1" t="str">
        <f>VLOOKUP(Table7[[#This Row],[Student_ID]],student_data[#All],2,0)</f>
        <v>Computer Science</v>
      </c>
      <c r="C880" s="1">
        <f>(VLOOKUP(Table7[[#This Row],[Student_ID]],student_data[],5,0)*5)+(VLOOKUP(Table7[[#This Row],[Student_ID]],student_data[],6,0)*3)+(VLOOKUP(Table7[[#This Row],[Student_ID]],student_skills[],6,0)*2)+(VLOOKUP(Table7[[#This Row],[Student_ID]],student_internships[],2,0)*5)</f>
        <v>73.949999999999989</v>
      </c>
      <c r="D880" s="1">
        <f>AVERAGE(VLOOKUP(Table7[[#This Row],[Student_ID]],student_skills[],3,0),VLOOKUP(Table7[[#This Row],[Student_ID]],student_skills[],4,0),VLOOKUP(Table7[[#This Row],[Student_ID]],student_skills[],5,0),VLOOKUP(Table7[[#This Row],[Student_ID]],student_skills[],6,0))</f>
        <v>4.25</v>
      </c>
      <c r="E880" s="1" t="str">
        <f>IF(VLOOKUP(Table7[[#This Row],[Student_ID]],student_internships[#All],2,0)&gt;1,"EXPERIENCED",IF(VLOOKUP(Table7[[#This Row],[Student_ID]],student_internships[#All],2,0)=1,"BEGINNER","NOT EXPERIENCED"))</f>
        <v>EXPERIENCED</v>
      </c>
      <c r="F880" s="1">
        <f>VLOOKUP(Table7[[#This Row],[Student_ID]],student_data[],5,0)</f>
        <v>8.7899999999999991</v>
      </c>
      <c r="G880" s="1">
        <f>VLOOKUP(Table7[[#This Row],[Student_ID]],student_data[#All],6,0)</f>
        <v>2</v>
      </c>
      <c r="H880" s="1">
        <f>VLOOKUP(Table7[[#This Row],[Student_ID]],student_internships[],2,0)</f>
        <v>2</v>
      </c>
      <c r="I880" s="1">
        <f>VLOOKUP(Table7[[#This Row],[Student_ID]],Placements!A880:E1879,5,0)</f>
        <v>5.19</v>
      </c>
      <c r="J880" s="1" t="str">
        <f>IF(VLOOKUP(Table7[[#This Row],[Student_ID]],student_data[#All],5,0)&gt;8,"HIGH",IF(VLOOKUP(Table7[[#This Row],[Student_ID]],student_data[#All],5,0)&lt;6.5,"LOW","MEDIUM"))</f>
        <v>HIGH</v>
      </c>
    </row>
    <row r="881" spans="1:10" x14ac:dyDescent="0.2">
      <c r="A881" s="1" t="s">
        <v>890</v>
      </c>
      <c r="B881" s="1" t="str">
        <f>VLOOKUP(Table7[[#This Row],[Student_ID]],student_data[#All],2,0)</f>
        <v>Electronics</v>
      </c>
      <c r="C881" s="1">
        <f>(VLOOKUP(Table7[[#This Row],[Student_ID]],student_data[],5,0)*5)+(VLOOKUP(Table7[[#This Row],[Student_ID]],student_data[],6,0)*3)+(VLOOKUP(Table7[[#This Row],[Student_ID]],student_skills[],6,0)*2)+(VLOOKUP(Table7[[#This Row],[Student_ID]],student_internships[],2,0)*5)</f>
        <v>47.35</v>
      </c>
      <c r="D881" s="1">
        <f>AVERAGE(VLOOKUP(Table7[[#This Row],[Student_ID]],student_skills[],3,0),VLOOKUP(Table7[[#This Row],[Student_ID]],student_skills[],4,0),VLOOKUP(Table7[[#This Row],[Student_ID]],student_skills[],5,0),VLOOKUP(Table7[[#This Row],[Student_ID]],student_skills[],6,0))</f>
        <v>4.75</v>
      </c>
      <c r="E881" s="1" t="str">
        <f>IF(VLOOKUP(Table7[[#This Row],[Student_ID]],student_internships[#All],2,0)&gt;1,"EXPERIENCED",IF(VLOOKUP(Table7[[#This Row],[Student_ID]],student_internships[#All],2,0)=1,"BEGINNER","NOT EXPERIENCED"))</f>
        <v>BEGINNER</v>
      </c>
      <c r="F881" s="1">
        <f>VLOOKUP(Table7[[#This Row],[Student_ID]],student_data[],5,0)</f>
        <v>5.07</v>
      </c>
      <c r="G881" s="1">
        <f>VLOOKUP(Table7[[#This Row],[Student_ID]],student_data[#All],6,0)</f>
        <v>1</v>
      </c>
      <c r="H881" s="1">
        <f>VLOOKUP(Table7[[#This Row],[Student_ID]],student_internships[],2,0)</f>
        <v>1</v>
      </c>
      <c r="I881" s="1">
        <f>VLOOKUP(Table7[[#This Row],[Student_ID]],Placements!A881:E1880,5,0)</f>
        <v>4.5</v>
      </c>
      <c r="J881" s="1" t="str">
        <f>IF(VLOOKUP(Table7[[#This Row],[Student_ID]],student_data[#All],5,0)&gt;8,"HIGH",IF(VLOOKUP(Table7[[#This Row],[Student_ID]],student_data[#All],5,0)&lt;6.5,"LOW","MEDIUM"))</f>
        <v>LOW</v>
      </c>
    </row>
    <row r="882" spans="1:10" x14ac:dyDescent="0.2">
      <c r="A882" s="1" t="s">
        <v>891</v>
      </c>
      <c r="B882" s="1" t="str">
        <f>VLOOKUP(Table7[[#This Row],[Student_ID]],student_data[#All],2,0)</f>
        <v>Information Technology</v>
      </c>
      <c r="C882" s="1">
        <f>(VLOOKUP(Table7[[#This Row],[Student_ID]],student_data[],5,0)*5)+(VLOOKUP(Table7[[#This Row],[Student_ID]],student_data[],6,0)*3)+(VLOOKUP(Table7[[#This Row],[Student_ID]],student_skills[],6,0)*2)+(VLOOKUP(Table7[[#This Row],[Student_ID]],student_internships[],2,0)*5)</f>
        <v>48.2</v>
      </c>
      <c r="D882" s="1">
        <f>AVERAGE(VLOOKUP(Table7[[#This Row],[Student_ID]],student_skills[],3,0),VLOOKUP(Table7[[#This Row],[Student_ID]],student_skills[],4,0),VLOOKUP(Table7[[#This Row],[Student_ID]],student_skills[],5,0),VLOOKUP(Table7[[#This Row],[Student_ID]],student_skills[],6,0))</f>
        <v>3.75</v>
      </c>
      <c r="E882" s="1" t="str">
        <f>IF(VLOOKUP(Table7[[#This Row],[Student_ID]],student_internships[#All],2,0)&gt;1,"EXPERIENCED",IF(VLOOKUP(Table7[[#This Row],[Student_ID]],student_internships[#All],2,0)=1,"BEGINNER","NOT EXPERIENCED"))</f>
        <v>NOT EXPERIENCED</v>
      </c>
      <c r="F882" s="1">
        <f>VLOOKUP(Table7[[#This Row],[Student_ID]],student_data[],5,0)</f>
        <v>6.04</v>
      </c>
      <c r="G882" s="1">
        <f>VLOOKUP(Table7[[#This Row],[Student_ID]],student_data[#All],6,0)</f>
        <v>2</v>
      </c>
      <c r="H882" s="1">
        <f>VLOOKUP(Table7[[#This Row],[Student_ID]],student_internships[],2,0)</f>
        <v>0</v>
      </c>
      <c r="I882" s="1">
        <f>VLOOKUP(Table7[[#This Row],[Student_ID]],Placements!A882:E1881,5,0)</f>
        <v>4.1900000000000004</v>
      </c>
      <c r="J882" s="1" t="str">
        <f>IF(VLOOKUP(Table7[[#This Row],[Student_ID]],student_data[#All],5,0)&gt;8,"HIGH",IF(VLOOKUP(Table7[[#This Row],[Student_ID]],student_data[#All],5,0)&lt;6.5,"LOW","MEDIUM"))</f>
        <v>LOW</v>
      </c>
    </row>
    <row r="883" spans="1:10" x14ac:dyDescent="0.2">
      <c r="A883" s="1" t="s">
        <v>892</v>
      </c>
      <c r="B883" s="1" t="str">
        <f>VLOOKUP(Table7[[#This Row],[Student_ID]],student_data[#All],2,0)</f>
        <v>Mechanical</v>
      </c>
      <c r="C883" s="1">
        <f>(VLOOKUP(Table7[[#This Row],[Student_ID]],student_data[],5,0)*5)+(VLOOKUP(Table7[[#This Row],[Student_ID]],student_data[],6,0)*3)+(VLOOKUP(Table7[[#This Row],[Student_ID]],student_skills[],6,0)*2)+(VLOOKUP(Table7[[#This Row],[Student_ID]],student_internships[],2,0)*5)</f>
        <v>56.85</v>
      </c>
      <c r="D883" s="1">
        <f>AVERAGE(VLOOKUP(Table7[[#This Row],[Student_ID]],student_skills[],3,0),VLOOKUP(Table7[[#This Row],[Student_ID]],student_skills[],4,0),VLOOKUP(Table7[[#This Row],[Student_ID]],student_skills[],5,0),VLOOKUP(Table7[[#This Row],[Student_ID]],student_skills[],6,0))</f>
        <v>5.25</v>
      </c>
      <c r="E883" s="1" t="str">
        <f>IF(VLOOKUP(Table7[[#This Row],[Student_ID]],student_internships[#All],2,0)&gt;1,"EXPERIENCED",IF(VLOOKUP(Table7[[#This Row],[Student_ID]],student_internships[#All],2,0)=1,"BEGINNER","NOT EXPERIENCED"))</f>
        <v>NOT EXPERIENCED</v>
      </c>
      <c r="F883" s="1">
        <f>VLOOKUP(Table7[[#This Row],[Student_ID]],student_data[],5,0)</f>
        <v>8.57</v>
      </c>
      <c r="G883" s="1">
        <f>VLOOKUP(Table7[[#This Row],[Student_ID]],student_data[#All],6,0)</f>
        <v>2</v>
      </c>
      <c r="H883" s="1">
        <f>VLOOKUP(Table7[[#This Row],[Student_ID]],student_internships[],2,0)</f>
        <v>0</v>
      </c>
      <c r="I883" s="1">
        <f>VLOOKUP(Table7[[#This Row],[Student_ID]],Placements!A883:E1882,5,0)</f>
        <v>4.1100000000000003</v>
      </c>
      <c r="J883" s="1" t="str">
        <f>IF(VLOOKUP(Table7[[#This Row],[Student_ID]],student_data[#All],5,0)&gt;8,"HIGH",IF(VLOOKUP(Table7[[#This Row],[Student_ID]],student_data[#All],5,0)&lt;6.5,"LOW","MEDIUM"))</f>
        <v>HIGH</v>
      </c>
    </row>
    <row r="884" spans="1:10" x14ac:dyDescent="0.2">
      <c r="A884" s="1" t="s">
        <v>893</v>
      </c>
      <c r="B884" s="1" t="str">
        <f>VLOOKUP(Table7[[#This Row],[Student_ID]],student_data[#All],2,0)</f>
        <v>Civil</v>
      </c>
      <c r="C884" s="1">
        <f>(VLOOKUP(Table7[[#This Row],[Student_ID]],student_data[],5,0)*5)+(VLOOKUP(Table7[[#This Row],[Student_ID]],student_data[],6,0)*3)+(VLOOKUP(Table7[[#This Row],[Student_ID]],student_skills[],6,0)*2)+(VLOOKUP(Table7[[#This Row],[Student_ID]],student_internships[],2,0)*5)</f>
        <v>64.650000000000006</v>
      </c>
      <c r="D884" s="1">
        <f>AVERAGE(VLOOKUP(Table7[[#This Row],[Student_ID]],student_skills[],3,0),VLOOKUP(Table7[[#This Row],[Student_ID]],student_skills[],4,0),VLOOKUP(Table7[[#This Row],[Student_ID]],student_skills[],5,0),VLOOKUP(Table7[[#This Row],[Student_ID]],student_skills[],6,0))</f>
        <v>5.5</v>
      </c>
      <c r="E884" s="1" t="str">
        <f>IF(VLOOKUP(Table7[[#This Row],[Student_ID]],student_internships[#All],2,0)&gt;1,"EXPERIENCED",IF(VLOOKUP(Table7[[#This Row],[Student_ID]],student_internships[#All],2,0)=1,"BEGINNER","NOT EXPERIENCED"))</f>
        <v>NOT EXPERIENCED</v>
      </c>
      <c r="F884" s="1">
        <f>VLOOKUP(Table7[[#This Row],[Student_ID]],student_data[],5,0)</f>
        <v>6.93</v>
      </c>
      <c r="G884" s="1">
        <f>VLOOKUP(Table7[[#This Row],[Student_ID]],student_data[#All],6,0)</f>
        <v>4</v>
      </c>
      <c r="H884" s="1">
        <f>VLOOKUP(Table7[[#This Row],[Student_ID]],student_internships[],2,0)</f>
        <v>0</v>
      </c>
      <c r="I884" s="1">
        <f>VLOOKUP(Table7[[#This Row],[Student_ID]],Placements!A884:E1883,5,0)</f>
        <v>0</v>
      </c>
      <c r="J884" s="1" t="str">
        <f>IF(VLOOKUP(Table7[[#This Row],[Student_ID]],student_data[#All],5,0)&gt;8,"HIGH",IF(VLOOKUP(Table7[[#This Row],[Student_ID]],student_data[#All],5,0)&lt;6.5,"LOW","MEDIUM"))</f>
        <v>MEDIUM</v>
      </c>
    </row>
    <row r="885" spans="1:10" x14ac:dyDescent="0.2">
      <c r="A885" s="1" t="s">
        <v>894</v>
      </c>
      <c r="B885" s="1" t="str">
        <f>VLOOKUP(Table7[[#This Row],[Student_ID]],student_data[#All],2,0)</f>
        <v>Information Technology</v>
      </c>
      <c r="C885" s="1">
        <f>(VLOOKUP(Table7[[#This Row],[Student_ID]],student_data[],5,0)*5)+(VLOOKUP(Table7[[#This Row],[Student_ID]],student_data[],6,0)*3)+(VLOOKUP(Table7[[#This Row],[Student_ID]],student_skills[],6,0)*2)+(VLOOKUP(Table7[[#This Row],[Student_ID]],student_internships[],2,0)*5)</f>
        <v>64.550000000000011</v>
      </c>
      <c r="D885" s="1">
        <f>AVERAGE(VLOOKUP(Table7[[#This Row],[Student_ID]],student_skills[],3,0),VLOOKUP(Table7[[#This Row],[Student_ID]],student_skills[],4,0),VLOOKUP(Table7[[#This Row],[Student_ID]],student_skills[],5,0),VLOOKUP(Table7[[#This Row],[Student_ID]],student_skills[],6,0))</f>
        <v>5.5</v>
      </c>
      <c r="E885" s="1" t="str">
        <f>IF(VLOOKUP(Table7[[#This Row],[Student_ID]],student_internships[#All],2,0)&gt;1,"EXPERIENCED",IF(VLOOKUP(Table7[[#This Row],[Student_ID]],student_internships[#All],2,0)=1,"BEGINNER","NOT EXPERIENCED"))</f>
        <v>BEGINNER</v>
      </c>
      <c r="F885" s="1">
        <f>VLOOKUP(Table7[[#This Row],[Student_ID]],student_data[],5,0)</f>
        <v>8.31</v>
      </c>
      <c r="G885" s="1">
        <f>VLOOKUP(Table7[[#This Row],[Student_ID]],student_data[#All],6,0)</f>
        <v>2</v>
      </c>
      <c r="H885" s="1">
        <f>VLOOKUP(Table7[[#This Row],[Student_ID]],student_internships[],2,0)</f>
        <v>1</v>
      </c>
      <c r="I885" s="1">
        <f>VLOOKUP(Table7[[#This Row],[Student_ID]],Placements!A885:E1884,5,0)</f>
        <v>4.5599999999999996</v>
      </c>
      <c r="J885" s="1" t="str">
        <f>IF(VLOOKUP(Table7[[#This Row],[Student_ID]],student_data[#All],5,0)&gt;8,"HIGH",IF(VLOOKUP(Table7[[#This Row],[Student_ID]],student_data[#All],5,0)&lt;6.5,"LOW","MEDIUM"))</f>
        <v>HIGH</v>
      </c>
    </row>
    <row r="886" spans="1:10" x14ac:dyDescent="0.2">
      <c r="A886" s="1" t="s">
        <v>895</v>
      </c>
      <c r="B886" s="1" t="str">
        <f>VLOOKUP(Table7[[#This Row],[Student_ID]],student_data[#All],2,0)</f>
        <v>Mechanical</v>
      </c>
      <c r="C886" s="1">
        <f>(VLOOKUP(Table7[[#This Row],[Student_ID]],student_data[],5,0)*5)+(VLOOKUP(Table7[[#This Row],[Student_ID]],student_data[],6,0)*3)+(VLOOKUP(Table7[[#This Row],[Student_ID]],student_skills[],6,0)*2)+(VLOOKUP(Table7[[#This Row],[Student_ID]],student_internships[],2,0)*5)</f>
        <v>50.650000000000006</v>
      </c>
      <c r="D886" s="1">
        <f>AVERAGE(VLOOKUP(Table7[[#This Row],[Student_ID]],student_skills[],3,0),VLOOKUP(Table7[[#This Row],[Student_ID]],student_skills[],4,0),VLOOKUP(Table7[[#This Row],[Student_ID]],student_skills[],5,0),VLOOKUP(Table7[[#This Row],[Student_ID]],student_skills[],6,0))</f>
        <v>5.75</v>
      </c>
      <c r="E886" s="1" t="str">
        <f>IF(VLOOKUP(Table7[[#This Row],[Student_ID]],student_internships[#All],2,0)&gt;1,"EXPERIENCED",IF(VLOOKUP(Table7[[#This Row],[Student_ID]],student_internships[#All],2,0)=1,"BEGINNER","NOT EXPERIENCED"))</f>
        <v>NOT EXPERIENCED</v>
      </c>
      <c r="F886" s="1">
        <f>VLOOKUP(Table7[[#This Row],[Student_ID]],student_data[],5,0)</f>
        <v>6.73</v>
      </c>
      <c r="G886" s="1">
        <f>VLOOKUP(Table7[[#This Row],[Student_ID]],student_data[#All],6,0)</f>
        <v>3</v>
      </c>
      <c r="H886" s="1">
        <f>VLOOKUP(Table7[[#This Row],[Student_ID]],student_internships[],2,0)</f>
        <v>0</v>
      </c>
      <c r="I886" s="1">
        <f>VLOOKUP(Table7[[#This Row],[Student_ID]],Placements!A886:E1885,5,0)</f>
        <v>5.13</v>
      </c>
      <c r="J886" s="1" t="str">
        <f>IF(VLOOKUP(Table7[[#This Row],[Student_ID]],student_data[#All],5,0)&gt;8,"HIGH",IF(VLOOKUP(Table7[[#This Row],[Student_ID]],student_data[#All],5,0)&lt;6.5,"LOW","MEDIUM"))</f>
        <v>MEDIUM</v>
      </c>
    </row>
    <row r="887" spans="1:10" x14ac:dyDescent="0.2">
      <c r="A887" s="1" t="s">
        <v>896</v>
      </c>
      <c r="B887" s="1" t="str">
        <f>VLOOKUP(Table7[[#This Row],[Student_ID]],student_data[#All],2,0)</f>
        <v>Mechanical</v>
      </c>
      <c r="C887" s="1">
        <f>(VLOOKUP(Table7[[#This Row],[Student_ID]],student_data[],5,0)*5)+(VLOOKUP(Table7[[#This Row],[Student_ID]],student_data[],6,0)*3)+(VLOOKUP(Table7[[#This Row],[Student_ID]],student_skills[],6,0)*2)+(VLOOKUP(Table7[[#This Row],[Student_ID]],student_internships[],2,0)*5)</f>
        <v>46.75</v>
      </c>
      <c r="D887" s="1">
        <f>AVERAGE(VLOOKUP(Table7[[#This Row],[Student_ID]],student_skills[],3,0),VLOOKUP(Table7[[#This Row],[Student_ID]],student_skills[],4,0),VLOOKUP(Table7[[#This Row],[Student_ID]],student_skills[],5,0),VLOOKUP(Table7[[#This Row],[Student_ID]],student_skills[],6,0))</f>
        <v>5.5</v>
      </c>
      <c r="E887" s="1" t="str">
        <f>IF(VLOOKUP(Table7[[#This Row],[Student_ID]],student_internships[#All],2,0)&gt;1,"EXPERIENCED",IF(VLOOKUP(Table7[[#This Row],[Student_ID]],student_internships[#All],2,0)=1,"BEGINNER","NOT EXPERIENCED"))</f>
        <v>NOT EXPERIENCED</v>
      </c>
      <c r="F887" s="1">
        <f>VLOOKUP(Table7[[#This Row],[Student_ID]],student_data[],5,0)</f>
        <v>6.95</v>
      </c>
      <c r="G887" s="1">
        <f>VLOOKUP(Table7[[#This Row],[Student_ID]],student_data[#All],6,0)</f>
        <v>2</v>
      </c>
      <c r="H887" s="1">
        <f>VLOOKUP(Table7[[#This Row],[Student_ID]],student_internships[],2,0)</f>
        <v>0</v>
      </c>
      <c r="I887" s="1">
        <f>VLOOKUP(Table7[[#This Row],[Student_ID]],Placements!A887:E1886,5,0)</f>
        <v>0</v>
      </c>
      <c r="J887" s="1" t="str">
        <f>IF(VLOOKUP(Table7[[#This Row],[Student_ID]],student_data[#All],5,0)&gt;8,"HIGH",IF(VLOOKUP(Table7[[#This Row],[Student_ID]],student_data[#All],5,0)&lt;6.5,"LOW","MEDIUM"))</f>
        <v>MEDIUM</v>
      </c>
    </row>
    <row r="888" spans="1:10" x14ac:dyDescent="0.2">
      <c r="A888" s="1" t="s">
        <v>897</v>
      </c>
      <c r="B888" s="1" t="str">
        <f>VLOOKUP(Table7[[#This Row],[Student_ID]],student_data[#All],2,0)</f>
        <v>Computer Science</v>
      </c>
      <c r="C888" s="1">
        <f>(VLOOKUP(Table7[[#This Row],[Student_ID]],student_data[],5,0)*5)+(VLOOKUP(Table7[[#This Row],[Student_ID]],student_data[],6,0)*3)+(VLOOKUP(Table7[[#This Row],[Student_ID]],student_skills[],6,0)*2)+(VLOOKUP(Table7[[#This Row],[Student_ID]],student_internships[],2,0)*5)</f>
        <v>49.95</v>
      </c>
      <c r="D888" s="1">
        <f>AVERAGE(VLOOKUP(Table7[[#This Row],[Student_ID]],student_skills[],3,0),VLOOKUP(Table7[[#This Row],[Student_ID]],student_skills[],4,0),VLOOKUP(Table7[[#This Row],[Student_ID]],student_skills[],5,0),VLOOKUP(Table7[[#This Row],[Student_ID]],student_skills[],6,0))</f>
        <v>6</v>
      </c>
      <c r="E888" s="1" t="str">
        <f>IF(VLOOKUP(Table7[[#This Row],[Student_ID]],student_internships[#All],2,0)&gt;1,"EXPERIENCED",IF(VLOOKUP(Table7[[#This Row],[Student_ID]],student_internships[#All],2,0)=1,"BEGINNER","NOT EXPERIENCED"))</f>
        <v>EXPERIENCED</v>
      </c>
      <c r="F888" s="1">
        <f>VLOOKUP(Table7[[#This Row],[Student_ID]],student_data[],5,0)</f>
        <v>5.79</v>
      </c>
      <c r="G888" s="1">
        <f>VLOOKUP(Table7[[#This Row],[Student_ID]],student_data[#All],6,0)</f>
        <v>1</v>
      </c>
      <c r="H888" s="1">
        <f>VLOOKUP(Table7[[#This Row],[Student_ID]],student_internships[],2,0)</f>
        <v>2</v>
      </c>
      <c r="I888" s="1">
        <f>VLOOKUP(Table7[[#This Row],[Student_ID]],Placements!A888:E1887,5,0)</f>
        <v>4.12</v>
      </c>
      <c r="J888" s="1" t="str">
        <f>IF(VLOOKUP(Table7[[#This Row],[Student_ID]],student_data[#All],5,0)&gt;8,"HIGH",IF(VLOOKUP(Table7[[#This Row],[Student_ID]],student_data[#All],5,0)&lt;6.5,"LOW","MEDIUM"))</f>
        <v>LOW</v>
      </c>
    </row>
    <row r="889" spans="1:10" x14ac:dyDescent="0.2">
      <c r="A889" s="1" t="s">
        <v>898</v>
      </c>
      <c r="B889" s="1" t="str">
        <f>VLOOKUP(Table7[[#This Row],[Student_ID]],student_data[#All],2,0)</f>
        <v>Electronics</v>
      </c>
      <c r="C889" s="1">
        <f>(VLOOKUP(Table7[[#This Row],[Student_ID]],student_data[],5,0)*5)+(VLOOKUP(Table7[[#This Row],[Student_ID]],student_data[],6,0)*3)+(VLOOKUP(Table7[[#This Row],[Student_ID]],student_skills[],6,0)*2)+(VLOOKUP(Table7[[#This Row],[Student_ID]],student_internships[],2,0)*5)</f>
        <v>43.45</v>
      </c>
      <c r="D889" s="1">
        <f>AVERAGE(VLOOKUP(Table7[[#This Row],[Student_ID]],student_skills[],3,0),VLOOKUP(Table7[[#This Row],[Student_ID]],student_skills[],4,0),VLOOKUP(Table7[[#This Row],[Student_ID]],student_skills[],5,0),VLOOKUP(Table7[[#This Row],[Student_ID]],student_skills[],6,0))</f>
        <v>6</v>
      </c>
      <c r="E889" s="1" t="str">
        <f>IF(VLOOKUP(Table7[[#This Row],[Student_ID]],student_internships[#All],2,0)&gt;1,"EXPERIENCED",IF(VLOOKUP(Table7[[#This Row],[Student_ID]],student_internships[#All],2,0)=1,"BEGINNER","NOT EXPERIENCED"))</f>
        <v>NOT EXPERIENCED</v>
      </c>
      <c r="F889" s="1">
        <f>VLOOKUP(Table7[[#This Row],[Student_ID]],student_data[],5,0)</f>
        <v>6.29</v>
      </c>
      <c r="G889" s="1">
        <f>VLOOKUP(Table7[[#This Row],[Student_ID]],student_data[#All],6,0)</f>
        <v>2</v>
      </c>
      <c r="H889" s="1">
        <f>VLOOKUP(Table7[[#This Row],[Student_ID]],student_internships[],2,0)</f>
        <v>0</v>
      </c>
      <c r="I889" s="1">
        <f>VLOOKUP(Table7[[#This Row],[Student_ID]],Placements!A889:E1888,5,0)</f>
        <v>4.3499999999999996</v>
      </c>
      <c r="J889" s="1" t="str">
        <f>IF(VLOOKUP(Table7[[#This Row],[Student_ID]],student_data[#All],5,0)&gt;8,"HIGH",IF(VLOOKUP(Table7[[#This Row],[Student_ID]],student_data[#All],5,0)&lt;6.5,"LOW","MEDIUM"))</f>
        <v>LOW</v>
      </c>
    </row>
    <row r="890" spans="1:10" x14ac:dyDescent="0.2">
      <c r="A890" s="1" t="s">
        <v>899</v>
      </c>
      <c r="B890" s="1" t="str">
        <f>VLOOKUP(Table7[[#This Row],[Student_ID]],student_data[#All],2,0)</f>
        <v>Electronics</v>
      </c>
      <c r="C890" s="1">
        <f>(VLOOKUP(Table7[[#This Row],[Student_ID]],student_data[],5,0)*5)+(VLOOKUP(Table7[[#This Row],[Student_ID]],student_data[],6,0)*3)+(VLOOKUP(Table7[[#This Row],[Student_ID]],student_skills[],6,0)*2)+(VLOOKUP(Table7[[#This Row],[Student_ID]],student_internships[],2,0)*5)</f>
        <v>49.15</v>
      </c>
      <c r="D890" s="1">
        <f>AVERAGE(VLOOKUP(Table7[[#This Row],[Student_ID]],student_skills[],3,0),VLOOKUP(Table7[[#This Row],[Student_ID]],student_skills[],4,0),VLOOKUP(Table7[[#This Row],[Student_ID]],student_skills[],5,0),VLOOKUP(Table7[[#This Row],[Student_ID]],student_skills[],6,0))</f>
        <v>4.5</v>
      </c>
      <c r="E890" s="1" t="str">
        <f>IF(VLOOKUP(Table7[[#This Row],[Student_ID]],student_internships[#All],2,0)&gt;1,"EXPERIENCED",IF(VLOOKUP(Table7[[#This Row],[Student_ID]],student_internships[#All],2,0)=1,"BEGINNER","NOT EXPERIENCED"))</f>
        <v>BEGINNER</v>
      </c>
      <c r="F890" s="1">
        <f>VLOOKUP(Table7[[#This Row],[Student_ID]],student_data[],5,0)</f>
        <v>8.0299999999999994</v>
      </c>
      <c r="G890" s="1">
        <f>VLOOKUP(Table7[[#This Row],[Student_ID]],student_data[#All],6,0)</f>
        <v>0</v>
      </c>
      <c r="H890" s="1">
        <f>VLOOKUP(Table7[[#This Row],[Student_ID]],student_internships[],2,0)</f>
        <v>1</v>
      </c>
      <c r="I890" s="1">
        <f>VLOOKUP(Table7[[#This Row],[Student_ID]],Placements!A890:E1889,5,0)</f>
        <v>4.5</v>
      </c>
      <c r="J890" s="1" t="str">
        <f>IF(VLOOKUP(Table7[[#This Row],[Student_ID]],student_data[#All],5,0)&gt;8,"HIGH",IF(VLOOKUP(Table7[[#This Row],[Student_ID]],student_data[#All],5,0)&lt;6.5,"LOW","MEDIUM"))</f>
        <v>HIGH</v>
      </c>
    </row>
    <row r="891" spans="1:10" x14ac:dyDescent="0.2">
      <c r="A891" s="1" t="s">
        <v>900</v>
      </c>
      <c r="B891" s="1" t="str">
        <f>VLOOKUP(Table7[[#This Row],[Student_ID]],student_data[#All],2,0)</f>
        <v>Information Technology</v>
      </c>
      <c r="C891" s="1">
        <f>(VLOOKUP(Table7[[#This Row],[Student_ID]],student_data[],5,0)*5)+(VLOOKUP(Table7[[#This Row],[Student_ID]],student_data[],6,0)*3)+(VLOOKUP(Table7[[#This Row],[Student_ID]],student_skills[],6,0)*2)+(VLOOKUP(Table7[[#This Row],[Student_ID]],student_internships[],2,0)*5)</f>
        <v>60.85</v>
      </c>
      <c r="D891" s="1">
        <f>AVERAGE(VLOOKUP(Table7[[#This Row],[Student_ID]],student_skills[],3,0),VLOOKUP(Table7[[#This Row],[Student_ID]],student_skills[],4,0),VLOOKUP(Table7[[#This Row],[Student_ID]],student_skills[],5,0),VLOOKUP(Table7[[#This Row],[Student_ID]],student_skills[],6,0))</f>
        <v>6.5</v>
      </c>
      <c r="E891" s="1" t="str">
        <f>IF(VLOOKUP(Table7[[#This Row],[Student_ID]],student_internships[#All],2,0)&gt;1,"EXPERIENCED",IF(VLOOKUP(Table7[[#This Row],[Student_ID]],student_internships[#All],2,0)=1,"BEGINNER","NOT EXPERIENCED"))</f>
        <v>NOT EXPERIENCED</v>
      </c>
      <c r="F891" s="1">
        <f>VLOOKUP(Table7[[#This Row],[Student_ID]],student_data[],5,0)</f>
        <v>7.17</v>
      </c>
      <c r="G891" s="1">
        <f>VLOOKUP(Table7[[#This Row],[Student_ID]],student_data[#All],6,0)</f>
        <v>5</v>
      </c>
      <c r="H891" s="1">
        <f>VLOOKUP(Table7[[#This Row],[Student_ID]],student_internships[],2,0)</f>
        <v>0</v>
      </c>
      <c r="I891" s="1">
        <f>VLOOKUP(Table7[[#This Row],[Student_ID]],Placements!A891:E1890,5,0)</f>
        <v>4.1900000000000004</v>
      </c>
      <c r="J891" s="1" t="str">
        <f>IF(VLOOKUP(Table7[[#This Row],[Student_ID]],student_data[#All],5,0)&gt;8,"HIGH",IF(VLOOKUP(Table7[[#This Row],[Student_ID]],student_data[#All],5,0)&lt;6.5,"LOW","MEDIUM"))</f>
        <v>MEDIUM</v>
      </c>
    </row>
    <row r="892" spans="1:10" x14ac:dyDescent="0.2">
      <c r="A892" s="1" t="s">
        <v>901</v>
      </c>
      <c r="B892" s="1" t="str">
        <f>VLOOKUP(Table7[[#This Row],[Student_ID]],student_data[#All],2,0)</f>
        <v>Electronics</v>
      </c>
      <c r="C892" s="1">
        <f>(VLOOKUP(Table7[[#This Row],[Student_ID]],student_data[],5,0)*5)+(VLOOKUP(Table7[[#This Row],[Student_ID]],student_data[],6,0)*3)+(VLOOKUP(Table7[[#This Row],[Student_ID]],student_skills[],6,0)*2)+(VLOOKUP(Table7[[#This Row],[Student_ID]],student_internships[],2,0)*5)</f>
        <v>51.349999999999994</v>
      </c>
      <c r="D892" s="1">
        <f>AVERAGE(VLOOKUP(Table7[[#This Row],[Student_ID]],student_skills[],3,0),VLOOKUP(Table7[[#This Row],[Student_ID]],student_skills[],4,0),VLOOKUP(Table7[[#This Row],[Student_ID]],student_skills[],5,0),VLOOKUP(Table7[[#This Row],[Student_ID]],student_skills[],6,0))</f>
        <v>5</v>
      </c>
      <c r="E892" s="1" t="str">
        <f>IF(VLOOKUP(Table7[[#This Row],[Student_ID]],student_internships[#All],2,0)&gt;1,"EXPERIENCED",IF(VLOOKUP(Table7[[#This Row],[Student_ID]],student_internships[#All],2,0)=1,"BEGINNER","NOT EXPERIENCED"))</f>
        <v>NOT EXPERIENCED</v>
      </c>
      <c r="F892" s="1">
        <f>VLOOKUP(Table7[[#This Row],[Student_ID]],student_data[],5,0)</f>
        <v>8.8699999999999992</v>
      </c>
      <c r="G892" s="1">
        <f>VLOOKUP(Table7[[#This Row],[Student_ID]],student_data[#All],6,0)</f>
        <v>1</v>
      </c>
      <c r="H892" s="1">
        <f>VLOOKUP(Table7[[#This Row],[Student_ID]],student_internships[],2,0)</f>
        <v>0</v>
      </c>
      <c r="I892" s="1">
        <f>VLOOKUP(Table7[[#This Row],[Student_ID]],Placements!A892:E1891,5,0)</f>
        <v>4.1100000000000003</v>
      </c>
      <c r="J892" s="1" t="str">
        <f>IF(VLOOKUP(Table7[[#This Row],[Student_ID]],student_data[#All],5,0)&gt;8,"HIGH",IF(VLOOKUP(Table7[[#This Row],[Student_ID]],student_data[#All],5,0)&lt;6.5,"LOW","MEDIUM"))</f>
        <v>HIGH</v>
      </c>
    </row>
    <row r="893" spans="1:10" x14ac:dyDescent="0.2">
      <c r="A893" s="1" t="s">
        <v>902</v>
      </c>
      <c r="B893" s="1" t="str">
        <f>VLOOKUP(Table7[[#This Row],[Student_ID]],student_data[#All],2,0)</f>
        <v>Civil</v>
      </c>
      <c r="C893" s="1">
        <f>(VLOOKUP(Table7[[#This Row],[Student_ID]],student_data[],5,0)*5)+(VLOOKUP(Table7[[#This Row],[Student_ID]],student_data[],6,0)*3)+(VLOOKUP(Table7[[#This Row],[Student_ID]],student_skills[],6,0)*2)+(VLOOKUP(Table7[[#This Row],[Student_ID]],student_internships[],2,0)*5)</f>
        <v>58.3</v>
      </c>
      <c r="D893" s="1">
        <f>AVERAGE(VLOOKUP(Table7[[#This Row],[Student_ID]],student_skills[],3,0),VLOOKUP(Table7[[#This Row],[Student_ID]],student_skills[],4,0),VLOOKUP(Table7[[#This Row],[Student_ID]],student_skills[],5,0),VLOOKUP(Table7[[#This Row],[Student_ID]],student_skills[],6,0))</f>
        <v>7.75</v>
      </c>
      <c r="E893" s="1" t="str">
        <f>IF(VLOOKUP(Table7[[#This Row],[Student_ID]],student_internships[#All],2,0)&gt;1,"EXPERIENCED",IF(VLOOKUP(Table7[[#This Row],[Student_ID]],student_internships[#All],2,0)=1,"BEGINNER","NOT EXPERIENCED"))</f>
        <v>NOT EXPERIENCED</v>
      </c>
      <c r="F893" s="1">
        <f>VLOOKUP(Table7[[#This Row],[Student_ID]],student_data[],5,0)</f>
        <v>9.26</v>
      </c>
      <c r="G893" s="1">
        <f>VLOOKUP(Table7[[#This Row],[Student_ID]],student_data[#All],6,0)</f>
        <v>0</v>
      </c>
      <c r="H893" s="1">
        <f>VLOOKUP(Table7[[#This Row],[Student_ID]],student_internships[],2,0)</f>
        <v>0</v>
      </c>
      <c r="I893" s="1">
        <f>VLOOKUP(Table7[[#This Row],[Student_ID]],Placements!A893:E1892,5,0)</f>
        <v>4.53</v>
      </c>
      <c r="J893" s="1" t="str">
        <f>IF(VLOOKUP(Table7[[#This Row],[Student_ID]],student_data[#All],5,0)&gt;8,"HIGH",IF(VLOOKUP(Table7[[#This Row],[Student_ID]],student_data[#All],5,0)&lt;6.5,"LOW","MEDIUM"))</f>
        <v>HIGH</v>
      </c>
    </row>
    <row r="894" spans="1:10" x14ac:dyDescent="0.2">
      <c r="A894" s="1" t="s">
        <v>903</v>
      </c>
      <c r="B894" s="1" t="str">
        <f>VLOOKUP(Table7[[#This Row],[Student_ID]],student_data[#All],2,0)</f>
        <v>Electronics</v>
      </c>
      <c r="C894" s="1">
        <f>(VLOOKUP(Table7[[#This Row],[Student_ID]],student_data[],5,0)*5)+(VLOOKUP(Table7[[#This Row],[Student_ID]],student_data[],6,0)*3)+(VLOOKUP(Table7[[#This Row],[Student_ID]],student_skills[],6,0)*2)+(VLOOKUP(Table7[[#This Row],[Student_ID]],student_internships[],2,0)*5)</f>
        <v>57.55</v>
      </c>
      <c r="D894" s="1">
        <f>AVERAGE(VLOOKUP(Table7[[#This Row],[Student_ID]],student_skills[],3,0),VLOOKUP(Table7[[#This Row],[Student_ID]],student_skills[],4,0),VLOOKUP(Table7[[#This Row],[Student_ID]],student_skills[],5,0),VLOOKUP(Table7[[#This Row],[Student_ID]],student_skills[],6,0))</f>
        <v>2.25</v>
      </c>
      <c r="E894" s="1" t="str">
        <f>IF(VLOOKUP(Table7[[#This Row],[Student_ID]],student_internships[#All],2,0)&gt;1,"EXPERIENCED",IF(VLOOKUP(Table7[[#This Row],[Student_ID]],student_internships[#All],2,0)=1,"BEGINNER","NOT EXPERIENCED"))</f>
        <v>EXPERIENCED</v>
      </c>
      <c r="F894" s="1">
        <f>VLOOKUP(Table7[[#This Row],[Student_ID]],student_data[],5,0)</f>
        <v>7.71</v>
      </c>
      <c r="G894" s="1">
        <f>VLOOKUP(Table7[[#This Row],[Student_ID]],student_data[#All],6,0)</f>
        <v>1</v>
      </c>
      <c r="H894" s="1">
        <f>VLOOKUP(Table7[[#This Row],[Student_ID]],student_internships[],2,0)</f>
        <v>2</v>
      </c>
      <c r="I894" s="1">
        <f>VLOOKUP(Table7[[#This Row],[Student_ID]],Placements!A894:E1893,5,0)</f>
        <v>5.13</v>
      </c>
      <c r="J894" s="1" t="str">
        <f>IF(VLOOKUP(Table7[[#This Row],[Student_ID]],student_data[#All],5,0)&gt;8,"HIGH",IF(VLOOKUP(Table7[[#This Row],[Student_ID]],student_data[#All],5,0)&lt;6.5,"LOW","MEDIUM"))</f>
        <v>MEDIUM</v>
      </c>
    </row>
    <row r="895" spans="1:10" x14ac:dyDescent="0.2">
      <c r="A895" s="1" t="s">
        <v>904</v>
      </c>
      <c r="B895" s="1" t="str">
        <f>VLOOKUP(Table7[[#This Row],[Student_ID]],student_data[#All],2,0)</f>
        <v>Information Technology</v>
      </c>
      <c r="C895" s="1">
        <f>(VLOOKUP(Table7[[#This Row],[Student_ID]],student_data[],5,0)*5)+(VLOOKUP(Table7[[#This Row],[Student_ID]],student_data[],6,0)*3)+(VLOOKUP(Table7[[#This Row],[Student_ID]],student_skills[],6,0)*2)+(VLOOKUP(Table7[[#This Row],[Student_ID]],student_internships[],2,0)*5)</f>
        <v>74.949999999999989</v>
      </c>
      <c r="D895" s="1">
        <f>AVERAGE(VLOOKUP(Table7[[#This Row],[Student_ID]],student_skills[],3,0),VLOOKUP(Table7[[#This Row],[Student_ID]],student_skills[],4,0),VLOOKUP(Table7[[#This Row],[Student_ID]],student_skills[],5,0),VLOOKUP(Table7[[#This Row],[Student_ID]],student_skills[],6,0))</f>
        <v>4.25</v>
      </c>
      <c r="E895" s="1" t="str">
        <f>IF(VLOOKUP(Table7[[#This Row],[Student_ID]],student_internships[#All],2,0)&gt;1,"EXPERIENCED",IF(VLOOKUP(Table7[[#This Row],[Student_ID]],student_internships[#All],2,0)=1,"BEGINNER","NOT EXPERIENCED"))</f>
        <v>EXPERIENCED</v>
      </c>
      <c r="F895" s="1">
        <f>VLOOKUP(Table7[[#This Row],[Student_ID]],student_data[],5,0)</f>
        <v>8.7899999999999991</v>
      </c>
      <c r="G895" s="1">
        <f>VLOOKUP(Table7[[#This Row],[Student_ID]],student_data[#All],6,0)</f>
        <v>3</v>
      </c>
      <c r="H895" s="1">
        <f>VLOOKUP(Table7[[#This Row],[Student_ID]],student_internships[],2,0)</f>
        <v>2</v>
      </c>
      <c r="I895" s="1">
        <f>VLOOKUP(Table7[[#This Row],[Student_ID]],Placements!A895:E1894,5,0)</f>
        <v>0</v>
      </c>
      <c r="J895" s="1" t="str">
        <f>IF(VLOOKUP(Table7[[#This Row],[Student_ID]],student_data[#All],5,0)&gt;8,"HIGH",IF(VLOOKUP(Table7[[#This Row],[Student_ID]],student_data[#All],5,0)&lt;6.5,"LOW","MEDIUM"))</f>
        <v>HIGH</v>
      </c>
    </row>
    <row r="896" spans="1:10" x14ac:dyDescent="0.2">
      <c r="A896" s="1" t="s">
        <v>905</v>
      </c>
      <c r="B896" s="1" t="str">
        <f>VLOOKUP(Table7[[#This Row],[Student_ID]],student_data[#All],2,0)</f>
        <v>Electronics</v>
      </c>
      <c r="C896" s="1">
        <f>(VLOOKUP(Table7[[#This Row],[Student_ID]],student_data[],5,0)*5)+(VLOOKUP(Table7[[#This Row],[Student_ID]],student_data[],6,0)*3)+(VLOOKUP(Table7[[#This Row],[Student_ID]],student_skills[],6,0)*2)+(VLOOKUP(Table7[[#This Row],[Student_ID]],student_internships[],2,0)*5)</f>
        <v>77.650000000000006</v>
      </c>
      <c r="D896" s="1">
        <f>AVERAGE(VLOOKUP(Table7[[#This Row],[Student_ID]],student_skills[],3,0),VLOOKUP(Table7[[#This Row],[Student_ID]],student_skills[],4,0),VLOOKUP(Table7[[#This Row],[Student_ID]],student_skills[],5,0),VLOOKUP(Table7[[#This Row],[Student_ID]],student_skills[],6,0))</f>
        <v>5.5</v>
      </c>
      <c r="E896" s="1" t="str">
        <f>IF(VLOOKUP(Table7[[#This Row],[Student_ID]],student_internships[#All],2,0)&gt;1,"EXPERIENCED",IF(VLOOKUP(Table7[[#This Row],[Student_ID]],student_internships[#All],2,0)=1,"BEGINNER","NOT EXPERIENCED"))</f>
        <v>EXPERIENCED</v>
      </c>
      <c r="F896" s="1">
        <f>VLOOKUP(Table7[[#This Row],[Student_ID]],student_data[],5,0)</f>
        <v>6.53</v>
      </c>
      <c r="G896" s="1">
        <f>VLOOKUP(Table7[[#This Row],[Student_ID]],student_data[#All],6,0)</f>
        <v>5</v>
      </c>
      <c r="H896" s="1">
        <f>VLOOKUP(Table7[[#This Row],[Student_ID]],student_internships[],2,0)</f>
        <v>2</v>
      </c>
      <c r="I896" s="1">
        <f>VLOOKUP(Table7[[#This Row],[Student_ID]],Placements!A896:E1895,5,0)</f>
        <v>4.5</v>
      </c>
      <c r="J896" s="1" t="str">
        <f>IF(VLOOKUP(Table7[[#This Row],[Student_ID]],student_data[#All],5,0)&gt;8,"HIGH",IF(VLOOKUP(Table7[[#This Row],[Student_ID]],student_data[#All],5,0)&lt;6.5,"LOW","MEDIUM"))</f>
        <v>MEDIUM</v>
      </c>
    </row>
    <row r="897" spans="1:10" x14ac:dyDescent="0.2">
      <c r="A897" s="1" t="s">
        <v>906</v>
      </c>
      <c r="B897" s="1" t="str">
        <f>VLOOKUP(Table7[[#This Row],[Student_ID]],student_data[#All],2,0)</f>
        <v>Civil</v>
      </c>
      <c r="C897" s="1">
        <f>(VLOOKUP(Table7[[#This Row],[Student_ID]],student_data[],5,0)*5)+(VLOOKUP(Table7[[#This Row],[Student_ID]],student_data[],6,0)*3)+(VLOOKUP(Table7[[#This Row],[Student_ID]],student_skills[],6,0)*2)+(VLOOKUP(Table7[[#This Row],[Student_ID]],student_internships[],2,0)*5)</f>
        <v>73.349999999999994</v>
      </c>
      <c r="D897" s="1">
        <f>AVERAGE(VLOOKUP(Table7[[#This Row],[Student_ID]],student_skills[],3,0),VLOOKUP(Table7[[#This Row],[Student_ID]],student_skills[],4,0),VLOOKUP(Table7[[#This Row],[Student_ID]],student_skills[],5,0),VLOOKUP(Table7[[#This Row],[Student_ID]],student_skills[],6,0))</f>
        <v>8.5</v>
      </c>
      <c r="E897" s="1" t="str">
        <f>IF(VLOOKUP(Table7[[#This Row],[Student_ID]],student_internships[#All],2,0)&gt;1,"EXPERIENCED",IF(VLOOKUP(Table7[[#This Row],[Student_ID]],student_internships[#All],2,0)=1,"BEGINNER","NOT EXPERIENCED"))</f>
        <v>BEGINNER</v>
      </c>
      <c r="F897" s="1">
        <f>VLOOKUP(Table7[[#This Row],[Student_ID]],student_data[],5,0)</f>
        <v>7.07</v>
      </c>
      <c r="G897" s="1">
        <f>VLOOKUP(Table7[[#This Row],[Student_ID]],student_data[#All],6,0)</f>
        <v>5</v>
      </c>
      <c r="H897" s="1">
        <f>VLOOKUP(Table7[[#This Row],[Student_ID]],student_internships[],2,0)</f>
        <v>1</v>
      </c>
      <c r="I897" s="1">
        <f>VLOOKUP(Table7[[#This Row],[Student_ID]],Placements!A897:E1896,5,0)</f>
        <v>4.3499999999999996</v>
      </c>
      <c r="J897" s="1" t="str">
        <f>IF(VLOOKUP(Table7[[#This Row],[Student_ID]],student_data[#All],5,0)&gt;8,"HIGH",IF(VLOOKUP(Table7[[#This Row],[Student_ID]],student_data[#All],5,0)&lt;6.5,"LOW","MEDIUM"))</f>
        <v>MEDIUM</v>
      </c>
    </row>
    <row r="898" spans="1:10" x14ac:dyDescent="0.2">
      <c r="A898" s="1" t="s">
        <v>907</v>
      </c>
      <c r="B898" s="1" t="str">
        <f>VLOOKUP(Table7[[#This Row],[Student_ID]],student_data[#All],2,0)</f>
        <v>Computer Science</v>
      </c>
      <c r="C898" s="1">
        <f>(VLOOKUP(Table7[[#This Row],[Student_ID]],student_data[],5,0)*5)+(VLOOKUP(Table7[[#This Row],[Student_ID]],student_data[],6,0)*3)+(VLOOKUP(Table7[[#This Row],[Student_ID]],student_skills[],6,0)*2)+(VLOOKUP(Table7[[#This Row],[Student_ID]],student_internships[],2,0)*5)</f>
        <v>58.800000000000004</v>
      </c>
      <c r="D898" s="1">
        <f>AVERAGE(VLOOKUP(Table7[[#This Row],[Student_ID]],student_skills[],3,0),VLOOKUP(Table7[[#This Row],[Student_ID]],student_skills[],4,0),VLOOKUP(Table7[[#This Row],[Student_ID]],student_skills[],5,0),VLOOKUP(Table7[[#This Row],[Student_ID]],student_skills[],6,0))</f>
        <v>6.75</v>
      </c>
      <c r="E898" s="1" t="str">
        <f>IF(VLOOKUP(Table7[[#This Row],[Student_ID]],student_internships[#All],2,0)&gt;1,"EXPERIENCED",IF(VLOOKUP(Table7[[#This Row],[Student_ID]],student_internships[#All],2,0)=1,"BEGINNER","NOT EXPERIENCED"))</f>
        <v>BEGINNER</v>
      </c>
      <c r="F898" s="1">
        <f>VLOOKUP(Table7[[#This Row],[Student_ID]],student_data[],5,0)</f>
        <v>8.56</v>
      </c>
      <c r="G898" s="1">
        <f>VLOOKUP(Table7[[#This Row],[Student_ID]],student_data[#All],6,0)</f>
        <v>3</v>
      </c>
      <c r="H898" s="1">
        <f>VLOOKUP(Table7[[#This Row],[Student_ID]],student_internships[],2,0)</f>
        <v>1</v>
      </c>
      <c r="I898" s="1">
        <f>VLOOKUP(Table7[[#This Row],[Student_ID]],Placements!A898:E1897,5,0)</f>
        <v>4.1900000000000004</v>
      </c>
      <c r="J898" s="1" t="str">
        <f>IF(VLOOKUP(Table7[[#This Row],[Student_ID]],student_data[#All],5,0)&gt;8,"HIGH",IF(VLOOKUP(Table7[[#This Row],[Student_ID]],student_data[#All],5,0)&lt;6.5,"LOW","MEDIUM"))</f>
        <v>HIGH</v>
      </c>
    </row>
    <row r="899" spans="1:10" x14ac:dyDescent="0.2">
      <c r="A899" s="1" t="s">
        <v>908</v>
      </c>
      <c r="B899" s="1" t="str">
        <f>VLOOKUP(Table7[[#This Row],[Student_ID]],student_data[#All],2,0)</f>
        <v>Information Technology</v>
      </c>
      <c r="C899" s="1">
        <f>(VLOOKUP(Table7[[#This Row],[Student_ID]],student_data[],5,0)*5)+(VLOOKUP(Table7[[#This Row],[Student_ID]],student_data[],6,0)*3)+(VLOOKUP(Table7[[#This Row],[Student_ID]],student_skills[],6,0)*2)+(VLOOKUP(Table7[[#This Row],[Student_ID]],student_internships[],2,0)*5)</f>
        <v>61.65</v>
      </c>
      <c r="D899" s="1">
        <f>AVERAGE(VLOOKUP(Table7[[#This Row],[Student_ID]],student_skills[],3,0),VLOOKUP(Table7[[#This Row],[Student_ID]],student_skills[],4,0),VLOOKUP(Table7[[#This Row],[Student_ID]],student_skills[],5,0),VLOOKUP(Table7[[#This Row],[Student_ID]],student_skills[],6,0))</f>
        <v>3.75</v>
      </c>
      <c r="E899" s="1" t="str">
        <f>IF(VLOOKUP(Table7[[#This Row],[Student_ID]],student_internships[#All],2,0)&gt;1,"EXPERIENCED",IF(VLOOKUP(Table7[[#This Row],[Student_ID]],student_internships[#All],2,0)=1,"BEGINNER","NOT EXPERIENCED"))</f>
        <v>NOT EXPERIENCED</v>
      </c>
      <c r="F899" s="1">
        <f>VLOOKUP(Table7[[#This Row],[Student_ID]],student_data[],5,0)</f>
        <v>6.93</v>
      </c>
      <c r="G899" s="1">
        <f>VLOOKUP(Table7[[#This Row],[Student_ID]],student_data[#All],6,0)</f>
        <v>5</v>
      </c>
      <c r="H899" s="1">
        <f>VLOOKUP(Table7[[#This Row],[Student_ID]],student_internships[],2,0)</f>
        <v>0</v>
      </c>
      <c r="I899" s="1">
        <f>VLOOKUP(Table7[[#This Row],[Student_ID]],Placements!A899:E1898,5,0)</f>
        <v>5.13</v>
      </c>
      <c r="J899" s="1" t="str">
        <f>IF(VLOOKUP(Table7[[#This Row],[Student_ID]],student_data[#All],5,0)&gt;8,"HIGH",IF(VLOOKUP(Table7[[#This Row],[Student_ID]],student_data[#All],5,0)&lt;6.5,"LOW","MEDIUM"))</f>
        <v>MEDIUM</v>
      </c>
    </row>
    <row r="900" spans="1:10" x14ac:dyDescent="0.2">
      <c r="A900" s="1" t="s">
        <v>909</v>
      </c>
      <c r="B900" s="1" t="str">
        <f>VLOOKUP(Table7[[#This Row],[Student_ID]],student_data[#All],2,0)</f>
        <v>Computer Science</v>
      </c>
      <c r="C900" s="1">
        <f>(VLOOKUP(Table7[[#This Row],[Student_ID]],student_data[],5,0)*5)+(VLOOKUP(Table7[[#This Row],[Student_ID]],student_data[],6,0)*3)+(VLOOKUP(Table7[[#This Row],[Student_ID]],student_skills[],6,0)*2)+(VLOOKUP(Table7[[#This Row],[Student_ID]],student_internships[],2,0)*5)</f>
        <v>66.7</v>
      </c>
      <c r="D900" s="1">
        <f>AVERAGE(VLOOKUP(Table7[[#This Row],[Student_ID]],student_skills[],3,0),VLOOKUP(Table7[[#This Row],[Student_ID]],student_skills[],4,0),VLOOKUP(Table7[[#This Row],[Student_ID]],student_skills[],5,0),VLOOKUP(Table7[[#This Row],[Student_ID]],student_skills[],6,0))</f>
        <v>7.5</v>
      </c>
      <c r="E900" s="1" t="str">
        <f>IF(VLOOKUP(Table7[[#This Row],[Student_ID]],student_internships[#All],2,0)&gt;1,"EXPERIENCED",IF(VLOOKUP(Table7[[#This Row],[Student_ID]],student_internships[#All],2,0)=1,"BEGINNER","NOT EXPERIENCED"))</f>
        <v>NOT EXPERIENCED</v>
      </c>
      <c r="F900" s="1">
        <f>VLOOKUP(Table7[[#This Row],[Student_ID]],student_data[],5,0)</f>
        <v>7.94</v>
      </c>
      <c r="G900" s="1">
        <f>VLOOKUP(Table7[[#This Row],[Student_ID]],student_data[#All],6,0)</f>
        <v>3</v>
      </c>
      <c r="H900" s="1">
        <f>VLOOKUP(Table7[[#This Row],[Student_ID]],student_internships[],2,0)</f>
        <v>0</v>
      </c>
      <c r="I900" s="1">
        <f>VLOOKUP(Table7[[#This Row],[Student_ID]],Placements!A900:E1899,5,0)</f>
        <v>4.12</v>
      </c>
      <c r="J900" s="1" t="str">
        <f>IF(VLOOKUP(Table7[[#This Row],[Student_ID]],student_data[#All],5,0)&gt;8,"HIGH",IF(VLOOKUP(Table7[[#This Row],[Student_ID]],student_data[#All],5,0)&lt;6.5,"LOW","MEDIUM"))</f>
        <v>MEDIUM</v>
      </c>
    </row>
    <row r="901" spans="1:10" x14ac:dyDescent="0.2">
      <c r="A901" s="1" t="s">
        <v>910</v>
      </c>
      <c r="B901" s="1" t="str">
        <f>VLOOKUP(Table7[[#This Row],[Student_ID]],student_data[#All],2,0)</f>
        <v>Computer Science</v>
      </c>
      <c r="C901" s="1">
        <f>(VLOOKUP(Table7[[#This Row],[Student_ID]],student_data[],5,0)*5)+(VLOOKUP(Table7[[#This Row],[Student_ID]],student_data[],6,0)*3)+(VLOOKUP(Table7[[#This Row],[Student_ID]],student_skills[],6,0)*2)+(VLOOKUP(Table7[[#This Row],[Student_ID]],student_internships[],2,0)*5)</f>
        <v>47.65</v>
      </c>
      <c r="D901" s="1">
        <f>AVERAGE(VLOOKUP(Table7[[#This Row],[Student_ID]],student_skills[],3,0),VLOOKUP(Table7[[#This Row],[Student_ID]],student_skills[],4,0),VLOOKUP(Table7[[#This Row],[Student_ID]],student_skills[],5,0),VLOOKUP(Table7[[#This Row],[Student_ID]],student_skills[],6,0))</f>
        <v>4.5</v>
      </c>
      <c r="E901" s="1" t="str">
        <f>IF(VLOOKUP(Table7[[#This Row],[Student_ID]],student_internships[#All],2,0)&gt;1,"EXPERIENCED",IF(VLOOKUP(Table7[[#This Row],[Student_ID]],student_internships[#All],2,0)=1,"BEGINNER","NOT EXPERIENCED"))</f>
        <v>EXPERIENCED</v>
      </c>
      <c r="F901" s="1">
        <f>VLOOKUP(Table7[[#This Row],[Student_ID]],student_data[],5,0)</f>
        <v>5.93</v>
      </c>
      <c r="G901" s="1">
        <f>VLOOKUP(Table7[[#This Row],[Student_ID]],student_data[#All],6,0)</f>
        <v>0</v>
      </c>
      <c r="H901" s="1">
        <f>VLOOKUP(Table7[[#This Row],[Student_ID]],student_internships[],2,0)</f>
        <v>2</v>
      </c>
      <c r="I901" s="1">
        <f>VLOOKUP(Table7[[#This Row],[Student_ID]],Placements!A901:E1900,5,0)</f>
        <v>4.5599999999999996</v>
      </c>
      <c r="J901" s="1" t="str">
        <f>IF(VLOOKUP(Table7[[#This Row],[Student_ID]],student_data[#All],5,0)&gt;8,"HIGH",IF(VLOOKUP(Table7[[#This Row],[Student_ID]],student_data[#All],5,0)&lt;6.5,"LOW","MEDIUM"))</f>
        <v>LOW</v>
      </c>
    </row>
    <row r="902" spans="1:10" x14ac:dyDescent="0.2">
      <c r="A902" s="1" t="s">
        <v>911</v>
      </c>
      <c r="B902" s="1" t="str">
        <f>VLOOKUP(Table7[[#This Row],[Student_ID]],student_data[#All],2,0)</f>
        <v>Computer Science</v>
      </c>
      <c r="C902" s="1">
        <f>(VLOOKUP(Table7[[#This Row],[Student_ID]],student_data[],5,0)*5)+(VLOOKUP(Table7[[#This Row],[Student_ID]],student_data[],6,0)*3)+(VLOOKUP(Table7[[#This Row],[Student_ID]],student_skills[],6,0)*2)+(VLOOKUP(Table7[[#This Row],[Student_ID]],student_internships[],2,0)*5)</f>
        <v>56</v>
      </c>
      <c r="D902" s="1">
        <f>AVERAGE(VLOOKUP(Table7[[#This Row],[Student_ID]],student_skills[],3,0),VLOOKUP(Table7[[#This Row],[Student_ID]],student_skills[],4,0),VLOOKUP(Table7[[#This Row],[Student_ID]],student_skills[],5,0),VLOOKUP(Table7[[#This Row],[Student_ID]],student_skills[],6,0))</f>
        <v>5.25</v>
      </c>
      <c r="E902" s="1" t="str">
        <f>IF(VLOOKUP(Table7[[#This Row],[Student_ID]],student_internships[#All],2,0)&gt;1,"EXPERIENCED",IF(VLOOKUP(Table7[[#This Row],[Student_ID]],student_internships[#All],2,0)=1,"BEGINNER","NOT EXPERIENCED"))</f>
        <v>NOT EXPERIENCED</v>
      </c>
      <c r="F902" s="1">
        <f>VLOOKUP(Table7[[#This Row],[Student_ID]],student_data[],5,0)</f>
        <v>8</v>
      </c>
      <c r="G902" s="1">
        <f>VLOOKUP(Table7[[#This Row],[Student_ID]],student_data[#All],6,0)</f>
        <v>4</v>
      </c>
      <c r="H902" s="1">
        <f>VLOOKUP(Table7[[#This Row],[Student_ID]],student_internships[],2,0)</f>
        <v>0</v>
      </c>
      <c r="I902" s="1">
        <f>VLOOKUP(Table7[[#This Row],[Student_ID]],Placements!A902:E1901,5,0)</f>
        <v>0</v>
      </c>
      <c r="J902" s="1" t="str">
        <f>IF(VLOOKUP(Table7[[#This Row],[Student_ID]],student_data[#All],5,0)&gt;8,"HIGH",IF(VLOOKUP(Table7[[#This Row],[Student_ID]],student_data[#All],5,0)&lt;6.5,"LOW","MEDIUM"))</f>
        <v>MEDIUM</v>
      </c>
    </row>
    <row r="903" spans="1:10" x14ac:dyDescent="0.2">
      <c r="A903" s="1" t="s">
        <v>912</v>
      </c>
      <c r="B903" s="1" t="str">
        <f>VLOOKUP(Table7[[#This Row],[Student_ID]],student_data[#All],2,0)</f>
        <v>Mechanical</v>
      </c>
      <c r="C903" s="1">
        <f>(VLOOKUP(Table7[[#This Row],[Student_ID]],student_data[],5,0)*5)+(VLOOKUP(Table7[[#This Row],[Student_ID]],student_data[],6,0)*3)+(VLOOKUP(Table7[[#This Row],[Student_ID]],student_skills[],6,0)*2)+(VLOOKUP(Table7[[#This Row],[Student_ID]],student_internships[],2,0)*5)</f>
        <v>57.550000000000004</v>
      </c>
      <c r="D903" s="1">
        <f>AVERAGE(VLOOKUP(Table7[[#This Row],[Student_ID]],student_skills[],3,0),VLOOKUP(Table7[[#This Row],[Student_ID]],student_skills[],4,0),VLOOKUP(Table7[[#This Row],[Student_ID]],student_skills[],5,0),VLOOKUP(Table7[[#This Row],[Student_ID]],student_skills[],6,0))</f>
        <v>4.75</v>
      </c>
      <c r="E903" s="1" t="str">
        <f>IF(VLOOKUP(Table7[[#This Row],[Student_ID]],student_internships[#All],2,0)&gt;1,"EXPERIENCED",IF(VLOOKUP(Table7[[#This Row],[Student_ID]],student_internships[#All],2,0)=1,"BEGINNER","NOT EXPERIENCED"))</f>
        <v>NOT EXPERIENCED</v>
      </c>
      <c r="F903" s="1">
        <f>VLOOKUP(Table7[[#This Row],[Student_ID]],student_data[],5,0)</f>
        <v>9.31</v>
      </c>
      <c r="G903" s="1">
        <f>VLOOKUP(Table7[[#This Row],[Student_ID]],student_data[#All],6,0)</f>
        <v>1</v>
      </c>
      <c r="H903" s="1">
        <f>VLOOKUP(Table7[[#This Row],[Student_ID]],student_internships[],2,0)</f>
        <v>0</v>
      </c>
      <c r="I903" s="1">
        <f>VLOOKUP(Table7[[#This Row],[Student_ID]],Placements!A903:E1902,5,0)</f>
        <v>5.13</v>
      </c>
      <c r="J903" s="1" t="str">
        <f>IF(VLOOKUP(Table7[[#This Row],[Student_ID]],student_data[#All],5,0)&gt;8,"HIGH",IF(VLOOKUP(Table7[[#This Row],[Student_ID]],student_data[#All],5,0)&lt;6.5,"LOW","MEDIUM"))</f>
        <v>HIGH</v>
      </c>
    </row>
    <row r="904" spans="1:10" x14ac:dyDescent="0.2">
      <c r="A904" s="1" t="s">
        <v>913</v>
      </c>
      <c r="B904" s="1" t="str">
        <f>VLOOKUP(Table7[[#This Row],[Student_ID]],student_data[#All],2,0)</f>
        <v>Mechanical</v>
      </c>
      <c r="C904" s="1">
        <f>(VLOOKUP(Table7[[#This Row],[Student_ID]],student_data[],5,0)*5)+(VLOOKUP(Table7[[#This Row],[Student_ID]],student_data[],6,0)*3)+(VLOOKUP(Table7[[#This Row],[Student_ID]],student_skills[],6,0)*2)+(VLOOKUP(Table7[[#This Row],[Student_ID]],student_internships[],2,0)*5)</f>
        <v>57.7</v>
      </c>
      <c r="D904" s="1">
        <f>AVERAGE(VLOOKUP(Table7[[#This Row],[Student_ID]],student_skills[],3,0),VLOOKUP(Table7[[#This Row],[Student_ID]],student_skills[],4,0),VLOOKUP(Table7[[#This Row],[Student_ID]],student_skills[],5,0),VLOOKUP(Table7[[#This Row],[Student_ID]],student_skills[],6,0))</f>
        <v>3.25</v>
      </c>
      <c r="E904" s="1" t="str">
        <f>IF(VLOOKUP(Table7[[#This Row],[Student_ID]],student_internships[#All],2,0)&gt;1,"EXPERIENCED",IF(VLOOKUP(Table7[[#This Row],[Student_ID]],student_internships[#All],2,0)=1,"BEGINNER","NOT EXPERIENCED"))</f>
        <v>NOT EXPERIENCED</v>
      </c>
      <c r="F904" s="1">
        <f>VLOOKUP(Table7[[#This Row],[Student_ID]],student_data[],5,0)</f>
        <v>9.34</v>
      </c>
      <c r="G904" s="1">
        <f>VLOOKUP(Table7[[#This Row],[Student_ID]],student_data[#All],6,0)</f>
        <v>3</v>
      </c>
      <c r="H904" s="1">
        <f>VLOOKUP(Table7[[#This Row],[Student_ID]],student_internships[],2,0)</f>
        <v>0</v>
      </c>
      <c r="I904" s="1">
        <f>VLOOKUP(Table7[[#This Row],[Student_ID]],Placements!A904:E1903,5,0)</f>
        <v>5.19</v>
      </c>
      <c r="J904" s="1" t="str">
        <f>IF(VLOOKUP(Table7[[#This Row],[Student_ID]],student_data[#All],5,0)&gt;8,"HIGH",IF(VLOOKUP(Table7[[#This Row],[Student_ID]],student_data[#All],5,0)&lt;6.5,"LOW","MEDIUM"))</f>
        <v>HIGH</v>
      </c>
    </row>
    <row r="905" spans="1:10" x14ac:dyDescent="0.2">
      <c r="A905" s="1" t="s">
        <v>914</v>
      </c>
      <c r="B905" s="1" t="str">
        <f>VLOOKUP(Table7[[#This Row],[Student_ID]],student_data[#All],2,0)</f>
        <v>Computer Science</v>
      </c>
      <c r="C905" s="1">
        <f>(VLOOKUP(Table7[[#This Row],[Student_ID]],student_data[],5,0)*5)+(VLOOKUP(Table7[[#This Row],[Student_ID]],student_data[],6,0)*3)+(VLOOKUP(Table7[[#This Row],[Student_ID]],student_skills[],6,0)*2)+(VLOOKUP(Table7[[#This Row],[Student_ID]],student_internships[],2,0)*5)</f>
        <v>52.099999999999994</v>
      </c>
      <c r="D905" s="1">
        <f>AVERAGE(VLOOKUP(Table7[[#This Row],[Student_ID]],student_skills[],3,0),VLOOKUP(Table7[[#This Row],[Student_ID]],student_skills[],4,0),VLOOKUP(Table7[[#This Row],[Student_ID]],student_skills[],5,0),VLOOKUP(Table7[[#This Row],[Student_ID]],student_skills[],6,0))</f>
        <v>3.5</v>
      </c>
      <c r="E905" s="1" t="str">
        <f>IF(VLOOKUP(Table7[[#This Row],[Student_ID]],student_internships[#All],2,0)&gt;1,"EXPERIENCED",IF(VLOOKUP(Table7[[#This Row],[Student_ID]],student_internships[#All],2,0)=1,"BEGINNER","NOT EXPERIENCED"))</f>
        <v>NOT EXPERIENCED</v>
      </c>
      <c r="F905" s="1">
        <f>VLOOKUP(Table7[[#This Row],[Student_ID]],student_data[],5,0)</f>
        <v>8.6199999999999992</v>
      </c>
      <c r="G905" s="1">
        <f>VLOOKUP(Table7[[#This Row],[Student_ID]],student_data[#All],6,0)</f>
        <v>1</v>
      </c>
      <c r="H905" s="1">
        <f>VLOOKUP(Table7[[#This Row],[Student_ID]],student_internships[],2,0)</f>
        <v>0</v>
      </c>
      <c r="I905" s="1">
        <f>VLOOKUP(Table7[[#This Row],[Student_ID]],Placements!A905:E1904,5,0)</f>
        <v>4.5</v>
      </c>
      <c r="J905" s="1" t="str">
        <f>IF(VLOOKUP(Table7[[#This Row],[Student_ID]],student_data[#All],5,0)&gt;8,"HIGH",IF(VLOOKUP(Table7[[#This Row],[Student_ID]],student_data[#All],5,0)&lt;6.5,"LOW","MEDIUM"))</f>
        <v>HIGH</v>
      </c>
    </row>
    <row r="906" spans="1:10" x14ac:dyDescent="0.2">
      <c r="A906" s="1" t="s">
        <v>915</v>
      </c>
      <c r="B906" s="1" t="str">
        <f>VLOOKUP(Table7[[#This Row],[Student_ID]],student_data[#All],2,0)</f>
        <v>Information Technology</v>
      </c>
      <c r="C906" s="1">
        <f>(VLOOKUP(Table7[[#This Row],[Student_ID]],student_data[],5,0)*5)+(VLOOKUP(Table7[[#This Row],[Student_ID]],student_data[],6,0)*3)+(VLOOKUP(Table7[[#This Row],[Student_ID]],student_skills[],6,0)*2)+(VLOOKUP(Table7[[#This Row],[Student_ID]],student_internships[],2,0)*5)</f>
        <v>63.650000000000006</v>
      </c>
      <c r="D906" s="1">
        <f>AVERAGE(VLOOKUP(Table7[[#This Row],[Student_ID]],student_skills[],3,0),VLOOKUP(Table7[[#This Row],[Student_ID]],student_skills[],4,0),VLOOKUP(Table7[[#This Row],[Student_ID]],student_skills[],5,0),VLOOKUP(Table7[[#This Row],[Student_ID]],student_skills[],6,0))</f>
        <v>5.75</v>
      </c>
      <c r="E906" s="1" t="str">
        <f>IF(VLOOKUP(Table7[[#This Row],[Student_ID]],student_internships[#All],2,0)&gt;1,"EXPERIENCED",IF(VLOOKUP(Table7[[#This Row],[Student_ID]],student_internships[#All],2,0)=1,"BEGINNER","NOT EXPERIENCED"))</f>
        <v>NOT EXPERIENCED</v>
      </c>
      <c r="F906" s="1">
        <f>VLOOKUP(Table7[[#This Row],[Student_ID]],student_data[],5,0)</f>
        <v>8.73</v>
      </c>
      <c r="G906" s="1">
        <f>VLOOKUP(Table7[[#This Row],[Student_ID]],student_data[#All],6,0)</f>
        <v>0</v>
      </c>
      <c r="H906" s="1">
        <f>VLOOKUP(Table7[[#This Row],[Student_ID]],student_internships[],2,0)</f>
        <v>0</v>
      </c>
      <c r="I906" s="1">
        <f>VLOOKUP(Table7[[#This Row],[Student_ID]],Placements!A906:E1905,5,0)</f>
        <v>4.1900000000000004</v>
      </c>
      <c r="J906" s="1" t="str">
        <f>IF(VLOOKUP(Table7[[#This Row],[Student_ID]],student_data[#All],5,0)&gt;8,"HIGH",IF(VLOOKUP(Table7[[#This Row],[Student_ID]],student_data[#All],5,0)&lt;6.5,"LOW","MEDIUM"))</f>
        <v>HIGH</v>
      </c>
    </row>
    <row r="907" spans="1:10" x14ac:dyDescent="0.2">
      <c r="A907" s="1" t="s">
        <v>916</v>
      </c>
      <c r="B907" s="1" t="str">
        <f>VLOOKUP(Table7[[#This Row],[Student_ID]],student_data[#All],2,0)</f>
        <v>Civil</v>
      </c>
      <c r="C907" s="1">
        <f>(VLOOKUP(Table7[[#This Row],[Student_ID]],student_data[],5,0)*5)+(VLOOKUP(Table7[[#This Row],[Student_ID]],student_data[],6,0)*3)+(VLOOKUP(Table7[[#This Row],[Student_ID]],student_skills[],6,0)*2)+(VLOOKUP(Table7[[#This Row],[Student_ID]],student_internships[],2,0)*5)</f>
        <v>73.95</v>
      </c>
      <c r="D907" s="1">
        <f>AVERAGE(VLOOKUP(Table7[[#This Row],[Student_ID]],student_skills[],3,0),VLOOKUP(Table7[[#This Row],[Student_ID]],student_skills[],4,0),VLOOKUP(Table7[[#This Row],[Student_ID]],student_skills[],5,0),VLOOKUP(Table7[[#This Row],[Student_ID]],student_skills[],6,0))</f>
        <v>5.5</v>
      </c>
      <c r="E907" s="1" t="str">
        <f>IF(VLOOKUP(Table7[[#This Row],[Student_ID]],student_internships[#All],2,0)&gt;1,"EXPERIENCED",IF(VLOOKUP(Table7[[#This Row],[Student_ID]],student_internships[#All],2,0)=1,"BEGINNER","NOT EXPERIENCED"))</f>
        <v>BEGINNER</v>
      </c>
      <c r="F907" s="1">
        <f>VLOOKUP(Table7[[#This Row],[Student_ID]],student_data[],5,0)</f>
        <v>7.79</v>
      </c>
      <c r="G907" s="1">
        <f>VLOOKUP(Table7[[#This Row],[Student_ID]],student_data[#All],6,0)</f>
        <v>4</v>
      </c>
      <c r="H907" s="1">
        <f>VLOOKUP(Table7[[#This Row],[Student_ID]],student_internships[],2,0)</f>
        <v>1</v>
      </c>
      <c r="I907" s="1">
        <f>VLOOKUP(Table7[[#This Row],[Student_ID]],Placements!A907:E1906,5,0)</f>
        <v>4.1100000000000003</v>
      </c>
      <c r="J907" s="1" t="str">
        <f>IF(VLOOKUP(Table7[[#This Row],[Student_ID]],student_data[#All],5,0)&gt;8,"HIGH",IF(VLOOKUP(Table7[[#This Row],[Student_ID]],student_data[#All],5,0)&lt;6.5,"LOW","MEDIUM"))</f>
        <v>MEDIUM</v>
      </c>
    </row>
    <row r="908" spans="1:10" x14ac:dyDescent="0.2">
      <c r="A908" s="1" t="s">
        <v>917</v>
      </c>
      <c r="B908" s="1" t="str">
        <f>VLOOKUP(Table7[[#This Row],[Student_ID]],student_data[#All],2,0)</f>
        <v>Civil</v>
      </c>
      <c r="C908" s="1">
        <f>(VLOOKUP(Table7[[#This Row],[Student_ID]],student_data[],5,0)*5)+(VLOOKUP(Table7[[#This Row],[Student_ID]],student_data[],6,0)*3)+(VLOOKUP(Table7[[#This Row],[Student_ID]],student_skills[],6,0)*2)+(VLOOKUP(Table7[[#This Row],[Student_ID]],student_internships[],2,0)*5)</f>
        <v>64.599999999999994</v>
      </c>
      <c r="D908" s="1">
        <f>AVERAGE(VLOOKUP(Table7[[#This Row],[Student_ID]],student_skills[],3,0),VLOOKUP(Table7[[#This Row],[Student_ID]],student_skills[],4,0),VLOOKUP(Table7[[#This Row],[Student_ID]],student_skills[],5,0),VLOOKUP(Table7[[#This Row],[Student_ID]],student_skills[],6,0))</f>
        <v>7.5</v>
      </c>
      <c r="E908" s="1" t="str">
        <f>IF(VLOOKUP(Table7[[#This Row],[Student_ID]],student_internships[#All],2,0)&gt;1,"EXPERIENCED",IF(VLOOKUP(Table7[[#This Row],[Student_ID]],student_internships[#All],2,0)=1,"BEGINNER","NOT EXPERIENCED"))</f>
        <v>BEGINNER</v>
      </c>
      <c r="F908" s="1">
        <f>VLOOKUP(Table7[[#This Row],[Student_ID]],student_data[],5,0)</f>
        <v>7.92</v>
      </c>
      <c r="G908" s="1">
        <f>VLOOKUP(Table7[[#This Row],[Student_ID]],student_data[#All],6,0)</f>
        <v>0</v>
      </c>
      <c r="H908" s="1">
        <f>VLOOKUP(Table7[[#This Row],[Student_ID]],student_internships[],2,0)</f>
        <v>1</v>
      </c>
      <c r="I908" s="1">
        <f>VLOOKUP(Table7[[#This Row],[Student_ID]],Placements!A908:E1907,5,0)</f>
        <v>0</v>
      </c>
      <c r="J908" s="1" t="str">
        <f>IF(VLOOKUP(Table7[[#This Row],[Student_ID]],student_data[#All],5,0)&gt;8,"HIGH",IF(VLOOKUP(Table7[[#This Row],[Student_ID]],student_data[#All],5,0)&lt;6.5,"LOW","MEDIUM"))</f>
        <v>MEDIUM</v>
      </c>
    </row>
    <row r="909" spans="1:10" x14ac:dyDescent="0.2">
      <c r="A909" s="1" t="s">
        <v>918</v>
      </c>
      <c r="B909" s="1" t="str">
        <f>VLOOKUP(Table7[[#This Row],[Student_ID]],student_data[#All],2,0)</f>
        <v>Electronics</v>
      </c>
      <c r="C909" s="1">
        <f>(VLOOKUP(Table7[[#This Row],[Student_ID]],student_data[],5,0)*5)+(VLOOKUP(Table7[[#This Row],[Student_ID]],student_data[],6,0)*3)+(VLOOKUP(Table7[[#This Row],[Student_ID]],student_skills[],6,0)*2)+(VLOOKUP(Table7[[#This Row],[Student_ID]],student_internships[],2,0)*5)</f>
        <v>63.35</v>
      </c>
      <c r="D909" s="1">
        <f>AVERAGE(VLOOKUP(Table7[[#This Row],[Student_ID]],student_skills[],3,0),VLOOKUP(Table7[[#This Row],[Student_ID]],student_skills[],4,0),VLOOKUP(Table7[[#This Row],[Student_ID]],student_skills[],5,0),VLOOKUP(Table7[[#This Row],[Student_ID]],student_skills[],6,0))</f>
        <v>4.75</v>
      </c>
      <c r="E909" s="1" t="str">
        <f>IF(VLOOKUP(Table7[[#This Row],[Student_ID]],student_internships[#All],2,0)&gt;1,"EXPERIENCED",IF(VLOOKUP(Table7[[#This Row],[Student_ID]],student_internships[#All],2,0)=1,"BEGINNER","NOT EXPERIENCED"))</f>
        <v>EXPERIENCED</v>
      </c>
      <c r="F909" s="1">
        <f>VLOOKUP(Table7[[#This Row],[Student_ID]],student_data[],5,0)</f>
        <v>5.67</v>
      </c>
      <c r="G909" s="1">
        <f>VLOOKUP(Table7[[#This Row],[Student_ID]],student_data[#All],6,0)</f>
        <v>5</v>
      </c>
      <c r="H909" s="1">
        <f>VLOOKUP(Table7[[#This Row],[Student_ID]],student_internships[],2,0)</f>
        <v>2</v>
      </c>
      <c r="I909" s="1">
        <f>VLOOKUP(Table7[[#This Row],[Student_ID]],Placements!A909:E1908,5,0)</f>
        <v>4.5599999999999996</v>
      </c>
      <c r="J909" s="1" t="str">
        <f>IF(VLOOKUP(Table7[[#This Row],[Student_ID]],student_data[#All],5,0)&gt;8,"HIGH",IF(VLOOKUP(Table7[[#This Row],[Student_ID]],student_data[#All],5,0)&lt;6.5,"LOW","MEDIUM"))</f>
        <v>LOW</v>
      </c>
    </row>
    <row r="910" spans="1:10" x14ac:dyDescent="0.2">
      <c r="A910" s="1" t="s">
        <v>919</v>
      </c>
      <c r="B910" s="1" t="str">
        <f>VLOOKUP(Table7[[#This Row],[Student_ID]],student_data[#All],2,0)</f>
        <v>Information Technology</v>
      </c>
      <c r="C910" s="1">
        <f>(VLOOKUP(Table7[[#This Row],[Student_ID]],student_data[],5,0)*5)+(VLOOKUP(Table7[[#This Row],[Student_ID]],student_data[],6,0)*3)+(VLOOKUP(Table7[[#This Row],[Student_ID]],student_skills[],6,0)*2)+(VLOOKUP(Table7[[#This Row],[Student_ID]],student_internships[],2,0)*5)</f>
        <v>61.1</v>
      </c>
      <c r="D910" s="1">
        <f>AVERAGE(VLOOKUP(Table7[[#This Row],[Student_ID]],student_skills[],3,0),VLOOKUP(Table7[[#This Row],[Student_ID]],student_skills[],4,0),VLOOKUP(Table7[[#This Row],[Student_ID]],student_skills[],5,0),VLOOKUP(Table7[[#This Row],[Student_ID]],student_skills[],6,0))</f>
        <v>7.5</v>
      </c>
      <c r="E910" s="1" t="str">
        <f>IF(VLOOKUP(Table7[[#This Row],[Student_ID]],student_internships[#All],2,0)&gt;1,"EXPERIENCED",IF(VLOOKUP(Table7[[#This Row],[Student_ID]],student_internships[#All],2,0)=1,"BEGINNER","NOT EXPERIENCED"))</f>
        <v>EXPERIENCED</v>
      </c>
      <c r="F910" s="1">
        <f>VLOOKUP(Table7[[#This Row],[Student_ID]],student_data[],5,0)</f>
        <v>7.22</v>
      </c>
      <c r="G910" s="1">
        <f>VLOOKUP(Table7[[#This Row],[Student_ID]],student_data[#All],6,0)</f>
        <v>1</v>
      </c>
      <c r="H910" s="1">
        <f>VLOOKUP(Table7[[#This Row],[Student_ID]],student_internships[],2,0)</f>
        <v>2</v>
      </c>
      <c r="I910" s="1">
        <f>VLOOKUP(Table7[[#This Row],[Student_ID]],Placements!A910:E1909,5,0)</f>
        <v>5.13</v>
      </c>
      <c r="J910" s="1" t="str">
        <f>IF(VLOOKUP(Table7[[#This Row],[Student_ID]],student_data[#All],5,0)&gt;8,"HIGH",IF(VLOOKUP(Table7[[#This Row],[Student_ID]],student_data[#All],5,0)&lt;6.5,"LOW","MEDIUM"))</f>
        <v>MEDIUM</v>
      </c>
    </row>
    <row r="911" spans="1:10" x14ac:dyDescent="0.2">
      <c r="A911" s="1" t="s">
        <v>920</v>
      </c>
      <c r="B911" s="1" t="str">
        <f>VLOOKUP(Table7[[#This Row],[Student_ID]],student_data[#All],2,0)</f>
        <v>Mechanical</v>
      </c>
      <c r="C911" s="1">
        <f>(VLOOKUP(Table7[[#This Row],[Student_ID]],student_data[],5,0)*5)+(VLOOKUP(Table7[[#This Row],[Student_ID]],student_data[],6,0)*3)+(VLOOKUP(Table7[[#This Row],[Student_ID]],student_skills[],6,0)*2)+(VLOOKUP(Table7[[#This Row],[Student_ID]],student_internships[],2,0)*5)</f>
        <v>59.25</v>
      </c>
      <c r="D911" s="1">
        <f>AVERAGE(VLOOKUP(Table7[[#This Row],[Student_ID]],student_skills[],3,0),VLOOKUP(Table7[[#This Row],[Student_ID]],student_skills[],4,0),VLOOKUP(Table7[[#This Row],[Student_ID]],student_skills[],5,0),VLOOKUP(Table7[[#This Row],[Student_ID]],student_skills[],6,0))</f>
        <v>2.5</v>
      </c>
      <c r="E911" s="1" t="str">
        <f>IF(VLOOKUP(Table7[[#This Row],[Student_ID]],student_internships[#All],2,0)&gt;1,"EXPERIENCED",IF(VLOOKUP(Table7[[#This Row],[Student_ID]],student_internships[#All],2,0)=1,"BEGINNER","NOT EXPERIENCED"))</f>
        <v>BEGINNER</v>
      </c>
      <c r="F911" s="1">
        <f>VLOOKUP(Table7[[#This Row],[Student_ID]],student_data[],5,0)</f>
        <v>7.25</v>
      </c>
      <c r="G911" s="1">
        <f>VLOOKUP(Table7[[#This Row],[Student_ID]],student_data[#All],6,0)</f>
        <v>4</v>
      </c>
      <c r="H911" s="1">
        <f>VLOOKUP(Table7[[#This Row],[Student_ID]],student_internships[],2,0)</f>
        <v>1</v>
      </c>
      <c r="I911" s="1">
        <f>VLOOKUP(Table7[[#This Row],[Student_ID]],Placements!A911:E1910,5,0)</f>
        <v>0</v>
      </c>
      <c r="J911" s="1" t="str">
        <f>IF(VLOOKUP(Table7[[#This Row],[Student_ID]],student_data[#All],5,0)&gt;8,"HIGH",IF(VLOOKUP(Table7[[#This Row],[Student_ID]],student_data[#All],5,0)&lt;6.5,"LOW","MEDIUM"))</f>
        <v>MEDIUM</v>
      </c>
    </row>
    <row r="912" spans="1:10" x14ac:dyDescent="0.2">
      <c r="A912" s="1" t="s">
        <v>921</v>
      </c>
      <c r="B912" s="1" t="str">
        <f>VLOOKUP(Table7[[#This Row],[Student_ID]],student_data[#All],2,0)</f>
        <v>Computer Science</v>
      </c>
      <c r="C912" s="1">
        <f>(VLOOKUP(Table7[[#This Row],[Student_ID]],student_data[],5,0)*5)+(VLOOKUP(Table7[[#This Row],[Student_ID]],student_data[],6,0)*3)+(VLOOKUP(Table7[[#This Row],[Student_ID]],student_skills[],6,0)*2)+(VLOOKUP(Table7[[#This Row],[Student_ID]],student_internships[],2,0)*5)</f>
        <v>73.949999999999989</v>
      </c>
      <c r="D912" s="1">
        <f>AVERAGE(VLOOKUP(Table7[[#This Row],[Student_ID]],student_skills[],3,0),VLOOKUP(Table7[[#This Row],[Student_ID]],student_skills[],4,0),VLOOKUP(Table7[[#This Row],[Student_ID]],student_skills[],5,0),VLOOKUP(Table7[[#This Row],[Student_ID]],student_skills[],6,0))</f>
        <v>3</v>
      </c>
      <c r="E912" s="1" t="str">
        <f>IF(VLOOKUP(Table7[[#This Row],[Student_ID]],student_internships[#All],2,0)&gt;1,"EXPERIENCED",IF(VLOOKUP(Table7[[#This Row],[Student_ID]],student_internships[#All],2,0)=1,"BEGINNER","NOT EXPERIENCED"))</f>
        <v>NOT EXPERIENCED</v>
      </c>
      <c r="F912" s="1">
        <f>VLOOKUP(Table7[[#This Row],[Student_ID]],student_data[],5,0)</f>
        <v>9.7899999999999991</v>
      </c>
      <c r="G912" s="1">
        <f>VLOOKUP(Table7[[#This Row],[Student_ID]],student_data[#All],6,0)</f>
        <v>5</v>
      </c>
      <c r="H912" s="1">
        <f>VLOOKUP(Table7[[#This Row],[Student_ID]],student_internships[],2,0)</f>
        <v>0</v>
      </c>
      <c r="I912" s="1">
        <f>VLOOKUP(Table7[[#This Row],[Student_ID]],Placements!A912:E1911,5,0)</f>
        <v>4.12</v>
      </c>
      <c r="J912" s="1" t="str">
        <f>IF(VLOOKUP(Table7[[#This Row],[Student_ID]],student_data[#All],5,0)&gt;8,"HIGH",IF(VLOOKUP(Table7[[#This Row],[Student_ID]],student_data[#All],5,0)&lt;6.5,"LOW","MEDIUM"))</f>
        <v>HIGH</v>
      </c>
    </row>
    <row r="913" spans="1:10" x14ac:dyDescent="0.2">
      <c r="A913" s="1" t="s">
        <v>922</v>
      </c>
      <c r="B913" s="1" t="str">
        <f>VLOOKUP(Table7[[#This Row],[Student_ID]],student_data[#All],2,0)</f>
        <v>Electronics</v>
      </c>
      <c r="C913" s="1">
        <f>(VLOOKUP(Table7[[#This Row],[Student_ID]],student_data[],5,0)*5)+(VLOOKUP(Table7[[#This Row],[Student_ID]],student_data[],6,0)*3)+(VLOOKUP(Table7[[#This Row],[Student_ID]],student_skills[],6,0)*2)+(VLOOKUP(Table7[[#This Row],[Student_ID]],student_internships[],2,0)*5)</f>
        <v>68.8</v>
      </c>
      <c r="D913" s="1">
        <f>AVERAGE(VLOOKUP(Table7[[#This Row],[Student_ID]],student_skills[],3,0),VLOOKUP(Table7[[#This Row],[Student_ID]],student_skills[],4,0),VLOOKUP(Table7[[#This Row],[Student_ID]],student_skills[],5,0),VLOOKUP(Table7[[#This Row],[Student_ID]],student_skills[],6,0))</f>
        <v>5.75</v>
      </c>
      <c r="E913" s="1" t="str">
        <f>IF(VLOOKUP(Table7[[#This Row],[Student_ID]],student_internships[#All],2,0)&gt;1,"EXPERIENCED",IF(VLOOKUP(Table7[[#This Row],[Student_ID]],student_internships[#All],2,0)=1,"BEGINNER","NOT EXPERIENCED"))</f>
        <v>BEGINNER</v>
      </c>
      <c r="F913" s="1">
        <f>VLOOKUP(Table7[[#This Row],[Student_ID]],student_data[],5,0)</f>
        <v>7.16</v>
      </c>
      <c r="G913" s="1">
        <f>VLOOKUP(Table7[[#This Row],[Student_ID]],student_data[#All],6,0)</f>
        <v>4</v>
      </c>
      <c r="H913" s="1">
        <f>VLOOKUP(Table7[[#This Row],[Student_ID]],student_internships[],2,0)</f>
        <v>1</v>
      </c>
      <c r="I913" s="1">
        <f>VLOOKUP(Table7[[#This Row],[Student_ID]],Placements!A913:E1912,5,0)</f>
        <v>4.3499999999999996</v>
      </c>
      <c r="J913" s="1" t="str">
        <f>IF(VLOOKUP(Table7[[#This Row],[Student_ID]],student_data[#All],5,0)&gt;8,"HIGH",IF(VLOOKUP(Table7[[#This Row],[Student_ID]],student_data[#All],5,0)&lt;6.5,"LOW","MEDIUM"))</f>
        <v>MEDIUM</v>
      </c>
    </row>
    <row r="914" spans="1:10" x14ac:dyDescent="0.2">
      <c r="A914" s="1" t="s">
        <v>923</v>
      </c>
      <c r="B914" s="1" t="str">
        <f>VLOOKUP(Table7[[#This Row],[Student_ID]],student_data[#All],2,0)</f>
        <v>Civil</v>
      </c>
      <c r="C914" s="1">
        <f>(VLOOKUP(Table7[[#This Row],[Student_ID]],student_data[],5,0)*5)+(VLOOKUP(Table7[[#This Row],[Student_ID]],student_data[],6,0)*3)+(VLOOKUP(Table7[[#This Row],[Student_ID]],student_skills[],6,0)*2)+(VLOOKUP(Table7[[#This Row],[Student_ID]],student_internships[],2,0)*5)</f>
        <v>70.75</v>
      </c>
      <c r="D914" s="1">
        <f>AVERAGE(VLOOKUP(Table7[[#This Row],[Student_ID]],student_skills[],3,0),VLOOKUP(Table7[[#This Row],[Student_ID]],student_skills[],4,0),VLOOKUP(Table7[[#This Row],[Student_ID]],student_skills[],5,0),VLOOKUP(Table7[[#This Row],[Student_ID]],student_skills[],6,0))</f>
        <v>4</v>
      </c>
      <c r="E914" s="1" t="str">
        <f>IF(VLOOKUP(Table7[[#This Row],[Student_ID]],student_internships[#All],2,0)&gt;1,"EXPERIENCED",IF(VLOOKUP(Table7[[#This Row],[Student_ID]],student_internships[#All],2,0)=1,"BEGINNER","NOT EXPERIENCED"))</f>
        <v>BEGINNER</v>
      </c>
      <c r="F914" s="1">
        <f>VLOOKUP(Table7[[#This Row],[Student_ID]],student_data[],5,0)</f>
        <v>7.75</v>
      </c>
      <c r="G914" s="1">
        <f>VLOOKUP(Table7[[#This Row],[Student_ID]],student_data[#All],6,0)</f>
        <v>5</v>
      </c>
      <c r="H914" s="1">
        <f>VLOOKUP(Table7[[#This Row],[Student_ID]],student_internships[],2,0)</f>
        <v>1</v>
      </c>
      <c r="I914" s="1">
        <f>VLOOKUP(Table7[[#This Row],[Student_ID]],Placements!A914:E1913,5,0)</f>
        <v>4.5</v>
      </c>
      <c r="J914" s="1" t="str">
        <f>IF(VLOOKUP(Table7[[#This Row],[Student_ID]],student_data[#All],5,0)&gt;8,"HIGH",IF(VLOOKUP(Table7[[#This Row],[Student_ID]],student_data[#All],5,0)&lt;6.5,"LOW","MEDIUM"))</f>
        <v>MEDIUM</v>
      </c>
    </row>
    <row r="915" spans="1:10" x14ac:dyDescent="0.2">
      <c r="A915" s="1" t="s">
        <v>924</v>
      </c>
      <c r="B915" s="1" t="str">
        <f>VLOOKUP(Table7[[#This Row],[Student_ID]],student_data[#All],2,0)</f>
        <v>Mechanical</v>
      </c>
      <c r="C915" s="1">
        <f>(VLOOKUP(Table7[[#This Row],[Student_ID]],student_data[],5,0)*5)+(VLOOKUP(Table7[[#This Row],[Student_ID]],student_data[],6,0)*3)+(VLOOKUP(Table7[[#This Row],[Student_ID]],student_skills[],6,0)*2)+(VLOOKUP(Table7[[#This Row],[Student_ID]],student_internships[],2,0)*5)</f>
        <v>46.35</v>
      </c>
      <c r="D915" s="1">
        <f>AVERAGE(VLOOKUP(Table7[[#This Row],[Student_ID]],student_skills[],3,0),VLOOKUP(Table7[[#This Row],[Student_ID]],student_skills[],4,0),VLOOKUP(Table7[[#This Row],[Student_ID]],student_skills[],5,0),VLOOKUP(Table7[[#This Row],[Student_ID]],student_skills[],6,0))</f>
        <v>4.75</v>
      </c>
      <c r="E915" s="1" t="str">
        <f>IF(VLOOKUP(Table7[[#This Row],[Student_ID]],student_internships[#All],2,0)&gt;1,"EXPERIENCED",IF(VLOOKUP(Table7[[#This Row],[Student_ID]],student_internships[#All],2,0)=1,"BEGINNER","NOT EXPERIENCED"))</f>
        <v>NOT EXPERIENCED</v>
      </c>
      <c r="F915" s="1">
        <f>VLOOKUP(Table7[[#This Row],[Student_ID]],student_data[],5,0)</f>
        <v>7.67</v>
      </c>
      <c r="G915" s="1">
        <f>VLOOKUP(Table7[[#This Row],[Student_ID]],student_data[#All],6,0)</f>
        <v>0</v>
      </c>
      <c r="H915" s="1">
        <f>VLOOKUP(Table7[[#This Row],[Student_ID]],student_internships[],2,0)</f>
        <v>0</v>
      </c>
      <c r="I915" s="1">
        <f>VLOOKUP(Table7[[#This Row],[Student_ID]],Placements!A915:E1914,5,0)</f>
        <v>4.1900000000000004</v>
      </c>
      <c r="J915" s="1" t="str">
        <f>IF(VLOOKUP(Table7[[#This Row],[Student_ID]],student_data[#All],5,0)&gt;8,"HIGH",IF(VLOOKUP(Table7[[#This Row],[Student_ID]],student_data[#All],5,0)&lt;6.5,"LOW","MEDIUM"))</f>
        <v>MEDIUM</v>
      </c>
    </row>
    <row r="916" spans="1:10" x14ac:dyDescent="0.2">
      <c r="A916" s="1" t="s">
        <v>925</v>
      </c>
      <c r="B916" s="1" t="str">
        <f>VLOOKUP(Table7[[#This Row],[Student_ID]],student_data[#All],2,0)</f>
        <v>Mechanical</v>
      </c>
      <c r="C916" s="1">
        <f>(VLOOKUP(Table7[[#This Row],[Student_ID]],student_data[],5,0)*5)+(VLOOKUP(Table7[[#This Row],[Student_ID]],student_data[],6,0)*3)+(VLOOKUP(Table7[[#This Row],[Student_ID]],student_skills[],6,0)*2)+(VLOOKUP(Table7[[#This Row],[Student_ID]],student_internships[],2,0)*5)</f>
        <v>58.9</v>
      </c>
      <c r="D916" s="1">
        <f>AVERAGE(VLOOKUP(Table7[[#This Row],[Student_ID]],student_skills[],3,0),VLOOKUP(Table7[[#This Row],[Student_ID]],student_skills[],4,0),VLOOKUP(Table7[[#This Row],[Student_ID]],student_skills[],5,0),VLOOKUP(Table7[[#This Row],[Student_ID]],student_skills[],6,0))</f>
        <v>5.25</v>
      </c>
      <c r="E916" s="1" t="str">
        <f>IF(VLOOKUP(Table7[[#This Row],[Student_ID]],student_internships[#All],2,0)&gt;1,"EXPERIENCED",IF(VLOOKUP(Table7[[#This Row],[Student_ID]],student_internships[#All],2,0)=1,"BEGINNER","NOT EXPERIENCED"))</f>
        <v>BEGINNER</v>
      </c>
      <c r="F916" s="1">
        <f>VLOOKUP(Table7[[#This Row],[Student_ID]],student_data[],5,0)</f>
        <v>8.18</v>
      </c>
      <c r="G916" s="1">
        <f>VLOOKUP(Table7[[#This Row],[Student_ID]],student_data[#All],6,0)</f>
        <v>3</v>
      </c>
      <c r="H916" s="1">
        <f>VLOOKUP(Table7[[#This Row],[Student_ID]],student_internships[],2,0)</f>
        <v>1</v>
      </c>
      <c r="I916" s="1">
        <f>VLOOKUP(Table7[[#This Row],[Student_ID]],Placements!A916:E1915,5,0)</f>
        <v>4.1100000000000003</v>
      </c>
      <c r="J916" s="1" t="str">
        <f>IF(VLOOKUP(Table7[[#This Row],[Student_ID]],student_data[#All],5,0)&gt;8,"HIGH",IF(VLOOKUP(Table7[[#This Row],[Student_ID]],student_data[#All],5,0)&lt;6.5,"LOW","MEDIUM"))</f>
        <v>HIGH</v>
      </c>
    </row>
    <row r="917" spans="1:10" x14ac:dyDescent="0.2">
      <c r="A917" s="1" t="s">
        <v>926</v>
      </c>
      <c r="B917" s="1" t="str">
        <f>VLOOKUP(Table7[[#This Row],[Student_ID]],student_data[#All],2,0)</f>
        <v>Computer Science</v>
      </c>
      <c r="C917" s="1">
        <f>(VLOOKUP(Table7[[#This Row],[Student_ID]],student_data[],5,0)*5)+(VLOOKUP(Table7[[#This Row],[Student_ID]],student_data[],6,0)*3)+(VLOOKUP(Table7[[#This Row],[Student_ID]],student_skills[],6,0)*2)+(VLOOKUP(Table7[[#This Row],[Student_ID]],student_internships[],2,0)*5)</f>
        <v>69.7</v>
      </c>
      <c r="D917" s="1">
        <f>AVERAGE(VLOOKUP(Table7[[#This Row],[Student_ID]],student_skills[],3,0),VLOOKUP(Table7[[#This Row],[Student_ID]],student_skills[],4,0),VLOOKUP(Table7[[#This Row],[Student_ID]],student_skills[],5,0),VLOOKUP(Table7[[#This Row],[Student_ID]],student_skills[],6,0))</f>
        <v>6.5</v>
      </c>
      <c r="E917" s="1" t="str">
        <f>IF(VLOOKUP(Table7[[#This Row],[Student_ID]],student_internships[#All],2,0)&gt;1,"EXPERIENCED",IF(VLOOKUP(Table7[[#This Row],[Student_ID]],student_internships[#All],2,0)=1,"BEGINNER","NOT EXPERIENCED"))</f>
        <v>BEGINNER</v>
      </c>
      <c r="F917" s="1">
        <f>VLOOKUP(Table7[[#This Row],[Student_ID]],student_data[],5,0)</f>
        <v>8.74</v>
      </c>
      <c r="G917" s="1">
        <f>VLOOKUP(Table7[[#This Row],[Student_ID]],student_data[#All],6,0)</f>
        <v>1</v>
      </c>
      <c r="H917" s="1">
        <f>VLOOKUP(Table7[[#This Row],[Student_ID]],student_internships[],2,0)</f>
        <v>1</v>
      </c>
      <c r="I917" s="1">
        <f>VLOOKUP(Table7[[#This Row],[Student_ID]],Placements!A917:E1916,5,0)</f>
        <v>4.53</v>
      </c>
      <c r="J917" s="1" t="str">
        <f>IF(VLOOKUP(Table7[[#This Row],[Student_ID]],student_data[#All],5,0)&gt;8,"HIGH",IF(VLOOKUP(Table7[[#This Row],[Student_ID]],student_data[#All],5,0)&lt;6.5,"LOW","MEDIUM"))</f>
        <v>HIGH</v>
      </c>
    </row>
    <row r="918" spans="1:10" x14ac:dyDescent="0.2">
      <c r="A918" s="1" t="s">
        <v>927</v>
      </c>
      <c r="B918" s="1" t="str">
        <f>VLOOKUP(Table7[[#This Row],[Student_ID]],student_data[#All],2,0)</f>
        <v>Civil</v>
      </c>
      <c r="C918" s="1">
        <f>(VLOOKUP(Table7[[#This Row],[Student_ID]],student_data[],5,0)*5)+(VLOOKUP(Table7[[#This Row],[Student_ID]],student_data[],6,0)*3)+(VLOOKUP(Table7[[#This Row],[Student_ID]],student_skills[],6,0)*2)+(VLOOKUP(Table7[[#This Row],[Student_ID]],student_internships[],2,0)*5)</f>
        <v>43.65</v>
      </c>
      <c r="D918" s="1">
        <f>AVERAGE(VLOOKUP(Table7[[#This Row],[Student_ID]],student_skills[],3,0),VLOOKUP(Table7[[#This Row],[Student_ID]],student_skills[],4,0),VLOOKUP(Table7[[#This Row],[Student_ID]],student_skills[],5,0),VLOOKUP(Table7[[#This Row],[Student_ID]],student_skills[],6,0))</f>
        <v>4.75</v>
      </c>
      <c r="E918" s="1" t="str">
        <f>IF(VLOOKUP(Table7[[#This Row],[Student_ID]],student_internships[#All],2,0)&gt;1,"EXPERIENCED",IF(VLOOKUP(Table7[[#This Row],[Student_ID]],student_internships[#All],2,0)=1,"BEGINNER","NOT EXPERIENCED"))</f>
        <v>BEGINNER</v>
      </c>
      <c r="F918" s="1">
        <f>VLOOKUP(Table7[[#This Row],[Student_ID]],student_data[],5,0)</f>
        <v>6.13</v>
      </c>
      <c r="G918" s="1">
        <f>VLOOKUP(Table7[[#This Row],[Student_ID]],student_data[#All],6,0)</f>
        <v>2</v>
      </c>
      <c r="H918" s="1">
        <f>VLOOKUP(Table7[[#This Row],[Student_ID]],student_internships[],2,0)</f>
        <v>1</v>
      </c>
      <c r="I918" s="1">
        <f>VLOOKUP(Table7[[#This Row],[Student_ID]],Placements!A918:E1917,5,0)</f>
        <v>5.13</v>
      </c>
      <c r="J918" s="1" t="str">
        <f>IF(VLOOKUP(Table7[[#This Row],[Student_ID]],student_data[#All],5,0)&gt;8,"HIGH",IF(VLOOKUP(Table7[[#This Row],[Student_ID]],student_data[#All],5,0)&lt;6.5,"LOW","MEDIUM"))</f>
        <v>LOW</v>
      </c>
    </row>
    <row r="919" spans="1:10" x14ac:dyDescent="0.2">
      <c r="A919" s="1" t="s">
        <v>928</v>
      </c>
      <c r="B919" s="1" t="str">
        <f>VLOOKUP(Table7[[#This Row],[Student_ID]],student_data[#All],2,0)</f>
        <v>Information Technology</v>
      </c>
      <c r="C919" s="1">
        <f>(VLOOKUP(Table7[[#This Row],[Student_ID]],student_data[],5,0)*5)+(VLOOKUP(Table7[[#This Row],[Student_ID]],student_data[],6,0)*3)+(VLOOKUP(Table7[[#This Row],[Student_ID]],student_skills[],6,0)*2)+(VLOOKUP(Table7[[#This Row],[Student_ID]],student_internships[],2,0)*5)</f>
        <v>51.199999999999996</v>
      </c>
      <c r="D919" s="1">
        <f>AVERAGE(VLOOKUP(Table7[[#This Row],[Student_ID]],student_skills[],3,0),VLOOKUP(Table7[[#This Row],[Student_ID]],student_skills[],4,0),VLOOKUP(Table7[[#This Row],[Student_ID]],student_skills[],5,0),VLOOKUP(Table7[[#This Row],[Student_ID]],student_skills[],6,0))</f>
        <v>4</v>
      </c>
      <c r="E919" s="1" t="str">
        <f>IF(VLOOKUP(Table7[[#This Row],[Student_ID]],student_internships[#All],2,0)&gt;1,"EXPERIENCED",IF(VLOOKUP(Table7[[#This Row],[Student_ID]],student_internships[#All],2,0)=1,"BEGINNER","NOT EXPERIENCED"))</f>
        <v>BEGINNER</v>
      </c>
      <c r="F919" s="1">
        <f>VLOOKUP(Table7[[#This Row],[Student_ID]],student_data[],5,0)</f>
        <v>7.64</v>
      </c>
      <c r="G919" s="1">
        <f>VLOOKUP(Table7[[#This Row],[Student_ID]],student_data[#All],6,0)</f>
        <v>2</v>
      </c>
      <c r="H919" s="1">
        <f>VLOOKUP(Table7[[#This Row],[Student_ID]],student_internships[],2,0)</f>
        <v>1</v>
      </c>
      <c r="I919" s="1">
        <f>VLOOKUP(Table7[[#This Row],[Student_ID]],Placements!A919:E1918,5,0)</f>
        <v>0</v>
      </c>
      <c r="J919" s="1" t="str">
        <f>IF(VLOOKUP(Table7[[#This Row],[Student_ID]],student_data[#All],5,0)&gt;8,"HIGH",IF(VLOOKUP(Table7[[#This Row],[Student_ID]],student_data[#All],5,0)&lt;6.5,"LOW","MEDIUM"))</f>
        <v>MEDIUM</v>
      </c>
    </row>
    <row r="920" spans="1:10" x14ac:dyDescent="0.2">
      <c r="A920" s="1" t="s">
        <v>929</v>
      </c>
      <c r="B920" s="1" t="str">
        <f>VLOOKUP(Table7[[#This Row],[Student_ID]],student_data[#All],2,0)</f>
        <v>Mechanical</v>
      </c>
      <c r="C920" s="1">
        <f>(VLOOKUP(Table7[[#This Row],[Student_ID]],student_data[],5,0)*5)+(VLOOKUP(Table7[[#This Row],[Student_ID]],student_data[],6,0)*3)+(VLOOKUP(Table7[[#This Row],[Student_ID]],student_skills[],6,0)*2)+(VLOOKUP(Table7[[#This Row],[Student_ID]],student_internships[],2,0)*5)</f>
        <v>53.650000000000006</v>
      </c>
      <c r="D920" s="1">
        <f>AVERAGE(VLOOKUP(Table7[[#This Row],[Student_ID]],student_skills[],3,0),VLOOKUP(Table7[[#This Row],[Student_ID]],student_skills[],4,0),VLOOKUP(Table7[[#This Row],[Student_ID]],student_skills[],5,0),VLOOKUP(Table7[[#This Row],[Student_ID]],student_skills[],6,0))</f>
        <v>3</v>
      </c>
      <c r="E920" s="1" t="str">
        <f>IF(VLOOKUP(Table7[[#This Row],[Student_ID]],student_internships[#All],2,0)&gt;1,"EXPERIENCED",IF(VLOOKUP(Table7[[#This Row],[Student_ID]],student_internships[#All],2,0)=1,"BEGINNER","NOT EXPERIENCED"))</f>
        <v>NOT EXPERIENCED</v>
      </c>
      <c r="F920" s="1">
        <f>VLOOKUP(Table7[[#This Row],[Student_ID]],student_data[],5,0)</f>
        <v>9.1300000000000008</v>
      </c>
      <c r="G920" s="1">
        <f>VLOOKUP(Table7[[#This Row],[Student_ID]],student_data[#All],6,0)</f>
        <v>0</v>
      </c>
      <c r="H920" s="1">
        <f>VLOOKUP(Table7[[#This Row],[Student_ID]],student_internships[],2,0)</f>
        <v>0</v>
      </c>
      <c r="I920" s="1">
        <f>VLOOKUP(Table7[[#This Row],[Student_ID]],Placements!A920:E1919,5,0)</f>
        <v>4.5</v>
      </c>
      <c r="J920" s="1" t="str">
        <f>IF(VLOOKUP(Table7[[#This Row],[Student_ID]],student_data[#All],5,0)&gt;8,"HIGH",IF(VLOOKUP(Table7[[#This Row],[Student_ID]],student_data[#All],5,0)&lt;6.5,"LOW","MEDIUM"))</f>
        <v>HIGH</v>
      </c>
    </row>
    <row r="921" spans="1:10" x14ac:dyDescent="0.2">
      <c r="A921" s="1" t="s">
        <v>930</v>
      </c>
      <c r="B921" s="1" t="str">
        <f>VLOOKUP(Table7[[#This Row],[Student_ID]],student_data[#All],2,0)</f>
        <v>Computer Science</v>
      </c>
      <c r="C921" s="1">
        <f>(VLOOKUP(Table7[[#This Row],[Student_ID]],student_data[],5,0)*5)+(VLOOKUP(Table7[[#This Row],[Student_ID]],student_data[],6,0)*3)+(VLOOKUP(Table7[[#This Row],[Student_ID]],student_skills[],6,0)*2)+(VLOOKUP(Table7[[#This Row],[Student_ID]],student_internships[],2,0)*5)</f>
        <v>68.599999999999994</v>
      </c>
      <c r="D921" s="1">
        <f>AVERAGE(VLOOKUP(Table7[[#This Row],[Student_ID]],student_skills[],3,0),VLOOKUP(Table7[[#This Row],[Student_ID]],student_skills[],4,0),VLOOKUP(Table7[[#This Row],[Student_ID]],student_skills[],5,0),VLOOKUP(Table7[[#This Row],[Student_ID]],student_skills[],6,0))</f>
        <v>6.25</v>
      </c>
      <c r="E921" s="1" t="str">
        <f>IF(VLOOKUP(Table7[[#This Row],[Student_ID]],student_internships[#All],2,0)&gt;1,"EXPERIENCED",IF(VLOOKUP(Table7[[#This Row],[Student_ID]],student_internships[#All],2,0)=1,"BEGINNER","NOT EXPERIENCED"))</f>
        <v>EXPERIENCED</v>
      </c>
      <c r="F921" s="1">
        <f>VLOOKUP(Table7[[#This Row],[Student_ID]],student_data[],5,0)</f>
        <v>7.32</v>
      </c>
      <c r="G921" s="1">
        <f>VLOOKUP(Table7[[#This Row],[Student_ID]],student_data[#All],6,0)</f>
        <v>1</v>
      </c>
      <c r="H921" s="1">
        <f>VLOOKUP(Table7[[#This Row],[Student_ID]],student_internships[],2,0)</f>
        <v>3</v>
      </c>
      <c r="I921" s="1">
        <f>VLOOKUP(Table7[[#This Row],[Student_ID]],Placements!A921:E1920,5,0)</f>
        <v>4.3499999999999996</v>
      </c>
      <c r="J921" s="1" t="str">
        <f>IF(VLOOKUP(Table7[[#This Row],[Student_ID]],student_data[#All],5,0)&gt;8,"HIGH",IF(VLOOKUP(Table7[[#This Row],[Student_ID]],student_data[#All],5,0)&lt;6.5,"LOW","MEDIUM"))</f>
        <v>MEDIUM</v>
      </c>
    </row>
    <row r="922" spans="1:10" x14ac:dyDescent="0.2">
      <c r="A922" s="1" t="s">
        <v>931</v>
      </c>
      <c r="B922" s="1" t="str">
        <f>VLOOKUP(Table7[[#This Row],[Student_ID]],student_data[#All],2,0)</f>
        <v>Information Technology</v>
      </c>
      <c r="C922" s="1">
        <f>(VLOOKUP(Table7[[#This Row],[Student_ID]],student_data[],5,0)*5)+(VLOOKUP(Table7[[#This Row],[Student_ID]],student_data[],6,0)*3)+(VLOOKUP(Table7[[#This Row],[Student_ID]],student_skills[],6,0)*2)+(VLOOKUP(Table7[[#This Row],[Student_ID]],student_internships[],2,0)*5)</f>
        <v>46.95</v>
      </c>
      <c r="D922" s="1">
        <f>AVERAGE(VLOOKUP(Table7[[#This Row],[Student_ID]],student_skills[],3,0),VLOOKUP(Table7[[#This Row],[Student_ID]],student_skills[],4,0),VLOOKUP(Table7[[#This Row],[Student_ID]],student_skills[],5,0),VLOOKUP(Table7[[#This Row],[Student_ID]],student_skills[],6,0))</f>
        <v>5</v>
      </c>
      <c r="E922" s="1" t="str">
        <f>IF(VLOOKUP(Table7[[#This Row],[Student_ID]],student_internships[#All],2,0)&gt;1,"EXPERIENCED",IF(VLOOKUP(Table7[[#This Row],[Student_ID]],student_internships[#All],2,0)=1,"BEGINNER","NOT EXPERIENCED"))</f>
        <v>EXPERIENCED</v>
      </c>
      <c r="F922" s="1">
        <f>VLOOKUP(Table7[[#This Row],[Student_ID]],student_data[],5,0)</f>
        <v>6.39</v>
      </c>
      <c r="G922" s="1">
        <f>VLOOKUP(Table7[[#This Row],[Student_ID]],student_data[#All],6,0)</f>
        <v>1</v>
      </c>
      <c r="H922" s="1">
        <f>VLOOKUP(Table7[[#This Row],[Student_ID]],student_internships[],2,0)</f>
        <v>2</v>
      </c>
      <c r="I922" s="1">
        <f>VLOOKUP(Table7[[#This Row],[Student_ID]],Placements!A922:E1921,5,0)</f>
        <v>4.1900000000000004</v>
      </c>
      <c r="J922" s="1" t="str">
        <f>IF(VLOOKUP(Table7[[#This Row],[Student_ID]],student_data[#All],5,0)&gt;8,"HIGH",IF(VLOOKUP(Table7[[#This Row],[Student_ID]],student_data[#All],5,0)&lt;6.5,"LOW","MEDIUM"))</f>
        <v>LOW</v>
      </c>
    </row>
    <row r="923" spans="1:10" x14ac:dyDescent="0.2">
      <c r="A923" s="1" t="s">
        <v>932</v>
      </c>
      <c r="B923" s="1" t="str">
        <f>VLOOKUP(Table7[[#This Row],[Student_ID]],student_data[#All],2,0)</f>
        <v>Civil</v>
      </c>
      <c r="C923" s="1">
        <f>(VLOOKUP(Table7[[#This Row],[Student_ID]],student_data[],5,0)*5)+(VLOOKUP(Table7[[#This Row],[Student_ID]],student_data[],6,0)*3)+(VLOOKUP(Table7[[#This Row],[Student_ID]],student_skills[],6,0)*2)+(VLOOKUP(Table7[[#This Row],[Student_ID]],student_internships[],2,0)*5)</f>
        <v>59.349999999999994</v>
      </c>
      <c r="D923" s="1">
        <f>AVERAGE(VLOOKUP(Table7[[#This Row],[Student_ID]],student_skills[],3,0),VLOOKUP(Table7[[#This Row],[Student_ID]],student_skills[],4,0),VLOOKUP(Table7[[#This Row],[Student_ID]],student_skills[],5,0),VLOOKUP(Table7[[#This Row],[Student_ID]],student_skills[],6,0))</f>
        <v>8.25</v>
      </c>
      <c r="E923" s="1" t="str">
        <f>IF(VLOOKUP(Table7[[#This Row],[Student_ID]],student_internships[#All],2,0)&gt;1,"EXPERIENCED",IF(VLOOKUP(Table7[[#This Row],[Student_ID]],student_internships[#All],2,0)=1,"BEGINNER","NOT EXPERIENCED"))</f>
        <v>NOT EXPERIENCED</v>
      </c>
      <c r="F923" s="1">
        <f>VLOOKUP(Table7[[#This Row],[Student_ID]],student_data[],5,0)</f>
        <v>8.27</v>
      </c>
      <c r="G923" s="1">
        <f>VLOOKUP(Table7[[#This Row],[Student_ID]],student_data[#All],6,0)</f>
        <v>0</v>
      </c>
      <c r="H923" s="1">
        <f>VLOOKUP(Table7[[#This Row],[Student_ID]],student_internships[],2,0)</f>
        <v>0</v>
      </c>
      <c r="I923" s="1">
        <f>VLOOKUP(Table7[[#This Row],[Student_ID]],Placements!A923:E1922,5,0)</f>
        <v>5.13</v>
      </c>
      <c r="J923" s="1" t="str">
        <f>IF(VLOOKUP(Table7[[#This Row],[Student_ID]],student_data[#All],5,0)&gt;8,"HIGH",IF(VLOOKUP(Table7[[#This Row],[Student_ID]],student_data[#All],5,0)&lt;6.5,"LOW","MEDIUM"))</f>
        <v>HIGH</v>
      </c>
    </row>
    <row r="924" spans="1:10" x14ac:dyDescent="0.2">
      <c r="A924" s="1" t="s">
        <v>933</v>
      </c>
      <c r="B924" s="1" t="str">
        <f>VLOOKUP(Table7[[#This Row],[Student_ID]],student_data[#All],2,0)</f>
        <v>Mechanical</v>
      </c>
      <c r="C924" s="1">
        <f>(VLOOKUP(Table7[[#This Row],[Student_ID]],student_data[],5,0)*5)+(VLOOKUP(Table7[[#This Row],[Student_ID]],student_data[],6,0)*3)+(VLOOKUP(Table7[[#This Row],[Student_ID]],student_skills[],6,0)*2)+(VLOOKUP(Table7[[#This Row],[Student_ID]],student_internships[],2,0)*5)</f>
        <v>66.599999999999994</v>
      </c>
      <c r="D924" s="1">
        <f>AVERAGE(VLOOKUP(Table7[[#This Row],[Student_ID]],student_skills[],3,0),VLOOKUP(Table7[[#This Row],[Student_ID]],student_skills[],4,0),VLOOKUP(Table7[[#This Row],[Student_ID]],student_skills[],5,0),VLOOKUP(Table7[[#This Row],[Student_ID]],student_skills[],6,0))</f>
        <v>5</v>
      </c>
      <c r="E924" s="1" t="str">
        <f>IF(VLOOKUP(Table7[[#This Row],[Student_ID]],student_internships[#All],2,0)&gt;1,"EXPERIENCED",IF(VLOOKUP(Table7[[#This Row],[Student_ID]],student_internships[#All],2,0)=1,"BEGINNER","NOT EXPERIENCED"))</f>
        <v>EXPERIENCED</v>
      </c>
      <c r="F924" s="1">
        <f>VLOOKUP(Table7[[#This Row],[Student_ID]],student_data[],5,0)</f>
        <v>9.1199999999999992</v>
      </c>
      <c r="G924" s="1">
        <f>VLOOKUP(Table7[[#This Row],[Student_ID]],student_data[#All],6,0)</f>
        <v>1</v>
      </c>
      <c r="H924" s="1">
        <f>VLOOKUP(Table7[[#This Row],[Student_ID]],student_internships[],2,0)</f>
        <v>2</v>
      </c>
      <c r="I924" s="1">
        <f>VLOOKUP(Table7[[#This Row],[Student_ID]],Placements!A924:E1923,5,0)</f>
        <v>4.12</v>
      </c>
      <c r="J924" s="1" t="str">
        <f>IF(VLOOKUP(Table7[[#This Row],[Student_ID]],student_data[#All],5,0)&gt;8,"HIGH",IF(VLOOKUP(Table7[[#This Row],[Student_ID]],student_data[#All],5,0)&lt;6.5,"LOW","MEDIUM"))</f>
        <v>HIGH</v>
      </c>
    </row>
    <row r="925" spans="1:10" x14ac:dyDescent="0.2">
      <c r="A925" s="1" t="s">
        <v>934</v>
      </c>
      <c r="B925" s="1" t="str">
        <f>VLOOKUP(Table7[[#This Row],[Student_ID]],student_data[#All],2,0)</f>
        <v>Information Technology</v>
      </c>
      <c r="C925" s="1">
        <f>(VLOOKUP(Table7[[#This Row],[Student_ID]],student_data[],5,0)*5)+(VLOOKUP(Table7[[#This Row],[Student_ID]],student_data[],6,0)*3)+(VLOOKUP(Table7[[#This Row],[Student_ID]],student_skills[],6,0)*2)+(VLOOKUP(Table7[[#This Row],[Student_ID]],student_internships[],2,0)*5)</f>
        <v>46.6</v>
      </c>
      <c r="D925" s="1">
        <f>AVERAGE(VLOOKUP(Table7[[#This Row],[Student_ID]],student_skills[],3,0),VLOOKUP(Table7[[#This Row],[Student_ID]],student_skills[],4,0),VLOOKUP(Table7[[#This Row],[Student_ID]],student_skills[],5,0),VLOOKUP(Table7[[#This Row],[Student_ID]],student_skills[],6,0))</f>
        <v>5.75</v>
      </c>
      <c r="E925" s="1" t="str">
        <f>IF(VLOOKUP(Table7[[#This Row],[Student_ID]],student_internships[#All],2,0)&gt;1,"EXPERIENCED",IF(VLOOKUP(Table7[[#This Row],[Student_ID]],student_internships[#All],2,0)=1,"BEGINNER","NOT EXPERIENCED"))</f>
        <v>BEGINNER</v>
      </c>
      <c r="F925" s="1">
        <f>VLOOKUP(Table7[[#This Row],[Student_ID]],student_data[],5,0)</f>
        <v>5.32</v>
      </c>
      <c r="G925" s="1">
        <f>VLOOKUP(Table7[[#This Row],[Student_ID]],student_data[#All],6,0)</f>
        <v>3</v>
      </c>
      <c r="H925" s="1">
        <f>VLOOKUP(Table7[[#This Row],[Student_ID]],student_internships[],2,0)</f>
        <v>1</v>
      </c>
      <c r="I925" s="1">
        <f>VLOOKUP(Table7[[#This Row],[Student_ID]],Placements!A925:E1924,5,0)</f>
        <v>4.5599999999999996</v>
      </c>
      <c r="J925" s="1" t="str">
        <f>IF(VLOOKUP(Table7[[#This Row],[Student_ID]],student_data[#All],5,0)&gt;8,"HIGH",IF(VLOOKUP(Table7[[#This Row],[Student_ID]],student_data[#All],5,0)&lt;6.5,"LOW","MEDIUM"))</f>
        <v>LOW</v>
      </c>
    </row>
    <row r="926" spans="1:10" x14ac:dyDescent="0.2">
      <c r="A926" s="1" t="s">
        <v>935</v>
      </c>
      <c r="B926" s="1" t="str">
        <f>VLOOKUP(Table7[[#This Row],[Student_ID]],student_data[#All],2,0)</f>
        <v>Information Technology</v>
      </c>
      <c r="C926" s="1">
        <f>(VLOOKUP(Table7[[#This Row],[Student_ID]],student_data[],5,0)*5)+(VLOOKUP(Table7[[#This Row],[Student_ID]],student_data[],6,0)*3)+(VLOOKUP(Table7[[#This Row],[Student_ID]],student_skills[],6,0)*2)+(VLOOKUP(Table7[[#This Row],[Student_ID]],student_internships[],2,0)*5)</f>
        <v>56.400000000000006</v>
      </c>
      <c r="D926" s="1">
        <f>AVERAGE(VLOOKUP(Table7[[#This Row],[Student_ID]],student_skills[],3,0),VLOOKUP(Table7[[#This Row],[Student_ID]],student_skills[],4,0),VLOOKUP(Table7[[#This Row],[Student_ID]],student_skills[],5,0),VLOOKUP(Table7[[#This Row],[Student_ID]],student_skills[],6,0))</f>
        <v>3</v>
      </c>
      <c r="E926" s="1" t="str">
        <f>IF(VLOOKUP(Table7[[#This Row],[Student_ID]],student_internships[#All],2,0)&gt;1,"EXPERIENCED",IF(VLOOKUP(Table7[[#This Row],[Student_ID]],student_internships[#All],2,0)=1,"BEGINNER","NOT EXPERIENCED"))</f>
        <v>EXPERIENCED</v>
      </c>
      <c r="F926" s="1">
        <f>VLOOKUP(Table7[[#This Row],[Student_ID]],student_data[],5,0)</f>
        <v>8.8800000000000008</v>
      </c>
      <c r="G926" s="1">
        <f>VLOOKUP(Table7[[#This Row],[Student_ID]],student_data[#All],6,0)</f>
        <v>0</v>
      </c>
      <c r="H926" s="1">
        <f>VLOOKUP(Table7[[#This Row],[Student_ID]],student_internships[],2,0)</f>
        <v>2</v>
      </c>
      <c r="I926" s="1">
        <f>VLOOKUP(Table7[[#This Row],[Student_ID]],Placements!A926:E1925,5,0)</f>
        <v>0</v>
      </c>
      <c r="J926" s="1" t="str">
        <f>IF(VLOOKUP(Table7[[#This Row],[Student_ID]],student_data[#All],5,0)&gt;8,"HIGH",IF(VLOOKUP(Table7[[#This Row],[Student_ID]],student_data[#All],5,0)&lt;6.5,"LOW","MEDIUM"))</f>
        <v>HIGH</v>
      </c>
    </row>
    <row r="927" spans="1:10" x14ac:dyDescent="0.2">
      <c r="A927" s="1" t="s">
        <v>936</v>
      </c>
      <c r="B927" s="1" t="str">
        <f>VLOOKUP(Table7[[#This Row],[Student_ID]],student_data[#All],2,0)</f>
        <v>Information Technology</v>
      </c>
      <c r="C927" s="1">
        <f>(VLOOKUP(Table7[[#This Row],[Student_ID]],student_data[],5,0)*5)+(VLOOKUP(Table7[[#This Row],[Student_ID]],student_data[],6,0)*3)+(VLOOKUP(Table7[[#This Row],[Student_ID]],student_skills[],6,0)*2)+(VLOOKUP(Table7[[#This Row],[Student_ID]],student_internships[],2,0)*5)</f>
        <v>84.55</v>
      </c>
      <c r="D927" s="1">
        <f>AVERAGE(VLOOKUP(Table7[[#This Row],[Student_ID]],student_skills[],3,0),VLOOKUP(Table7[[#This Row],[Student_ID]],student_skills[],4,0),VLOOKUP(Table7[[#This Row],[Student_ID]],student_skills[],5,0),VLOOKUP(Table7[[#This Row],[Student_ID]],student_skills[],6,0))</f>
        <v>5.25</v>
      </c>
      <c r="E927" s="1" t="str">
        <f>IF(VLOOKUP(Table7[[#This Row],[Student_ID]],student_internships[#All],2,0)&gt;1,"EXPERIENCED",IF(VLOOKUP(Table7[[#This Row],[Student_ID]],student_internships[#All],2,0)=1,"BEGINNER","NOT EXPERIENCED"))</f>
        <v>EXPERIENCED</v>
      </c>
      <c r="F927" s="1">
        <f>VLOOKUP(Table7[[#This Row],[Student_ID]],student_data[],5,0)</f>
        <v>9.11</v>
      </c>
      <c r="G927" s="1">
        <f>VLOOKUP(Table7[[#This Row],[Student_ID]],student_data[#All],6,0)</f>
        <v>3</v>
      </c>
      <c r="H927" s="1">
        <f>VLOOKUP(Table7[[#This Row],[Student_ID]],student_internships[],2,0)</f>
        <v>2</v>
      </c>
      <c r="I927" s="1">
        <f>VLOOKUP(Table7[[#This Row],[Student_ID]],Placements!A927:E1926,5,0)</f>
        <v>5.13</v>
      </c>
      <c r="J927" s="1" t="str">
        <f>IF(VLOOKUP(Table7[[#This Row],[Student_ID]],student_data[#All],5,0)&gt;8,"HIGH",IF(VLOOKUP(Table7[[#This Row],[Student_ID]],student_data[#All],5,0)&lt;6.5,"LOW","MEDIUM"))</f>
        <v>HIGH</v>
      </c>
    </row>
    <row r="928" spans="1:10" x14ac:dyDescent="0.2">
      <c r="A928" s="1" t="s">
        <v>937</v>
      </c>
      <c r="B928" s="1" t="str">
        <f>VLOOKUP(Table7[[#This Row],[Student_ID]],student_data[#All],2,0)</f>
        <v>Mechanical</v>
      </c>
      <c r="C928" s="1">
        <f>(VLOOKUP(Table7[[#This Row],[Student_ID]],student_data[],5,0)*5)+(VLOOKUP(Table7[[#This Row],[Student_ID]],student_data[],6,0)*3)+(VLOOKUP(Table7[[#This Row],[Student_ID]],student_skills[],6,0)*2)+(VLOOKUP(Table7[[#This Row],[Student_ID]],student_internships[],2,0)*5)</f>
        <v>52.55</v>
      </c>
      <c r="D928" s="1">
        <f>AVERAGE(VLOOKUP(Table7[[#This Row],[Student_ID]],student_skills[],3,0),VLOOKUP(Table7[[#This Row],[Student_ID]],student_skills[],4,0),VLOOKUP(Table7[[#This Row],[Student_ID]],student_skills[],5,0),VLOOKUP(Table7[[#This Row],[Student_ID]],student_skills[],6,0))</f>
        <v>6.75</v>
      </c>
      <c r="E928" s="1" t="str">
        <f>IF(VLOOKUP(Table7[[#This Row],[Student_ID]],student_internships[#All],2,0)&gt;1,"EXPERIENCED",IF(VLOOKUP(Table7[[#This Row],[Student_ID]],student_internships[#All],2,0)=1,"BEGINNER","NOT EXPERIENCED"))</f>
        <v>BEGINNER</v>
      </c>
      <c r="F928" s="1">
        <f>VLOOKUP(Table7[[#This Row],[Student_ID]],student_data[],5,0)</f>
        <v>7.31</v>
      </c>
      <c r="G928" s="1">
        <f>VLOOKUP(Table7[[#This Row],[Student_ID]],student_data[#All],6,0)</f>
        <v>1</v>
      </c>
      <c r="H928" s="1">
        <f>VLOOKUP(Table7[[#This Row],[Student_ID]],student_internships[],2,0)</f>
        <v>1</v>
      </c>
      <c r="I928" s="1">
        <f>VLOOKUP(Table7[[#This Row],[Student_ID]],Placements!A928:E1927,5,0)</f>
        <v>5.19</v>
      </c>
      <c r="J928" s="1" t="str">
        <f>IF(VLOOKUP(Table7[[#This Row],[Student_ID]],student_data[#All],5,0)&gt;8,"HIGH",IF(VLOOKUP(Table7[[#This Row],[Student_ID]],student_data[#All],5,0)&lt;6.5,"LOW","MEDIUM"))</f>
        <v>MEDIUM</v>
      </c>
    </row>
    <row r="929" spans="1:10" x14ac:dyDescent="0.2">
      <c r="A929" s="1" t="s">
        <v>938</v>
      </c>
      <c r="B929" s="1" t="str">
        <f>VLOOKUP(Table7[[#This Row],[Student_ID]],student_data[#All],2,0)</f>
        <v>Mechanical</v>
      </c>
      <c r="C929" s="1">
        <f>(VLOOKUP(Table7[[#This Row],[Student_ID]],student_data[],5,0)*5)+(VLOOKUP(Table7[[#This Row],[Student_ID]],student_data[],6,0)*3)+(VLOOKUP(Table7[[#This Row],[Student_ID]],student_skills[],6,0)*2)+(VLOOKUP(Table7[[#This Row],[Student_ID]],student_internships[],2,0)*5)</f>
        <v>67.599999999999994</v>
      </c>
      <c r="D929" s="1">
        <f>AVERAGE(VLOOKUP(Table7[[#This Row],[Student_ID]],student_skills[],3,0),VLOOKUP(Table7[[#This Row],[Student_ID]],student_skills[],4,0),VLOOKUP(Table7[[#This Row],[Student_ID]],student_skills[],5,0),VLOOKUP(Table7[[#This Row],[Student_ID]],student_skills[],6,0))</f>
        <v>7.25</v>
      </c>
      <c r="E929" s="1" t="str">
        <f>IF(VLOOKUP(Table7[[#This Row],[Student_ID]],student_internships[#All],2,0)&gt;1,"EXPERIENCED",IF(VLOOKUP(Table7[[#This Row],[Student_ID]],student_internships[#All],2,0)=1,"BEGINNER","NOT EXPERIENCED"))</f>
        <v>NOT EXPERIENCED</v>
      </c>
      <c r="F929" s="1">
        <f>VLOOKUP(Table7[[#This Row],[Student_ID]],student_data[],5,0)</f>
        <v>9.92</v>
      </c>
      <c r="G929" s="1">
        <f>VLOOKUP(Table7[[#This Row],[Student_ID]],student_data[#All],6,0)</f>
        <v>0</v>
      </c>
      <c r="H929" s="1">
        <f>VLOOKUP(Table7[[#This Row],[Student_ID]],student_internships[],2,0)</f>
        <v>0</v>
      </c>
      <c r="I929" s="1">
        <f>VLOOKUP(Table7[[#This Row],[Student_ID]],Placements!A929:E1928,5,0)</f>
        <v>4.5</v>
      </c>
      <c r="J929" s="1" t="str">
        <f>IF(VLOOKUP(Table7[[#This Row],[Student_ID]],student_data[#All],5,0)&gt;8,"HIGH",IF(VLOOKUP(Table7[[#This Row],[Student_ID]],student_data[#All],5,0)&lt;6.5,"LOW","MEDIUM"))</f>
        <v>HIGH</v>
      </c>
    </row>
    <row r="930" spans="1:10" x14ac:dyDescent="0.2">
      <c r="A930" s="1" t="s">
        <v>939</v>
      </c>
      <c r="B930" s="1" t="str">
        <f>VLOOKUP(Table7[[#This Row],[Student_ID]],student_data[#All],2,0)</f>
        <v>Electronics</v>
      </c>
      <c r="C930" s="1">
        <f>(VLOOKUP(Table7[[#This Row],[Student_ID]],student_data[],5,0)*5)+(VLOOKUP(Table7[[#This Row],[Student_ID]],student_data[],6,0)*3)+(VLOOKUP(Table7[[#This Row],[Student_ID]],student_skills[],6,0)*2)+(VLOOKUP(Table7[[#This Row],[Student_ID]],student_internships[],2,0)*5)</f>
        <v>67.650000000000006</v>
      </c>
      <c r="D930" s="1">
        <f>AVERAGE(VLOOKUP(Table7[[#This Row],[Student_ID]],student_skills[],3,0),VLOOKUP(Table7[[#This Row],[Student_ID]],student_skills[],4,0),VLOOKUP(Table7[[#This Row],[Student_ID]],student_skills[],5,0),VLOOKUP(Table7[[#This Row],[Student_ID]],student_skills[],6,0))</f>
        <v>7.25</v>
      </c>
      <c r="E930" s="1" t="str">
        <f>IF(VLOOKUP(Table7[[#This Row],[Student_ID]],student_internships[#All],2,0)&gt;1,"EXPERIENCED",IF(VLOOKUP(Table7[[#This Row],[Student_ID]],student_internships[#All],2,0)=1,"BEGINNER","NOT EXPERIENCED"))</f>
        <v>NOT EXPERIENCED</v>
      </c>
      <c r="F930" s="1">
        <f>VLOOKUP(Table7[[#This Row],[Student_ID]],student_data[],5,0)</f>
        <v>8.93</v>
      </c>
      <c r="G930" s="1">
        <f>VLOOKUP(Table7[[#This Row],[Student_ID]],student_data[#All],6,0)</f>
        <v>1</v>
      </c>
      <c r="H930" s="1">
        <f>VLOOKUP(Table7[[#This Row],[Student_ID]],student_internships[],2,0)</f>
        <v>0</v>
      </c>
      <c r="I930" s="1">
        <f>VLOOKUP(Table7[[#This Row],[Student_ID]],Placements!A930:E1929,5,0)</f>
        <v>4.1900000000000004</v>
      </c>
      <c r="J930" s="1" t="str">
        <f>IF(VLOOKUP(Table7[[#This Row],[Student_ID]],student_data[#All],5,0)&gt;8,"HIGH",IF(VLOOKUP(Table7[[#This Row],[Student_ID]],student_data[#All],5,0)&lt;6.5,"LOW","MEDIUM"))</f>
        <v>HIGH</v>
      </c>
    </row>
    <row r="931" spans="1:10" x14ac:dyDescent="0.2">
      <c r="A931" s="1" t="s">
        <v>940</v>
      </c>
      <c r="B931" s="1" t="str">
        <f>VLOOKUP(Table7[[#This Row],[Student_ID]],student_data[#All],2,0)</f>
        <v>Civil</v>
      </c>
      <c r="C931" s="1">
        <f>(VLOOKUP(Table7[[#This Row],[Student_ID]],student_data[],5,0)*5)+(VLOOKUP(Table7[[#This Row],[Student_ID]],student_data[],6,0)*3)+(VLOOKUP(Table7[[#This Row],[Student_ID]],student_skills[],6,0)*2)+(VLOOKUP(Table7[[#This Row],[Student_ID]],student_internships[],2,0)*5)</f>
        <v>61.349999999999994</v>
      </c>
      <c r="D931" s="1">
        <f>AVERAGE(VLOOKUP(Table7[[#This Row],[Student_ID]],student_skills[],3,0),VLOOKUP(Table7[[#This Row],[Student_ID]],student_skills[],4,0),VLOOKUP(Table7[[#This Row],[Student_ID]],student_skills[],5,0),VLOOKUP(Table7[[#This Row],[Student_ID]],student_skills[],6,0))</f>
        <v>6.5</v>
      </c>
      <c r="E931" s="1" t="str">
        <f>IF(VLOOKUP(Table7[[#This Row],[Student_ID]],student_internships[#All],2,0)&gt;1,"EXPERIENCED",IF(VLOOKUP(Table7[[#This Row],[Student_ID]],student_internships[#All],2,0)=1,"BEGINNER","NOT EXPERIENCED"))</f>
        <v>BEGINNER</v>
      </c>
      <c r="F931" s="1">
        <f>VLOOKUP(Table7[[#This Row],[Student_ID]],student_data[],5,0)</f>
        <v>8.8699999999999992</v>
      </c>
      <c r="G931" s="1">
        <f>VLOOKUP(Table7[[#This Row],[Student_ID]],student_data[#All],6,0)</f>
        <v>0</v>
      </c>
      <c r="H931" s="1">
        <f>VLOOKUP(Table7[[#This Row],[Student_ID]],student_internships[],2,0)</f>
        <v>1</v>
      </c>
      <c r="I931" s="1">
        <f>VLOOKUP(Table7[[#This Row],[Student_ID]],Placements!A931:E1930,5,0)</f>
        <v>4.1100000000000003</v>
      </c>
      <c r="J931" s="1" t="str">
        <f>IF(VLOOKUP(Table7[[#This Row],[Student_ID]],student_data[#All],5,0)&gt;8,"HIGH",IF(VLOOKUP(Table7[[#This Row],[Student_ID]],student_data[#All],5,0)&lt;6.5,"LOW","MEDIUM"))</f>
        <v>HIGH</v>
      </c>
    </row>
    <row r="932" spans="1:10" x14ac:dyDescent="0.2">
      <c r="A932" s="1" t="s">
        <v>941</v>
      </c>
      <c r="B932" s="1" t="str">
        <f>VLOOKUP(Table7[[#This Row],[Student_ID]],student_data[#All],2,0)</f>
        <v>Computer Science</v>
      </c>
      <c r="C932" s="1">
        <f>(VLOOKUP(Table7[[#This Row],[Student_ID]],student_data[],5,0)*5)+(VLOOKUP(Table7[[#This Row],[Student_ID]],student_data[],6,0)*3)+(VLOOKUP(Table7[[#This Row],[Student_ID]],student_skills[],6,0)*2)+(VLOOKUP(Table7[[#This Row],[Student_ID]],student_internships[],2,0)*5)</f>
        <v>63.7</v>
      </c>
      <c r="D932" s="1">
        <f>AVERAGE(VLOOKUP(Table7[[#This Row],[Student_ID]],student_skills[],3,0),VLOOKUP(Table7[[#This Row],[Student_ID]],student_skills[],4,0),VLOOKUP(Table7[[#This Row],[Student_ID]],student_skills[],5,0),VLOOKUP(Table7[[#This Row],[Student_ID]],student_skills[],6,0))</f>
        <v>6.75</v>
      </c>
      <c r="E932" s="1" t="str">
        <f>IF(VLOOKUP(Table7[[#This Row],[Student_ID]],student_internships[#All],2,0)&gt;1,"EXPERIENCED",IF(VLOOKUP(Table7[[#This Row],[Student_ID]],student_internships[#All],2,0)=1,"BEGINNER","NOT EXPERIENCED"))</f>
        <v>BEGINNER</v>
      </c>
      <c r="F932" s="1">
        <f>VLOOKUP(Table7[[#This Row],[Student_ID]],student_data[],5,0)</f>
        <v>8.74</v>
      </c>
      <c r="G932" s="1">
        <f>VLOOKUP(Table7[[#This Row],[Student_ID]],student_data[#All],6,0)</f>
        <v>1</v>
      </c>
      <c r="H932" s="1">
        <f>VLOOKUP(Table7[[#This Row],[Student_ID]],student_internships[],2,0)</f>
        <v>1</v>
      </c>
      <c r="I932" s="1">
        <f>VLOOKUP(Table7[[#This Row],[Student_ID]],Placements!A932:E1931,5,0)</f>
        <v>0</v>
      </c>
      <c r="J932" s="1" t="str">
        <f>IF(VLOOKUP(Table7[[#This Row],[Student_ID]],student_data[#All],5,0)&gt;8,"HIGH",IF(VLOOKUP(Table7[[#This Row],[Student_ID]],student_data[#All],5,0)&lt;6.5,"LOW","MEDIUM"))</f>
        <v>HIGH</v>
      </c>
    </row>
    <row r="933" spans="1:10" x14ac:dyDescent="0.2">
      <c r="A933" s="1" t="s">
        <v>942</v>
      </c>
      <c r="B933" s="1" t="str">
        <f>VLOOKUP(Table7[[#This Row],[Student_ID]],student_data[#All],2,0)</f>
        <v>Information Technology</v>
      </c>
      <c r="C933" s="1">
        <f>(VLOOKUP(Table7[[#This Row],[Student_ID]],student_data[],5,0)*5)+(VLOOKUP(Table7[[#This Row],[Student_ID]],student_data[],6,0)*3)+(VLOOKUP(Table7[[#This Row],[Student_ID]],student_skills[],6,0)*2)+(VLOOKUP(Table7[[#This Row],[Student_ID]],student_internships[],2,0)*5)</f>
        <v>39.75</v>
      </c>
      <c r="D933" s="1">
        <f>AVERAGE(VLOOKUP(Table7[[#This Row],[Student_ID]],student_skills[],3,0),VLOOKUP(Table7[[#This Row],[Student_ID]],student_skills[],4,0),VLOOKUP(Table7[[#This Row],[Student_ID]],student_skills[],5,0),VLOOKUP(Table7[[#This Row],[Student_ID]],student_skills[],6,0))</f>
        <v>5.5</v>
      </c>
      <c r="E933" s="1" t="str">
        <f>IF(VLOOKUP(Table7[[#This Row],[Student_ID]],student_internships[#All],2,0)&gt;1,"EXPERIENCED",IF(VLOOKUP(Table7[[#This Row],[Student_ID]],student_internships[#All],2,0)=1,"BEGINNER","NOT EXPERIENCED"))</f>
        <v>NOT EXPERIENCED</v>
      </c>
      <c r="F933" s="1">
        <f>VLOOKUP(Table7[[#This Row],[Student_ID]],student_data[],5,0)</f>
        <v>5.75</v>
      </c>
      <c r="G933" s="1">
        <f>VLOOKUP(Table7[[#This Row],[Student_ID]],student_data[#All],6,0)</f>
        <v>3</v>
      </c>
      <c r="H933" s="1">
        <f>VLOOKUP(Table7[[#This Row],[Student_ID]],student_internships[],2,0)</f>
        <v>0</v>
      </c>
      <c r="I933" s="1">
        <f>VLOOKUP(Table7[[#This Row],[Student_ID]],Placements!A933:E1932,5,0)</f>
        <v>4.5599999999999996</v>
      </c>
      <c r="J933" s="1" t="str">
        <f>IF(VLOOKUP(Table7[[#This Row],[Student_ID]],student_data[#All],5,0)&gt;8,"HIGH",IF(VLOOKUP(Table7[[#This Row],[Student_ID]],student_data[#All],5,0)&lt;6.5,"LOW","MEDIUM"))</f>
        <v>LOW</v>
      </c>
    </row>
    <row r="934" spans="1:10" x14ac:dyDescent="0.2">
      <c r="A934" s="1" t="s">
        <v>943</v>
      </c>
      <c r="B934" s="1" t="str">
        <f>VLOOKUP(Table7[[#This Row],[Student_ID]],student_data[#All],2,0)</f>
        <v>Electronics</v>
      </c>
      <c r="C934" s="1">
        <f>(VLOOKUP(Table7[[#This Row],[Student_ID]],student_data[],5,0)*5)+(VLOOKUP(Table7[[#This Row],[Student_ID]],student_data[],6,0)*3)+(VLOOKUP(Table7[[#This Row],[Student_ID]],student_skills[],6,0)*2)+(VLOOKUP(Table7[[#This Row],[Student_ID]],student_internships[],2,0)*5)</f>
        <v>59.45</v>
      </c>
      <c r="D934" s="1">
        <f>AVERAGE(VLOOKUP(Table7[[#This Row],[Student_ID]],student_skills[],3,0),VLOOKUP(Table7[[#This Row],[Student_ID]],student_skills[],4,0),VLOOKUP(Table7[[#This Row],[Student_ID]],student_skills[],5,0),VLOOKUP(Table7[[#This Row],[Student_ID]],student_skills[],6,0))</f>
        <v>8</v>
      </c>
      <c r="E934" s="1" t="str">
        <f>IF(VLOOKUP(Table7[[#This Row],[Student_ID]],student_internships[#All],2,0)&gt;1,"EXPERIENCED",IF(VLOOKUP(Table7[[#This Row],[Student_ID]],student_internships[#All],2,0)=1,"BEGINNER","NOT EXPERIENCED"))</f>
        <v>NOT EXPERIENCED</v>
      </c>
      <c r="F934" s="1">
        <f>VLOOKUP(Table7[[#This Row],[Student_ID]],student_data[],5,0)</f>
        <v>6.09</v>
      </c>
      <c r="G934" s="1">
        <f>VLOOKUP(Table7[[#This Row],[Student_ID]],student_data[#All],6,0)</f>
        <v>3</v>
      </c>
      <c r="H934" s="1">
        <f>VLOOKUP(Table7[[#This Row],[Student_ID]],student_internships[],2,0)</f>
        <v>0</v>
      </c>
      <c r="I934" s="1">
        <f>VLOOKUP(Table7[[#This Row],[Student_ID]],Placements!A934:E1933,5,0)</f>
        <v>5.13</v>
      </c>
      <c r="J934" s="1" t="str">
        <f>IF(VLOOKUP(Table7[[#This Row],[Student_ID]],student_data[#All],5,0)&gt;8,"HIGH",IF(VLOOKUP(Table7[[#This Row],[Student_ID]],student_data[#All],5,0)&lt;6.5,"LOW","MEDIUM"))</f>
        <v>LOW</v>
      </c>
    </row>
    <row r="935" spans="1:10" x14ac:dyDescent="0.2">
      <c r="A935" s="1" t="s">
        <v>944</v>
      </c>
      <c r="B935" s="1" t="str">
        <f>VLOOKUP(Table7[[#This Row],[Student_ID]],student_data[#All],2,0)</f>
        <v>Computer Science</v>
      </c>
      <c r="C935" s="1">
        <f>(VLOOKUP(Table7[[#This Row],[Student_ID]],student_data[],5,0)*5)+(VLOOKUP(Table7[[#This Row],[Student_ID]],student_data[],6,0)*3)+(VLOOKUP(Table7[[#This Row],[Student_ID]],student_skills[],6,0)*2)+(VLOOKUP(Table7[[#This Row],[Student_ID]],student_internships[],2,0)*5)</f>
        <v>53.6</v>
      </c>
      <c r="D935" s="1">
        <f>AVERAGE(VLOOKUP(Table7[[#This Row],[Student_ID]],student_skills[],3,0),VLOOKUP(Table7[[#This Row],[Student_ID]],student_skills[],4,0),VLOOKUP(Table7[[#This Row],[Student_ID]],student_skills[],5,0),VLOOKUP(Table7[[#This Row],[Student_ID]],student_skills[],6,0))</f>
        <v>5.5</v>
      </c>
      <c r="E935" s="1" t="str">
        <f>IF(VLOOKUP(Table7[[#This Row],[Student_ID]],student_internships[#All],2,0)&gt;1,"EXPERIENCED",IF(VLOOKUP(Table7[[#This Row],[Student_ID]],student_internships[#All],2,0)=1,"BEGINNER","NOT EXPERIENCED"))</f>
        <v>EXPERIENCED</v>
      </c>
      <c r="F935" s="1">
        <f>VLOOKUP(Table7[[#This Row],[Student_ID]],student_data[],5,0)</f>
        <v>7.32</v>
      </c>
      <c r="G935" s="1">
        <f>VLOOKUP(Table7[[#This Row],[Student_ID]],student_data[#All],6,0)</f>
        <v>1</v>
      </c>
      <c r="H935" s="1">
        <f>VLOOKUP(Table7[[#This Row],[Student_ID]],student_internships[],2,0)</f>
        <v>2</v>
      </c>
      <c r="I935" s="1">
        <f>VLOOKUP(Table7[[#This Row],[Student_ID]],Placements!A935:E1934,5,0)</f>
        <v>0</v>
      </c>
      <c r="J935" s="1" t="str">
        <f>IF(VLOOKUP(Table7[[#This Row],[Student_ID]],student_data[#All],5,0)&gt;8,"HIGH",IF(VLOOKUP(Table7[[#This Row],[Student_ID]],student_data[#All],5,0)&lt;6.5,"LOW","MEDIUM"))</f>
        <v>MEDIUM</v>
      </c>
    </row>
    <row r="936" spans="1:10" x14ac:dyDescent="0.2">
      <c r="A936" s="1" t="s">
        <v>945</v>
      </c>
      <c r="B936" s="1" t="str">
        <f>VLOOKUP(Table7[[#This Row],[Student_ID]],student_data[#All],2,0)</f>
        <v>Electronics</v>
      </c>
      <c r="C936" s="1">
        <f>(VLOOKUP(Table7[[#This Row],[Student_ID]],student_data[],5,0)*5)+(VLOOKUP(Table7[[#This Row],[Student_ID]],student_data[],6,0)*3)+(VLOOKUP(Table7[[#This Row],[Student_ID]],student_skills[],6,0)*2)+(VLOOKUP(Table7[[#This Row],[Student_ID]],student_internships[],2,0)*5)</f>
        <v>58.6</v>
      </c>
      <c r="D936" s="1">
        <f>AVERAGE(VLOOKUP(Table7[[#This Row],[Student_ID]],student_skills[],3,0),VLOOKUP(Table7[[#This Row],[Student_ID]],student_skills[],4,0),VLOOKUP(Table7[[#This Row],[Student_ID]],student_skills[],5,0),VLOOKUP(Table7[[#This Row],[Student_ID]],student_skills[],6,0))</f>
        <v>5</v>
      </c>
      <c r="E936" s="1" t="str">
        <f>IF(VLOOKUP(Table7[[#This Row],[Student_ID]],student_internships[#All],2,0)&gt;1,"EXPERIENCED",IF(VLOOKUP(Table7[[#This Row],[Student_ID]],student_internships[#All],2,0)=1,"BEGINNER","NOT EXPERIENCED"))</f>
        <v>EXPERIENCED</v>
      </c>
      <c r="F936" s="1">
        <f>VLOOKUP(Table7[[#This Row],[Student_ID]],student_data[],5,0)</f>
        <v>6.32</v>
      </c>
      <c r="G936" s="1">
        <f>VLOOKUP(Table7[[#This Row],[Student_ID]],student_data[#All],6,0)</f>
        <v>0</v>
      </c>
      <c r="H936" s="1">
        <f>VLOOKUP(Table7[[#This Row],[Student_ID]],student_internships[],2,0)</f>
        <v>3</v>
      </c>
      <c r="I936" s="1">
        <f>VLOOKUP(Table7[[#This Row],[Student_ID]],Placements!A936:E1935,5,0)</f>
        <v>4.12</v>
      </c>
      <c r="J936" s="1" t="str">
        <f>IF(VLOOKUP(Table7[[#This Row],[Student_ID]],student_data[#All],5,0)&gt;8,"HIGH",IF(VLOOKUP(Table7[[#This Row],[Student_ID]],student_data[#All],5,0)&lt;6.5,"LOW","MEDIUM"))</f>
        <v>LOW</v>
      </c>
    </row>
    <row r="937" spans="1:10" x14ac:dyDescent="0.2">
      <c r="A937" s="1" t="s">
        <v>946</v>
      </c>
      <c r="B937" s="1" t="str">
        <f>VLOOKUP(Table7[[#This Row],[Student_ID]],student_data[#All],2,0)</f>
        <v>Mechanical</v>
      </c>
      <c r="C937" s="1">
        <f>(VLOOKUP(Table7[[#This Row],[Student_ID]],student_data[],5,0)*5)+(VLOOKUP(Table7[[#This Row],[Student_ID]],student_data[],6,0)*3)+(VLOOKUP(Table7[[#This Row],[Student_ID]],student_skills[],6,0)*2)+(VLOOKUP(Table7[[#This Row],[Student_ID]],student_internships[],2,0)*5)</f>
        <v>50.4</v>
      </c>
      <c r="D937" s="1">
        <f>AVERAGE(VLOOKUP(Table7[[#This Row],[Student_ID]],student_skills[],3,0),VLOOKUP(Table7[[#This Row],[Student_ID]],student_skills[],4,0),VLOOKUP(Table7[[#This Row],[Student_ID]],student_skills[],5,0),VLOOKUP(Table7[[#This Row],[Student_ID]],student_skills[],6,0))</f>
        <v>4</v>
      </c>
      <c r="E937" s="1" t="str">
        <f>IF(VLOOKUP(Table7[[#This Row],[Student_ID]],student_internships[#All],2,0)&gt;1,"EXPERIENCED",IF(VLOOKUP(Table7[[#This Row],[Student_ID]],student_internships[#All],2,0)=1,"BEGINNER","NOT EXPERIENCED"))</f>
        <v>BEGINNER</v>
      </c>
      <c r="F937" s="1">
        <f>VLOOKUP(Table7[[#This Row],[Student_ID]],student_data[],5,0)</f>
        <v>7.08</v>
      </c>
      <c r="G937" s="1">
        <f>VLOOKUP(Table7[[#This Row],[Student_ID]],student_data[#All],6,0)</f>
        <v>2</v>
      </c>
      <c r="H937" s="1">
        <f>VLOOKUP(Table7[[#This Row],[Student_ID]],student_internships[],2,0)</f>
        <v>1</v>
      </c>
      <c r="I937" s="1">
        <f>VLOOKUP(Table7[[#This Row],[Student_ID]],Placements!A937:E1936,5,0)</f>
        <v>4.3499999999999996</v>
      </c>
      <c r="J937" s="1" t="str">
        <f>IF(VLOOKUP(Table7[[#This Row],[Student_ID]],student_data[#All],5,0)&gt;8,"HIGH",IF(VLOOKUP(Table7[[#This Row],[Student_ID]],student_data[#All],5,0)&lt;6.5,"LOW","MEDIUM"))</f>
        <v>MEDIUM</v>
      </c>
    </row>
    <row r="938" spans="1:10" x14ac:dyDescent="0.2">
      <c r="A938" s="1" t="s">
        <v>947</v>
      </c>
      <c r="B938" s="1" t="str">
        <f>VLOOKUP(Table7[[#This Row],[Student_ID]],student_data[#All],2,0)</f>
        <v>Information Technology</v>
      </c>
      <c r="C938" s="1">
        <f>(VLOOKUP(Table7[[#This Row],[Student_ID]],student_data[],5,0)*5)+(VLOOKUP(Table7[[#This Row],[Student_ID]],student_data[],6,0)*3)+(VLOOKUP(Table7[[#This Row],[Student_ID]],student_skills[],6,0)*2)+(VLOOKUP(Table7[[#This Row],[Student_ID]],student_internships[],2,0)*5)</f>
        <v>62.199999999999996</v>
      </c>
      <c r="D938" s="1">
        <f>AVERAGE(VLOOKUP(Table7[[#This Row],[Student_ID]],student_skills[],3,0),VLOOKUP(Table7[[#This Row],[Student_ID]],student_skills[],4,0),VLOOKUP(Table7[[#This Row],[Student_ID]],student_skills[],5,0),VLOOKUP(Table7[[#This Row],[Student_ID]],student_skills[],6,0))</f>
        <v>5.25</v>
      </c>
      <c r="E938" s="1" t="str">
        <f>IF(VLOOKUP(Table7[[#This Row],[Student_ID]],student_internships[#All],2,0)&gt;1,"EXPERIENCED",IF(VLOOKUP(Table7[[#This Row],[Student_ID]],student_internships[#All],2,0)=1,"BEGINNER","NOT EXPERIENCED"))</f>
        <v>NOT EXPERIENCED</v>
      </c>
      <c r="F938" s="1">
        <f>VLOOKUP(Table7[[#This Row],[Student_ID]],student_data[],5,0)</f>
        <v>9.44</v>
      </c>
      <c r="G938" s="1">
        <f>VLOOKUP(Table7[[#This Row],[Student_ID]],student_data[#All],6,0)</f>
        <v>3</v>
      </c>
      <c r="H938" s="1">
        <f>VLOOKUP(Table7[[#This Row],[Student_ID]],student_internships[],2,0)</f>
        <v>0</v>
      </c>
      <c r="I938" s="1">
        <f>VLOOKUP(Table7[[#This Row],[Student_ID]],Placements!A938:E1937,5,0)</f>
        <v>4.5</v>
      </c>
      <c r="J938" s="1" t="str">
        <f>IF(VLOOKUP(Table7[[#This Row],[Student_ID]],student_data[#All],5,0)&gt;8,"HIGH",IF(VLOOKUP(Table7[[#This Row],[Student_ID]],student_data[#All],5,0)&lt;6.5,"LOW","MEDIUM"))</f>
        <v>HIGH</v>
      </c>
    </row>
    <row r="939" spans="1:10" x14ac:dyDescent="0.2">
      <c r="A939" s="1" t="s">
        <v>948</v>
      </c>
      <c r="B939" s="1" t="str">
        <f>VLOOKUP(Table7[[#This Row],[Student_ID]],student_data[#All],2,0)</f>
        <v>Computer Science</v>
      </c>
      <c r="C939" s="1">
        <f>(VLOOKUP(Table7[[#This Row],[Student_ID]],student_data[],5,0)*5)+(VLOOKUP(Table7[[#This Row],[Student_ID]],student_data[],6,0)*3)+(VLOOKUP(Table7[[#This Row],[Student_ID]],student_skills[],6,0)*2)+(VLOOKUP(Table7[[#This Row],[Student_ID]],student_internships[],2,0)*5)</f>
        <v>62.599999999999994</v>
      </c>
      <c r="D939" s="1">
        <f>AVERAGE(VLOOKUP(Table7[[#This Row],[Student_ID]],student_skills[],3,0),VLOOKUP(Table7[[#This Row],[Student_ID]],student_skills[],4,0),VLOOKUP(Table7[[#This Row],[Student_ID]],student_skills[],5,0),VLOOKUP(Table7[[#This Row],[Student_ID]],student_skills[],6,0))</f>
        <v>5.25</v>
      </c>
      <c r="E939" s="1" t="str">
        <f>IF(VLOOKUP(Table7[[#This Row],[Student_ID]],student_internships[#All],2,0)&gt;1,"EXPERIENCED",IF(VLOOKUP(Table7[[#This Row],[Student_ID]],student_internships[#All],2,0)=1,"BEGINNER","NOT EXPERIENCED"))</f>
        <v>NOT EXPERIENCED</v>
      </c>
      <c r="F939" s="1">
        <f>VLOOKUP(Table7[[#This Row],[Student_ID]],student_data[],5,0)</f>
        <v>9.1199999999999992</v>
      </c>
      <c r="G939" s="1">
        <f>VLOOKUP(Table7[[#This Row],[Student_ID]],student_data[#All],6,0)</f>
        <v>3</v>
      </c>
      <c r="H939" s="1">
        <f>VLOOKUP(Table7[[#This Row],[Student_ID]],student_internships[],2,0)</f>
        <v>0</v>
      </c>
      <c r="I939" s="1">
        <f>VLOOKUP(Table7[[#This Row],[Student_ID]],Placements!A939:E1938,5,0)</f>
        <v>4.1900000000000004</v>
      </c>
      <c r="J939" s="1" t="str">
        <f>IF(VLOOKUP(Table7[[#This Row],[Student_ID]],student_data[#All],5,0)&gt;8,"HIGH",IF(VLOOKUP(Table7[[#This Row],[Student_ID]],student_data[#All],5,0)&lt;6.5,"LOW","MEDIUM"))</f>
        <v>HIGH</v>
      </c>
    </row>
    <row r="940" spans="1:10" x14ac:dyDescent="0.2">
      <c r="A940" s="1" t="s">
        <v>949</v>
      </c>
      <c r="B940" s="1" t="str">
        <f>VLOOKUP(Table7[[#This Row],[Student_ID]],student_data[#All],2,0)</f>
        <v>Computer Science</v>
      </c>
      <c r="C940" s="1">
        <f>(VLOOKUP(Table7[[#This Row],[Student_ID]],student_data[],5,0)*5)+(VLOOKUP(Table7[[#This Row],[Student_ID]],student_data[],6,0)*3)+(VLOOKUP(Table7[[#This Row],[Student_ID]],student_skills[],6,0)*2)+(VLOOKUP(Table7[[#This Row],[Student_ID]],student_internships[],2,0)*5)</f>
        <v>65.75</v>
      </c>
      <c r="D940" s="1">
        <f>AVERAGE(VLOOKUP(Table7[[#This Row],[Student_ID]],student_skills[],3,0),VLOOKUP(Table7[[#This Row],[Student_ID]],student_skills[],4,0),VLOOKUP(Table7[[#This Row],[Student_ID]],student_skills[],5,0),VLOOKUP(Table7[[#This Row],[Student_ID]],student_skills[],6,0))</f>
        <v>5.25</v>
      </c>
      <c r="E940" s="1" t="str">
        <f>IF(VLOOKUP(Table7[[#This Row],[Student_ID]],student_internships[#All],2,0)&gt;1,"EXPERIENCED",IF(VLOOKUP(Table7[[#This Row],[Student_ID]],student_internships[#All],2,0)=1,"BEGINNER","NOT EXPERIENCED"))</f>
        <v>NOT EXPERIENCED</v>
      </c>
      <c r="F940" s="1">
        <f>VLOOKUP(Table7[[#This Row],[Student_ID]],student_data[],5,0)</f>
        <v>8.15</v>
      </c>
      <c r="G940" s="1">
        <f>VLOOKUP(Table7[[#This Row],[Student_ID]],student_data[#All],6,0)</f>
        <v>5</v>
      </c>
      <c r="H940" s="1">
        <f>VLOOKUP(Table7[[#This Row],[Student_ID]],student_internships[],2,0)</f>
        <v>0</v>
      </c>
      <c r="I940" s="1">
        <f>VLOOKUP(Table7[[#This Row],[Student_ID]],Placements!A940:E1939,5,0)</f>
        <v>4.1100000000000003</v>
      </c>
      <c r="J940" s="1" t="str">
        <f>IF(VLOOKUP(Table7[[#This Row],[Student_ID]],student_data[#All],5,0)&gt;8,"HIGH",IF(VLOOKUP(Table7[[#This Row],[Student_ID]],student_data[#All],5,0)&lt;6.5,"LOW","MEDIUM"))</f>
        <v>HIGH</v>
      </c>
    </row>
    <row r="941" spans="1:10" x14ac:dyDescent="0.2">
      <c r="A941" s="1" t="s">
        <v>950</v>
      </c>
      <c r="B941" s="1" t="str">
        <f>VLOOKUP(Table7[[#This Row],[Student_ID]],student_data[#All],2,0)</f>
        <v>Computer Science</v>
      </c>
      <c r="C941" s="1">
        <f>(VLOOKUP(Table7[[#This Row],[Student_ID]],student_data[],5,0)*5)+(VLOOKUP(Table7[[#This Row],[Student_ID]],student_data[],6,0)*3)+(VLOOKUP(Table7[[#This Row],[Student_ID]],student_skills[],6,0)*2)+(VLOOKUP(Table7[[#This Row],[Student_ID]],student_internships[],2,0)*5)</f>
        <v>85.449999999999989</v>
      </c>
      <c r="D941" s="1">
        <f>AVERAGE(VLOOKUP(Table7[[#This Row],[Student_ID]],student_skills[],3,0),VLOOKUP(Table7[[#This Row],[Student_ID]],student_skills[],4,0),VLOOKUP(Table7[[#This Row],[Student_ID]],student_skills[],5,0),VLOOKUP(Table7[[#This Row],[Student_ID]],student_skills[],6,0))</f>
        <v>5.5</v>
      </c>
      <c r="E941" s="1" t="str">
        <f>IF(VLOOKUP(Table7[[#This Row],[Student_ID]],student_internships[#All],2,0)&gt;1,"EXPERIENCED",IF(VLOOKUP(Table7[[#This Row],[Student_ID]],student_internships[#All],2,0)=1,"BEGINNER","NOT EXPERIENCED"))</f>
        <v>EXPERIENCED</v>
      </c>
      <c r="F941" s="1">
        <f>VLOOKUP(Table7[[#This Row],[Student_ID]],student_data[],5,0)</f>
        <v>9.2899999999999991</v>
      </c>
      <c r="G941" s="1">
        <f>VLOOKUP(Table7[[#This Row],[Student_ID]],student_data[#All],6,0)</f>
        <v>2</v>
      </c>
      <c r="H941" s="1">
        <f>VLOOKUP(Table7[[#This Row],[Student_ID]],student_internships[],2,0)</f>
        <v>3</v>
      </c>
      <c r="I941" s="1">
        <f>VLOOKUP(Table7[[#This Row],[Student_ID]],Placements!A941:E1940,5,0)</f>
        <v>4.53</v>
      </c>
      <c r="J941" s="1" t="str">
        <f>IF(VLOOKUP(Table7[[#This Row],[Student_ID]],student_data[#All],5,0)&gt;8,"HIGH",IF(VLOOKUP(Table7[[#This Row],[Student_ID]],student_data[#All],5,0)&lt;6.5,"LOW","MEDIUM"))</f>
        <v>HIGH</v>
      </c>
    </row>
    <row r="942" spans="1:10" x14ac:dyDescent="0.2">
      <c r="A942" s="1" t="s">
        <v>951</v>
      </c>
      <c r="B942" s="1" t="str">
        <f>VLOOKUP(Table7[[#This Row],[Student_ID]],student_data[#All],2,0)</f>
        <v>Computer Science</v>
      </c>
      <c r="C942" s="1">
        <f>(VLOOKUP(Table7[[#This Row],[Student_ID]],student_data[],5,0)*5)+(VLOOKUP(Table7[[#This Row],[Student_ID]],student_data[],6,0)*3)+(VLOOKUP(Table7[[#This Row],[Student_ID]],student_skills[],6,0)*2)+(VLOOKUP(Table7[[#This Row],[Student_ID]],student_internships[],2,0)*5)</f>
        <v>55.6</v>
      </c>
      <c r="D942" s="1">
        <f>AVERAGE(VLOOKUP(Table7[[#This Row],[Student_ID]],student_skills[],3,0),VLOOKUP(Table7[[#This Row],[Student_ID]],student_skills[],4,0),VLOOKUP(Table7[[#This Row],[Student_ID]],student_skills[],5,0),VLOOKUP(Table7[[#This Row],[Student_ID]],student_skills[],6,0))</f>
        <v>4.25</v>
      </c>
      <c r="E942" s="1" t="str">
        <f>IF(VLOOKUP(Table7[[#This Row],[Student_ID]],student_internships[#All],2,0)&gt;1,"EXPERIENCED",IF(VLOOKUP(Table7[[#This Row],[Student_ID]],student_internships[#All],2,0)=1,"BEGINNER","NOT EXPERIENCED"))</f>
        <v>NOT EXPERIENCED</v>
      </c>
      <c r="F942" s="1">
        <f>VLOOKUP(Table7[[#This Row],[Student_ID]],student_data[],5,0)</f>
        <v>8.92</v>
      </c>
      <c r="G942" s="1">
        <f>VLOOKUP(Table7[[#This Row],[Student_ID]],student_data[#All],6,0)</f>
        <v>1</v>
      </c>
      <c r="H942" s="1">
        <f>VLOOKUP(Table7[[#This Row],[Student_ID]],student_internships[],2,0)</f>
        <v>0</v>
      </c>
      <c r="I942" s="1">
        <f>VLOOKUP(Table7[[#This Row],[Student_ID]],Placements!A942:E1941,5,0)</f>
        <v>5.13</v>
      </c>
      <c r="J942" s="1" t="str">
        <f>IF(VLOOKUP(Table7[[#This Row],[Student_ID]],student_data[#All],5,0)&gt;8,"HIGH",IF(VLOOKUP(Table7[[#This Row],[Student_ID]],student_data[#All],5,0)&lt;6.5,"LOW","MEDIUM"))</f>
        <v>HIGH</v>
      </c>
    </row>
    <row r="943" spans="1:10" x14ac:dyDescent="0.2">
      <c r="A943" s="1" t="s">
        <v>952</v>
      </c>
      <c r="B943" s="1" t="str">
        <f>VLOOKUP(Table7[[#This Row],[Student_ID]],student_data[#All],2,0)</f>
        <v>Computer Science</v>
      </c>
      <c r="C943" s="1">
        <f>(VLOOKUP(Table7[[#This Row],[Student_ID]],student_data[],5,0)*5)+(VLOOKUP(Table7[[#This Row],[Student_ID]],student_data[],6,0)*3)+(VLOOKUP(Table7[[#This Row],[Student_ID]],student_skills[],6,0)*2)+(VLOOKUP(Table7[[#This Row],[Student_ID]],student_internships[],2,0)*5)</f>
        <v>58.699999999999996</v>
      </c>
      <c r="D943" s="1">
        <f>AVERAGE(VLOOKUP(Table7[[#This Row],[Student_ID]],student_skills[],3,0),VLOOKUP(Table7[[#This Row],[Student_ID]],student_skills[],4,0),VLOOKUP(Table7[[#This Row],[Student_ID]],student_skills[],5,0),VLOOKUP(Table7[[#This Row],[Student_ID]],student_skills[],6,0))</f>
        <v>6.75</v>
      </c>
      <c r="E943" s="1" t="str">
        <f>IF(VLOOKUP(Table7[[#This Row],[Student_ID]],student_internships[#All],2,0)&gt;1,"EXPERIENCED",IF(VLOOKUP(Table7[[#This Row],[Student_ID]],student_internships[#All],2,0)=1,"BEGINNER","NOT EXPERIENCED"))</f>
        <v>BEGINNER</v>
      </c>
      <c r="F943" s="1">
        <f>VLOOKUP(Table7[[#This Row],[Student_ID]],student_data[],5,0)</f>
        <v>7.14</v>
      </c>
      <c r="G943" s="1">
        <f>VLOOKUP(Table7[[#This Row],[Student_ID]],student_data[#All],6,0)</f>
        <v>0</v>
      </c>
      <c r="H943" s="1">
        <f>VLOOKUP(Table7[[#This Row],[Student_ID]],student_internships[],2,0)</f>
        <v>1</v>
      </c>
      <c r="I943" s="1">
        <f>VLOOKUP(Table7[[#This Row],[Student_ID]],Placements!A943:E1942,5,0)</f>
        <v>0</v>
      </c>
      <c r="J943" s="1" t="str">
        <f>IF(VLOOKUP(Table7[[#This Row],[Student_ID]],student_data[#All],5,0)&gt;8,"HIGH",IF(VLOOKUP(Table7[[#This Row],[Student_ID]],student_data[#All],5,0)&lt;6.5,"LOW","MEDIUM"))</f>
        <v>MEDIUM</v>
      </c>
    </row>
    <row r="944" spans="1:10" x14ac:dyDescent="0.2">
      <c r="A944" s="1" t="s">
        <v>953</v>
      </c>
      <c r="B944" s="1" t="str">
        <f>VLOOKUP(Table7[[#This Row],[Student_ID]],student_data[#All],2,0)</f>
        <v>Electronics</v>
      </c>
      <c r="C944" s="1">
        <f>(VLOOKUP(Table7[[#This Row],[Student_ID]],student_data[],5,0)*5)+(VLOOKUP(Table7[[#This Row],[Student_ID]],student_data[],6,0)*3)+(VLOOKUP(Table7[[#This Row],[Student_ID]],student_skills[],6,0)*2)+(VLOOKUP(Table7[[#This Row],[Student_ID]],student_internships[],2,0)*5)</f>
        <v>65.05</v>
      </c>
      <c r="D944" s="1">
        <f>AVERAGE(VLOOKUP(Table7[[#This Row],[Student_ID]],student_skills[],3,0),VLOOKUP(Table7[[#This Row],[Student_ID]],student_skills[],4,0),VLOOKUP(Table7[[#This Row],[Student_ID]],student_skills[],5,0),VLOOKUP(Table7[[#This Row],[Student_ID]],student_skills[],6,0))</f>
        <v>5</v>
      </c>
      <c r="E944" s="1" t="str">
        <f>IF(VLOOKUP(Table7[[#This Row],[Student_ID]],student_internships[#All],2,0)&gt;1,"EXPERIENCED",IF(VLOOKUP(Table7[[#This Row],[Student_ID]],student_internships[#All],2,0)=1,"BEGINNER","NOT EXPERIENCED"))</f>
        <v>NOT EXPERIENCED</v>
      </c>
      <c r="F944" s="1">
        <f>VLOOKUP(Table7[[#This Row],[Student_ID]],student_data[],5,0)</f>
        <v>6.01</v>
      </c>
      <c r="G944" s="1">
        <f>VLOOKUP(Table7[[#This Row],[Student_ID]],student_data[#All],6,0)</f>
        <v>5</v>
      </c>
      <c r="H944" s="1">
        <f>VLOOKUP(Table7[[#This Row],[Student_ID]],student_internships[],2,0)</f>
        <v>0</v>
      </c>
      <c r="I944" s="1">
        <f>VLOOKUP(Table7[[#This Row],[Student_ID]],Placements!A944:E1943,5,0)</f>
        <v>4.5</v>
      </c>
      <c r="J944" s="1" t="str">
        <f>IF(VLOOKUP(Table7[[#This Row],[Student_ID]],student_data[#All],5,0)&gt;8,"HIGH",IF(VLOOKUP(Table7[[#This Row],[Student_ID]],student_data[#All],5,0)&lt;6.5,"LOW","MEDIUM"))</f>
        <v>LOW</v>
      </c>
    </row>
    <row r="945" spans="1:10" x14ac:dyDescent="0.2">
      <c r="A945" s="1" t="s">
        <v>954</v>
      </c>
      <c r="B945" s="1" t="str">
        <f>VLOOKUP(Table7[[#This Row],[Student_ID]],student_data[#All],2,0)</f>
        <v>Information Technology</v>
      </c>
      <c r="C945" s="1">
        <f>(VLOOKUP(Table7[[#This Row],[Student_ID]],student_data[],5,0)*5)+(VLOOKUP(Table7[[#This Row],[Student_ID]],student_data[],6,0)*3)+(VLOOKUP(Table7[[#This Row],[Student_ID]],student_skills[],6,0)*2)+(VLOOKUP(Table7[[#This Row],[Student_ID]],student_internships[],2,0)*5)</f>
        <v>51.85</v>
      </c>
      <c r="D945" s="1">
        <f>AVERAGE(VLOOKUP(Table7[[#This Row],[Student_ID]],student_skills[],3,0),VLOOKUP(Table7[[#This Row],[Student_ID]],student_skills[],4,0),VLOOKUP(Table7[[#This Row],[Student_ID]],student_skills[],5,0),VLOOKUP(Table7[[#This Row],[Student_ID]],student_skills[],6,0))</f>
        <v>6</v>
      </c>
      <c r="E945" s="1" t="str">
        <f>IF(VLOOKUP(Table7[[#This Row],[Student_ID]],student_internships[#All],2,0)&gt;1,"EXPERIENCED",IF(VLOOKUP(Table7[[#This Row],[Student_ID]],student_internships[#All],2,0)=1,"BEGINNER","NOT EXPERIENCED"))</f>
        <v>BEGINNER</v>
      </c>
      <c r="F945" s="1">
        <f>VLOOKUP(Table7[[#This Row],[Student_ID]],student_data[],5,0)</f>
        <v>7.57</v>
      </c>
      <c r="G945" s="1">
        <f>VLOOKUP(Table7[[#This Row],[Student_ID]],student_data[#All],6,0)</f>
        <v>1</v>
      </c>
      <c r="H945" s="1">
        <f>VLOOKUP(Table7[[#This Row],[Student_ID]],student_internships[],2,0)</f>
        <v>1</v>
      </c>
      <c r="I945" s="1">
        <f>VLOOKUP(Table7[[#This Row],[Student_ID]],Placements!A945:E1944,5,0)</f>
        <v>4.3499999999999996</v>
      </c>
      <c r="J945" s="1" t="str">
        <f>IF(VLOOKUP(Table7[[#This Row],[Student_ID]],student_data[#All],5,0)&gt;8,"HIGH",IF(VLOOKUP(Table7[[#This Row],[Student_ID]],student_data[#All],5,0)&lt;6.5,"LOW","MEDIUM"))</f>
        <v>MEDIUM</v>
      </c>
    </row>
    <row r="946" spans="1:10" x14ac:dyDescent="0.2">
      <c r="A946" s="1" t="s">
        <v>955</v>
      </c>
      <c r="B946" s="1" t="str">
        <f>VLOOKUP(Table7[[#This Row],[Student_ID]],student_data[#All],2,0)</f>
        <v>Mechanical</v>
      </c>
      <c r="C946" s="1">
        <f>(VLOOKUP(Table7[[#This Row],[Student_ID]],student_data[],5,0)*5)+(VLOOKUP(Table7[[#This Row],[Student_ID]],student_data[],6,0)*3)+(VLOOKUP(Table7[[#This Row],[Student_ID]],student_skills[],6,0)*2)+(VLOOKUP(Table7[[#This Row],[Student_ID]],student_internships[],2,0)*5)</f>
        <v>76.400000000000006</v>
      </c>
      <c r="D946" s="1">
        <f>AVERAGE(VLOOKUP(Table7[[#This Row],[Student_ID]],student_skills[],3,0),VLOOKUP(Table7[[#This Row],[Student_ID]],student_skills[],4,0),VLOOKUP(Table7[[#This Row],[Student_ID]],student_skills[],5,0),VLOOKUP(Table7[[#This Row],[Student_ID]],student_skills[],6,0))</f>
        <v>6</v>
      </c>
      <c r="E946" s="1" t="str">
        <f>IF(VLOOKUP(Table7[[#This Row],[Student_ID]],student_internships[#All],2,0)&gt;1,"EXPERIENCED",IF(VLOOKUP(Table7[[#This Row],[Student_ID]],student_internships[#All],2,0)=1,"BEGINNER","NOT EXPERIENCED"))</f>
        <v>BEGINNER</v>
      </c>
      <c r="F946" s="1">
        <f>VLOOKUP(Table7[[#This Row],[Student_ID]],student_data[],5,0)</f>
        <v>8.68</v>
      </c>
      <c r="G946" s="1">
        <f>VLOOKUP(Table7[[#This Row],[Student_ID]],student_data[#All],6,0)</f>
        <v>4</v>
      </c>
      <c r="H946" s="1">
        <f>VLOOKUP(Table7[[#This Row],[Student_ID]],student_internships[],2,0)</f>
        <v>1</v>
      </c>
      <c r="I946" s="1">
        <f>VLOOKUP(Table7[[#This Row],[Student_ID]],Placements!A946:E1945,5,0)</f>
        <v>4.1900000000000004</v>
      </c>
      <c r="J946" s="1" t="str">
        <f>IF(VLOOKUP(Table7[[#This Row],[Student_ID]],student_data[#All],5,0)&gt;8,"HIGH",IF(VLOOKUP(Table7[[#This Row],[Student_ID]],student_data[#All],5,0)&lt;6.5,"LOW","MEDIUM"))</f>
        <v>HIGH</v>
      </c>
    </row>
    <row r="947" spans="1:10" x14ac:dyDescent="0.2">
      <c r="A947" s="1" t="s">
        <v>956</v>
      </c>
      <c r="B947" s="1" t="str">
        <f>VLOOKUP(Table7[[#This Row],[Student_ID]],student_data[#All],2,0)</f>
        <v>Mechanical</v>
      </c>
      <c r="C947" s="1">
        <f>(VLOOKUP(Table7[[#This Row],[Student_ID]],student_data[],5,0)*5)+(VLOOKUP(Table7[[#This Row],[Student_ID]],student_data[],6,0)*3)+(VLOOKUP(Table7[[#This Row],[Student_ID]],student_skills[],6,0)*2)+(VLOOKUP(Table7[[#This Row],[Student_ID]],student_internships[],2,0)*5)</f>
        <v>56.9</v>
      </c>
      <c r="D947" s="1">
        <f>AVERAGE(VLOOKUP(Table7[[#This Row],[Student_ID]],student_skills[],3,0),VLOOKUP(Table7[[#This Row],[Student_ID]],student_skills[],4,0),VLOOKUP(Table7[[#This Row],[Student_ID]],student_skills[],5,0),VLOOKUP(Table7[[#This Row],[Student_ID]],student_skills[],6,0))</f>
        <v>6.75</v>
      </c>
      <c r="E947" s="1" t="str">
        <f>IF(VLOOKUP(Table7[[#This Row],[Student_ID]],student_internships[#All],2,0)&gt;1,"EXPERIENCED",IF(VLOOKUP(Table7[[#This Row],[Student_ID]],student_internships[#All],2,0)=1,"BEGINNER","NOT EXPERIENCED"))</f>
        <v>EXPERIENCED</v>
      </c>
      <c r="F947" s="1">
        <f>VLOOKUP(Table7[[#This Row],[Student_ID]],student_data[],5,0)</f>
        <v>7.18</v>
      </c>
      <c r="G947" s="1">
        <f>VLOOKUP(Table7[[#This Row],[Student_ID]],student_data[#All],6,0)</f>
        <v>3</v>
      </c>
      <c r="H947" s="1">
        <f>VLOOKUP(Table7[[#This Row],[Student_ID]],student_internships[],2,0)</f>
        <v>2</v>
      </c>
      <c r="I947" s="1">
        <f>VLOOKUP(Table7[[#This Row],[Student_ID]],Placements!A947:E1946,5,0)</f>
        <v>5.13</v>
      </c>
      <c r="J947" s="1" t="str">
        <f>IF(VLOOKUP(Table7[[#This Row],[Student_ID]],student_data[#All],5,0)&gt;8,"HIGH",IF(VLOOKUP(Table7[[#This Row],[Student_ID]],student_data[#All],5,0)&lt;6.5,"LOW","MEDIUM"))</f>
        <v>MEDIUM</v>
      </c>
    </row>
    <row r="948" spans="1:10" x14ac:dyDescent="0.2">
      <c r="A948" s="1" t="s">
        <v>957</v>
      </c>
      <c r="B948" s="1" t="str">
        <f>VLOOKUP(Table7[[#This Row],[Student_ID]],student_data[#All],2,0)</f>
        <v>Mechanical</v>
      </c>
      <c r="C948" s="1">
        <f>(VLOOKUP(Table7[[#This Row],[Student_ID]],student_data[],5,0)*5)+(VLOOKUP(Table7[[#This Row],[Student_ID]],student_data[],6,0)*3)+(VLOOKUP(Table7[[#This Row],[Student_ID]],student_skills[],6,0)*2)+(VLOOKUP(Table7[[#This Row],[Student_ID]],student_internships[],2,0)*5)</f>
        <v>71.650000000000006</v>
      </c>
      <c r="D948" s="1">
        <f>AVERAGE(VLOOKUP(Table7[[#This Row],[Student_ID]],student_skills[],3,0),VLOOKUP(Table7[[#This Row],[Student_ID]],student_skills[],4,0),VLOOKUP(Table7[[#This Row],[Student_ID]],student_skills[],5,0),VLOOKUP(Table7[[#This Row],[Student_ID]],student_skills[],6,0))</f>
        <v>6.75</v>
      </c>
      <c r="E948" s="1" t="str">
        <f>IF(VLOOKUP(Table7[[#This Row],[Student_ID]],student_internships[#All],2,0)&gt;1,"EXPERIENCED",IF(VLOOKUP(Table7[[#This Row],[Student_ID]],student_internships[#All],2,0)=1,"BEGINNER","NOT EXPERIENCED"))</f>
        <v>NOT EXPERIENCED</v>
      </c>
      <c r="F948" s="1">
        <f>VLOOKUP(Table7[[#This Row],[Student_ID]],student_data[],5,0)</f>
        <v>8.33</v>
      </c>
      <c r="G948" s="1">
        <f>VLOOKUP(Table7[[#This Row],[Student_ID]],student_data[#All],6,0)</f>
        <v>4</v>
      </c>
      <c r="H948" s="1">
        <f>VLOOKUP(Table7[[#This Row],[Student_ID]],student_internships[],2,0)</f>
        <v>0</v>
      </c>
      <c r="I948" s="1">
        <f>VLOOKUP(Table7[[#This Row],[Student_ID]],Placements!A948:E1947,5,0)</f>
        <v>4.12</v>
      </c>
      <c r="J948" s="1" t="str">
        <f>IF(VLOOKUP(Table7[[#This Row],[Student_ID]],student_data[#All],5,0)&gt;8,"HIGH",IF(VLOOKUP(Table7[[#This Row],[Student_ID]],student_data[#All],5,0)&lt;6.5,"LOW","MEDIUM"))</f>
        <v>HIGH</v>
      </c>
    </row>
    <row r="949" spans="1:10" x14ac:dyDescent="0.2">
      <c r="A949" s="1" t="s">
        <v>958</v>
      </c>
      <c r="B949" s="1" t="str">
        <f>VLOOKUP(Table7[[#This Row],[Student_ID]],student_data[#All],2,0)</f>
        <v>Mechanical</v>
      </c>
      <c r="C949" s="1">
        <f>(VLOOKUP(Table7[[#This Row],[Student_ID]],student_data[],5,0)*5)+(VLOOKUP(Table7[[#This Row],[Student_ID]],student_data[],6,0)*3)+(VLOOKUP(Table7[[#This Row],[Student_ID]],student_skills[],6,0)*2)+(VLOOKUP(Table7[[#This Row],[Student_ID]],student_internships[],2,0)*5)</f>
        <v>54.349999999999994</v>
      </c>
      <c r="D949" s="1">
        <f>AVERAGE(VLOOKUP(Table7[[#This Row],[Student_ID]],student_skills[],3,0),VLOOKUP(Table7[[#This Row],[Student_ID]],student_skills[],4,0),VLOOKUP(Table7[[#This Row],[Student_ID]],student_skills[],5,0),VLOOKUP(Table7[[#This Row],[Student_ID]],student_skills[],6,0))</f>
        <v>7.75</v>
      </c>
      <c r="E949" s="1" t="str">
        <f>IF(VLOOKUP(Table7[[#This Row],[Student_ID]],student_internships[#All],2,0)&gt;1,"EXPERIENCED",IF(VLOOKUP(Table7[[#This Row],[Student_ID]],student_internships[#All],2,0)=1,"BEGINNER","NOT EXPERIENCED"))</f>
        <v>NOT EXPERIENCED</v>
      </c>
      <c r="F949" s="1">
        <f>VLOOKUP(Table7[[#This Row],[Student_ID]],student_data[],5,0)</f>
        <v>5.47</v>
      </c>
      <c r="G949" s="1">
        <f>VLOOKUP(Table7[[#This Row],[Student_ID]],student_data[#All],6,0)</f>
        <v>3</v>
      </c>
      <c r="H949" s="1">
        <f>VLOOKUP(Table7[[#This Row],[Student_ID]],student_internships[],2,0)</f>
        <v>0</v>
      </c>
      <c r="I949" s="1">
        <f>VLOOKUP(Table7[[#This Row],[Student_ID]],Placements!A949:E1948,5,0)</f>
        <v>4.5599999999999996</v>
      </c>
      <c r="J949" s="1" t="str">
        <f>IF(VLOOKUP(Table7[[#This Row],[Student_ID]],student_data[#All],5,0)&gt;8,"HIGH",IF(VLOOKUP(Table7[[#This Row],[Student_ID]],student_data[#All],5,0)&lt;6.5,"LOW","MEDIUM"))</f>
        <v>LOW</v>
      </c>
    </row>
    <row r="950" spans="1:10" x14ac:dyDescent="0.2">
      <c r="A950" s="1" t="s">
        <v>959</v>
      </c>
      <c r="B950" s="1" t="str">
        <f>VLOOKUP(Table7[[#This Row],[Student_ID]],student_data[#All],2,0)</f>
        <v>Electronics</v>
      </c>
      <c r="C950" s="1">
        <f>(VLOOKUP(Table7[[#This Row],[Student_ID]],student_data[],5,0)*5)+(VLOOKUP(Table7[[#This Row],[Student_ID]],student_data[],6,0)*3)+(VLOOKUP(Table7[[#This Row],[Student_ID]],student_skills[],6,0)*2)+(VLOOKUP(Table7[[#This Row],[Student_ID]],student_internships[],2,0)*5)</f>
        <v>72.7</v>
      </c>
      <c r="D950" s="1">
        <f>AVERAGE(VLOOKUP(Table7[[#This Row],[Student_ID]],student_skills[],3,0),VLOOKUP(Table7[[#This Row],[Student_ID]],student_skills[],4,0),VLOOKUP(Table7[[#This Row],[Student_ID]],student_skills[],5,0),VLOOKUP(Table7[[#This Row],[Student_ID]],student_skills[],6,0))</f>
        <v>7</v>
      </c>
      <c r="E950" s="1" t="str">
        <f>IF(VLOOKUP(Table7[[#This Row],[Student_ID]],student_internships[#All],2,0)&gt;1,"EXPERIENCED",IF(VLOOKUP(Table7[[#This Row],[Student_ID]],student_internships[#All],2,0)=1,"BEGINNER","NOT EXPERIENCED"))</f>
        <v>NOT EXPERIENCED</v>
      </c>
      <c r="F950" s="1">
        <f>VLOOKUP(Table7[[#This Row],[Student_ID]],student_data[],5,0)</f>
        <v>8.74</v>
      </c>
      <c r="G950" s="1">
        <f>VLOOKUP(Table7[[#This Row],[Student_ID]],student_data[#All],6,0)</f>
        <v>3</v>
      </c>
      <c r="H950" s="1">
        <f>VLOOKUP(Table7[[#This Row],[Student_ID]],student_internships[],2,0)</f>
        <v>0</v>
      </c>
      <c r="I950" s="1">
        <f>VLOOKUP(Table7[[#This Row],[Student_ID]],Placements!A950:E1949,5,0)</f>
        <v>0</v>
      </c>
      <c r="J950" s="1" t="str">
        <f>IF(VLOOKUP(Table7[[#This Row],[Student_ID]],student_data[#All],5,0)&gt;8,"HIGH",IF(VLOOKUP(Table7[[#This Row],[Student_ID]],student_data[#All],5,0)&lt;6.5,"LOW","MEDIUM"))</f>
        <v>HIGH</v>
      </c>
    </row>
    <row r="951" spans="1:10" x14ac:dyDescent="0.2">
      <c r="A951" s="1" t="s">
        <v>960</v>
      </c>
      <c r="B951" s="1" t="str">
        <f>VLOOKUP(Table7[[#This Row],[Student_ID]],student_data[#All],2,0)</f>
        <v>Civil</v>
      </c>
      <c r="C951" s="1">
        <f>(VLOOKUP(Table7[[#This Row],[Student_ID]],student_data[],5,0)*5)+(VLOOKUP(Table7[[#This Row],[Student_ID]],student_data[],6,0)*3)+(VLOOKUP(Table7[[#This Row],[Student_ID]],student_skills[],6,0)*2)+(VLOOKUP(Table7[[#This Row],[Student_ID]],student_internships[],2,0)*5)</f>
        <v>76.300000000000011</v>
      </c>
      <c r="D951" s="1">
        <f>AVERAGE(VLOOKUP(Table7[[#This Row],[Student_ID]],student_skills[],3,0),VLOOKUP(Table7[[#This Row],[Student_ID]],student_skills[],4,0),VLOOKUP(Table7[[#This Row],[Student_ID]],student_skills[],5,0),VLOOKUP(Table7[[#This Row],[Student_ID]],student_skills[],6,0))</f>
        <v>5.25</v>
      </c>
      <c r="E951" s="1" t="str">
        <f>IF(VLOOKUP(Table7[[#This Row],[Student_ID]],student_internships[#All],2,0)&gt;1,"EXPERIENCED",IF(VLOOKUP(Table7[[#This Row],[Student_ID]],student_internships[#All],2,0)=1,"BEGINNER","NOT EXPERIENCED"))</f>
        <v>EXPERIENCED</v>
      </c>
      <c r="F951" s="1">
        <f>VLOOKUP(Table7[[#This Row],[Student_ID]],student_data[],5,0)</f>
        <v>9.06</v>
      </c>
      <c r="G951" s="1">
        <f>VLOOKUP(Table7[[#This Row],[Student_ID]],student_data[#All],6,0)</f>
        <v>4</v>
      </c>
      <c r="H951" s="1">
        <f>VLOOKUP(Table7[[#This Row],[Student_ID]],student_internships[],2,0)</f>
        <v>3</v>
      </c>
      <c r="I951" s="1">
        <f>VLOOKUP(Table7[[#This Row],[Student_ID]],Placements!A951:E1950,5,0)</f>
        <v>5.13</v>
      </c>
      <c r="J951" s="1" t="str">
        <f>IF(VLOOKUP(Table7[[#This Row],[Student_ID]],student_data[#All],5,0)&gt;8,"HIGH",IF(VLOOKUP(Table7[[#This Row],[Student_ID]],student_data[#All],5,0)&lt;6.5,"LOW","MEDIUM"))</f>
        <v>HIGH</v>
      </c>
    </row>
    <row r="952" spans="1:10" x14ac:dyDescent="0.2">
      <c r="A952" s="1" t="s">
        <v>961</v>
      </c>
      <c r="B952" s="1" t="str">
        <f>VLOOKUP(Table7[[#This Row],[Student_ID]],student_data[#All],2,0)</f>
        <v>Information Technology</v>
      </c>
      <c r="C952" s="1">
        <f>(VLOOKUP(Table7[[#This Row],[Student_ID]],student_data[],5,0)*5)+(VLOOKUP(Table7[[#This Row],[Student_ID]],student_data[],6,0)*3)+(VLOOKUP(Table7[[#This Row],[Student_ID]],student_skills[],6,0)*2)+(VLOOKUP(Table7[[#This Row],[Student_ID]],student_internships[],2,0)*5)</f>
        <v>72.650000000000006</v>
      </c>
      <c r="D952" s="1">
        <f>AVERAGE(VLOOKUP(Table7[[#This Row],[Student_ID]],student_skills[],3,0),VLOOKUP(Table7[[#This Row],[Student_ID]],student_skills[],4,0),VLOOKUP(Table7[[#This Row],[Student_ID]],student_skills[],5,0),VLOOKUP(Table7[[#This Row],[Student_ID]],student_skills[],6,0))</f>
        <v>5.5</v>
      </c>
      <c r="E952" s="1" t="str">
        <f>IF(VLOOKUP(Table7[[#This Row],[Student_ID]],student_internships[#All],2,0)&gt;1,"EXPERIENCED",IF(VLOOKUP(Table7[[#This Row],[Student_ID]],student_internships[#All],2,0)=1,"BEGINNER","NOT EXPERIENCED"))</f>
        <v>EXPERIENCED</v>
      </c>
      <c r="F952" s="1">
        <f>VLOOKUP(Table7[[#This Row],[Student_ID]],student_data[],5,0)</f>
        <v>8.5299999999999994</v>
      </c>
      <c r="G952" s="1">
        <f>VLOOKUP(Table7[[#This Row],[Student_ID]],student_data[#All],6,0)</f>
        <v>4</v>
      </c>
      <c r="H952" s="1">
        <f>VLOOKUP(Table7[[#This Row],[Student_ID]],student_internships[],2,0)</f>
        <v>2</v>
      </c>
      <c r="I952" s="1">
        <f>VLOOKUP(Table7[[#This Row],[Student_ID]],Placements!A952:E1951,5,0)</f>
        <v>5.19</v>
      </c>
      <c r="J952" s="1" t="str">
        <f>IF(VLOOKUP(Table7[[#This Row],[Student_ID]],student_data[#All],5,0)&gt;8,"HIGH",IF(VLOOKUP(Table7[[#This Row],[Student_ID]],student_data[#All],5,0)&lt;6.5,"LOW","MEDIUM"))</f>
        <v>HIGH</v>
      </c>
    </row>
    <row r="953" spans="1:10" x14ac:dyDescent="0.2">
      <c r="A953" s="1" t="s">
        <v>962</v>
      </c>
      <c r="B953" s="1" t="str">
        <f>VLOOKUP(Table7[[#This Row],[Student_ID]],student_data[#All],2,0)</f>
        <v>Computer Science</v>
      </c>
      <c r="C953" s="1">
        <f>(VLOOKUP(Table7[[#This Row],[Student_ID]],student_data[],5,0)*5)+(VLOOKUP(Table7[[#This Row],[Student_ID]],student_data[],6,0)*3)+(VLOOKUP(Table7[[#This Row],[Student_ID]],student_skills[],6,0)*2)+(VLOOKUP(Table7[[#This Row],[Student_ID]],student_internships[],2,0)*5)</f>
        <v>73.2</v>
      </c>
      <c r="D953" s="1">
        <f>AVERAGE(VLOOKUP(Table7[[#This Row],[Student_ID]],student_skills[],3,0),VLOOKUP(Table7[[#This Row],[Student_ID]],student_skills[],4,0),VLOOKUP(Table7[[#This Row],[Student_ID]],student_skills[],5,0),VLOOKUP(Table7[[#This Row],[Student_ID]],student_skills[],6,0))</f>
        <v>4.5</v>
      </c>
      <c r="E953" s="1" t="str">
        <f>IF(VLOOKUP(Table7[[#This Row],[Student_ID]],student_internships[#All],2,0)&gt;1,"EXPERIENCED",IF(VLOOKUP(Table7[[#This Row],[Student_ID]],student_internships[#All],2,0)=1,"BEGINNER","NOT EXPERIENCED"))</f>
        <v>BEGINNER</v>
      </c>
      <c r="F953" s="1">
        <f>VLOOKUP(Table7[[#This Row],[Student_ID]],student_data[],5,0)</f>
        <v>9.84</v>
      </c>
      <c r="G953" s="1">
        <f>VLOOKUP(Table7[[#This Row],[Student_ID]],student_data[#All],6,0)</f>
        <v>1</v>
      </c>
      <c r="H953" s="1">
        <f>VLOOKUP(Table7[[#This Row],[Student_ID]],student_internships[],2,0)</f>
        <v>1</v>
      </c>
      <c r="I953" s="1">
        <f>VLOOKUP(Table7[[#This Row],[Student_ID]],Placements!A953:E1952,5,0)</f>
        <v>4.5</v>
      </c>
      <c r="J953" s="1" t="str">
        <f>IF(VLOOKUP(Table7[[#This Row],[Student_ID]],student_data[#All],5,0)&gt;8,"HIGH",IF(VLOOKUP(Table7[[#This Row],[Student_ID]],student_data[#All],5,0)&lt;6.5,"LOW","MEDIUM"))</f>
        <v>HIGH</v>
      </c>
    </row>
    <row r="954" spans="1:10" x14ac:dyDescent="0.2">
      <c r="A954" s="1" t="s">
        <v>963</v>
      </c>
      <c r="B954" s="1" t="str">
        <f>VLOOKUP(Table7[[#This Row],[Student_ID]],student_data[#All],2,0)</f>
        <v>Civil</v>
      </c>
      <c r="C954" s="1">
        <f>(VLOOKUP(Table7[[#This Row],[Student_ID]],student_data[],5,0)*5)+(VLOOKUP(Table7[[#This Row],[Student_ID]],student_data[],6,0)*3)+(VLOOKUP(Table7[[#This Row],[Student_ID]],student_skills[],6,0)*2)+(VLOOKUP(Table7[[#This Row],[Student_ID]],student_internships[],2,0)*5)</f>
        <v>79.650000000000006</v>
      </c>
      <c r="D954" s="1">
        <f>AVERAGE(VLOOKUP(Table7[[#This Row],[Student_ID]],student_skills[],3,0),VLOOKUP(Table7[[#This Row],[Student_ID]],student_skills[],4,0),VLOOKUP(Table7[[#This Row],[Student_ID]],student_skills[],5,0),VLOOKUP(Table7[[#This Row],[Student_ID]],student_skills[],6,0))</f>
        <v>6.75</v>
      </c>
      <c r="E954" s="1" t="str">
        <f>IF(VLOOKUP(Table7[[#This Row],[Student_ID]],student_internships[#All],2,0)&gt;1,"EXPERIENCED",IF(VLOOKUP(Table7[[#This Row],[Student_ID]],student_internships[#All],2,0)=1,"BEGINNER","NOT EXPERIENCED"))</f>
        <v>BEGINNER</v>
      </c>
      <c r="F954" s="1">
        <f>VLOOKUP(Table7[[#This Row],[Student_ID]],student_data[],5,0)</f>
        <v>9.1300000000000008</v>
      </c>
      <c r="G954" s="1">
        <f>VLOOKUP(Table7[[#This Row],[Student_ID]],student_data[#All],6,0)</f>
        <v>5</v>
      </c>
      <c r="H954" s="1">
        <f>VLOOKUP(Table7[[#This Row],[Student_ID]],student_internships[],2,0)</f>
        <v>1</v>
      </c>
      <c r="I954" s="1">
        <f>VLOOKUP(Table7[[#This Row],[Student_ID]],Placements!A954:E1953,5,0)</f>
        <v>4.1900000000000004</v>
      </c>
      <c r="J954" s="1" t="str">
        <f>IF(VLOOKUP(Table7[[#This Row],[Student_ID]],student_data[#All],5,0)&gt;8,"HIGH",IF(VLOOKUP(Table7[[#This Row],[Student_ID]],student_data[#All],5,0)&lt;6.5,"LOW","MEDIUM"))</f>
        <v>HIGH</v>
      </c>
    </row>
    <row r="955" spans="1:10" x14ac:dyDescent="0.2">
      <c r="A955" s="1" t="s">
        <v>964</v>
      </c>
      <c r="B955" s="1" t="str">
        <f>VLOOKUP(Table7[[#This Row],[Student_ID]],student_data[#All],2,0)</f>
        <v>Mechanical</v>
      </c>
      <c r="C955" s="1">
        <f>(VLOOKUP(Table7[[#This Row],[Student_ID]],student_data[],5,0)*5)+(VLOOKUP(Table7[[#This Row],[Student_ID]],student_data[],6,0)*3)+(VLOOKUP(Table7[[#This Row],[Student_ID]],student_skills[],6,0)*2)+(VLOOKUP(Table7[[#This Row],[Student_ID]],student_internships[],2,0)*5)</f>
        <v>69.599999999999994</v>
      </c>
      <c r="D955" s="1">
        <f>AVERAGE(VLOOKUP(Table7[[#This Row],[Student_ID]],student_skills[],3,0),VLOOKUP(Table7[[#This Row],[Student_ID]],student_skills[],4,0),VLOOKUP(Table7[[#This Row],[Student_ID]],student_skills[],5,0),VLOOKUP(Table7[[#This Row],[Student_ID]],student_skills[],6,0))</f>
        <v>4</v>
      </c>
      <c r="E955" s="1" t="str">
        <f>IF(VLOOKUP(Table7[[#This Row],[Student_ID]],student_internships[#All],2,0)&gt;1,"EXPERIENCED",IF(VLOOKUP(Table7[[#This Row],[Student_ID]],student_internships[#All],2,0)=1,"BEGINNER","NOT EXPERIENCED"))</f>
        <v>BEGINNER</v>
      </c>
      <c r="F955" s="1">
        <f>VLOOKUP(Table7[[#This Row],[Student_ID]],student_data[],5,0)</f>
        <v>9.52</v>
      </c>
      <c r="G955" s="1">
        <f>VLOOKUP(Table7[[#This Row],[Student_ID]],student_data[#All],6,0)</f>
        <v>5</v>
      </c>
      <c r="H955" s="1">
        <f>VLOOKUP(Table7[[#This Row],[Student_ID]],student_internships[],2,0)</f>
        <v>1</v>
      </c>
      <c r="I955" s="1">
        <f>VLOOKUP(Table7[[#This Row],[Student_ID]],Placements!A955:E1954,5,0)</f>
        <v>4.1100000000000003</v>
      </c>
      <c r="J955" s="1" t="str">
        <f>IF(VLOOKUP(Table7[[#This Row],[Student_ID]],student_data[#All],5,0)&gt;8,"HIGH",IF(VLOOKUP(Table7[[#This Row],[Student_ID]],student_data[#All],5,0)&lt;6.5,"LOW","MEDIUM"))</f>
        <v>HIGH</v>
      </c>
    </row>
    <row r="956" spans="1:10" x14ac:dyDescent="0.2">
      <c r="A956" s="1" t="s">
        <v>965</v>
      </c>
      <c r="B956" s="1" t="str">
        <f>VLOOKUP(Table7[[#This Row],[Student_ID]],student_data[#All],2,0)</f>
        <v>Civil</v>
      </c>
      <c r="C956" s="1">
        <f>(VLOOKUP(Table7[[#This Row],[Student_ID]],student_data[],5,0)*5)+(VLOOKUP(Table7[[#This Row],[Student_ID]],student_data[],6,0)*3)+(VLOOKUP(Table7[[#This Row],[Student_ID]],student_skills[],6,0)*2)+(VLOOKUP(Table7[[#This Row],[Student_ID]],student_internships[],2,0)*5)</f>
        <v>70.349999999999994</v>
      </c>
      <c r="D956" s="1">
        <f>AVERAGE(VLOOKUP(Table7[[#This Row],[Student_ID]],student_skills[],3,0),VLOOKUP(Table7[[#This Row],[Student_ID]],student_skills[],4,0),VLOOKUP(Table7[[#This Row],[Student_ID]],student_skills[],5,0),VLOOKUP(Table7[[#This Row],[Student_ID]],student_skills[],6,0))</f>
        <v>6</v>
      </c>
      <c r="E956" s="1" t="str">
        <f>IF(VLOOKUP(Table7[[#This Row],[Student_ID]],student_internships[#All],2,0)&gt;1,"EXPERIENCED",IF(VLOOKUP(Table7[[#This Row],[Student_ID]],student_internships[#All],2,0)=1,"BEGINNER","NOT EXPERIENCED"))</f>
        <v>NOT EXPERIENCED</v>
      </c>
      <c r="F956" s="1">
        <f>VLOOKUP(Table7[[#This Row],[Student_ID]],student_data[],5,0)</f>
        <v>9.67</v>
      </c>
      <c r="G956" s="1">
        <f>VLOOKUP(Table7[[#This Row],[Student_ID]],student_data[#All],6,0)</f>
        <v>4</v>
      </c>
      <c r="H956" s="1">
        <f>VLOOKUP(Table7[[#This Row],[Student_ID]],student_internships[],2,0)</f>
        <v>0</v>
      </c>
      <c r="I956" s="1">
        <f>VLOOKUP(Table7[[#This Row],[Student_ID]],Placements!A956:E1955,5,0)</f>
        <v>0</v>
      </c>
      <c r="J956" s="1" t="str">
        <f>IF(VLOOKUP(Table7[[#This Row],[Student_ID]],student_data[#All],5,0)&gt;8,"HIGH",IF(VLOOKUP(Table7[[#This Row],[Student_ID]],student_data[#All],5,0)&lt;6.5,"LOW","MEDIUM"))</f>
        <v>HIGH</v>
      </c>
    </row>
    <row r="957" spans="1:10" x14ac:dyDescent="0.2">
      <c r="A957" s="1" t="s">
        <v>966</v>
      </c>
      <c r="B957" s="1" t="str">
        <f>VLOOKUP(Table7[[#This Row],[Student_ID]],student_data[#All],2,0)</f>
        <v>Information Technology</v>
      </c>
      <c r="C957" s="1">
        <f>(VLOOKUP(Table7[[#This Row],[Student_ID]],student_data[],5,0)*5)+(VLOOKUP(Table7[[#This Row],[Student_ID]],student_data[],6,0)*3)+(VLOOKUP(Table7[[#This Row],[Student_ID]],student_skills[],6,0)*2)+(VLOOKUP(Table7[[#This Row],[Student_ID]],student_internships[],2,0)*5)</f>
        <v>77.05</v>
      </c>
      <c r="D957" s="1">
        <f>AVERAGE(VLOOKUP(Table7[[#This Row],[Student_ID]],student_skills[],3,0),VLOOKUP(Table7[[#This Row],[Student_ID]],student_skills[],4,0),VLOOKUP(Table7[[#This Row],[Student_ID]],student_skills[],5,0),VLOOKUP(Table7[[#This Row],[Student_ID]],student_skills[],6,0))</f>
        <v>7.25</v>
      </c>
      <c r="E957" s="1" t="str">
        <f>IF(VLOOKUP(Table7[[#This Row],[Student_ID]],student_internships[#All],2,0)&gt;1,"EXPERIENCED",IF(VLOOKUP(Table7[[#This Row],[Student_ID]],student_internships[#All],2,0)=1,"BEGINNER","NOT EXPERIENCED"))</f>
        <v>EXPERIENCED</v>
      </c>
      <c r="F957" s="1">
        <f>VLOOKUP(Table7[[#This Row],[Student_ID]],student_data[],5,0)</f>
        <v>9.01</v>
      </c>
      <c r="G957" s="1">
        <f>VLOOKUP(Table7[[#This Row],[Student_ID]],student_data[#All],6,0)</f>
        <v>1</v>
      </c>
      <c r="H957" s="1">
        <f>VLOOKUP(Table7[[#This Row],[Student_ID]],student_internships[],2,0)</f>
        <v>3</v>
      </c>
      <c r="I957" s="1">
        <f>VLOOKUP(Table7[[#This Row],[Student_ID]],Placements!A957:E1956,5,0)</f>
        <v>4.5599999999999996</v>
      </c>
      <c r="J957" s="1" t="str">
        <f>IF(VLOOKUP(Table7[[#This Row],[Student_ID]],student_data[#All],5,0)&gt;8,"HIGH",IF(VLOOKUP(Table7[[#This Row],[Student_ID]],student_data[#All],5,0)&lt;6.5,"LOW","MEDIUM"))</f>
        <v>HIGH</v>
      </c>
    </row>
    <row r="958" spans="1:10" x14ac:dyDescent="0.2">
      <c r="A958" s="1" t="s">
        <v>967</v>
      </c>
      <c r="B958" s="1" t="str">
        <f>VLOOKUP(Table7[[#This Row],[Student_ID]],student_data[#All],2,0)</f>
        <v>Computer Science</v>
      </c>
      <c r="C958" s="1">
        <f>(VLOOKUP(Table7[[#This Row],[Student_ID]],student_data[],5,0)*5)+(VLOOKUP(Table7[[#This Row],[Student_ID]],student_data[],6,0)*3)+(VLOOKUP(Table7[[#This Row],[Student_ID]],student_skills[],6,0)*2)+(VLOOKUP(Table7[[#This Row],[Student_ID]],student_internships[],2,0)*5)</f>
        <v>69.849999999999994</v>
      </c>
      <c r="D958" s="1">
        <f>AVERAGE(VLOOKUP(Table7[[#This Row],[Student_ID]],student_skills[],3,0),VLOOKUP(Table7[[#This Row],[Student_ID]],student_skills[],4,0),VLOOKUP(Table7[[#This Row],[Student_ID]],student_skills[],5,0),VLOOKUP(Table7[[#This Row],[Student_ID]],student_skills[],6,0))</f>
        <v>5</v>
      </c>
      <c r="E958" s="1" t="str">
        <f>IF(VLOOKUP(Table7[[#This Row],[Student_ID]],student_internships[#All],2,0)&gt;1,"EXPERIENCED",IF(VLOOKUP(Table7[[#This Row],[Student_ID]],student_internships[#All],2,0)=1,"BEGINNER","NOT EXPERIENCED"))</f>
        <v>BEGINNER</v>
      </c>
      <c r="F958" s="1">
        <f>VLOOKUP(Table7[[#This Row],[Student_ID]],student_data[],5,0)</f>
        <v>8.3699999999999992</v>
      </c>
      <c r="G958" s="1">
        <f>VLOOKUP(Table7[[#This Row],[Student_ID]],student_data[#All],6,0)</f>
        <v>5</v>
      </c>
      <c r="H958" s="1">
        <f>VLOOKUP(Table7[[#This Row],[Student_ID]],student_internships[],2,0)</f>
        <v>1</v>
      </c>
      <c r="I958" s="1">
        <f>VLOOKUP(Table7[[#This Row],[Student_ID]],Placements!A958:E1957,5,0)</f>
        <v>5.13</v>
      </c>
      <c r="J958" s="1" t="str">
        <f>IF(VLOOKUP(Table7[[#This Row],[Student_ID]],student_data[#All],5,0)&gt;8,"HIGH",IF(VLOOKUP(Table7[[#This Row],[Student_ID]],student_data[#All],5,0)&lt;6.5,"LOW","MEDIUM"))</f>
        <v>HIGH</v>
      </c>
    </row>
    <row r="959" spans="1:10" x14ac:dyDescent="0.2">
      <c r="A959" s="1" t="s">
        <v>968</v>
      </c>
      <c r="B959" s="1" t="str">
        <f>VLOOKUP(Table7[[#This Row],[Student_ID]],student_data[#All],2,0)</f>
        <v>Computer Science</v>
      </c>
      <c r="C959" s="1">
        <f>(VLOOKUP(Table7[[#This Row],[Student_ID]],student_data[],5,0)*5)+(VLOOKUP(Table7[[#This Row],[Student_ID]],student_data[],6,0)*3)+(VLOOKUP(Table7[[#This Row],[Student_ID]],student_skills[],6,0)*2)+(VLOOKUP(Table7[[#This Row],[Student_ID]],student_internships[],2,0)*5)</f>
        <v>35.150000000000006</v>
      </c>
      <c r="D959" s="1">
        <f>AVERAGE(VLOOKUP(Table7[[#This Row],[Student_ID]],student_skills[],3,0),VLOOKUP(Table7[[#This Row],[Student_ID]],student_skills[],4,0),VLOOKUP(Table7[[#This Row],[Student_ID]],student_skills[],5,0),VLOOKUP(Table7[[#This Row],[Student_ID]],student_skills[],6,0))</f>
        <v>3.25</v>
      </c>
      <c r="E959" s="1" t="str">
        <f>IF(VLOOKUP(Table7[[#This Row],[Student_ID]],student_internships[#All],2,0)&gt;1,"EXPERIENCED",IF(VLOOKUP(Table7[[#This Row],[Student_ID]],student_internships[#All],2,0)=1,"BEGINNER","NOT EXPERIENCED"))</f>
        <v>BEGINNER</v>
      </c>
      <c r="F959" s="1">
        <f>VLOOKUP(Table7[[#This Row],[Student_ID]],student_data[],5,0)</f>
        <v>5.03</v>
      </c>
      <c r="G959" s="1">
        <f>VLOOKUP(Table7[[#This Row],[Student_ID]],student_data[#All],6,0)</f>
        <v>1</v>
      </c>
      <c r="H959" s="1">
        <f>VLOOKUP(Table7[[#This Row],[Student_ID]],student_internships[],2,0)</f>
        <v>1</v>
      </c>
      <c r="I959" s="1">
        <f>VLOOKUP(Table7[[#This Row],[Student_ID]],Placements!A959:E1958,5,0)</f>
        <v>0</v>
      </c>
      <c r="J959" s="1" t="str">
        <f>IF(VLOOKUP(Table7[[#This Row],[Student_ID]],student_data[#All],5,0)&gt;8,"HIGH",IF(VLOOKUP(Table7[[#This Row],[Student_ID]],student_data[#All],5,0)&lt;6.5,"LOW","MEDIUM"))</f>
        <v>LOW</v>
      </c>
    </row>
    <row r="960" spans="1:10" x14ac:dyDescent="0.2">
      <c r="A960" s="1" t="s">
        <v>969</v>
      </c>
      <c r="B960" s="1" t="str">
        <f>VLOOKUP(Table7[[#This Row],[Student_ID]],student_data[#All],2,0)</f>
        <v>Information Technology</v>
      </c>
      <c r="C960" s="1">
        <f>(VLOOKUP(Table7[[#This Row],[Student_ID]],student_data[],5,0)*5)+(VLOOKUP(Table7[[#This Row],[Student_ID]],student_data[],6,0)*3)+(VLOOKUP(Table7[[#This Row],[Student_ID]],student_skills[],6,0)*2)+(VLOOKUP(Table7[[#This Row],[Student_ID]],student_internships[],2,0)*5)</f>
        <v>62.65</v>
      </c>
      <c r="D960" s="1">
        <f>AVERAGE(VLOOKUP(Table7[[#This Row],[Student_ID]],student_skills[],3,0),VLOOKUP(Table7[[#This Row],[Student_ID]],student_skills[],4,0),VLOOKUP(Table7[[#This Row],[Student_ID]],student_skills[],5,0),VLOOKUP(Table7[[#This Row],[Student_ID]],student_skills[],6,0))</f>
        <v>6.5</v>
      </c>
      <c r="E960" s="1" t="str">
        <f>IF(VLOOKUP(Table7[[#This Row],[Student_ID]],student_internships[#All],2,0)&gt;1,"EXPERIENCED",IF(VLOOKUP(Table7[[#This Row],[Student_ID]],student_internships[#All],2,0)=1,"BEGINNER","NOT EXPERIENCED"))</f>
        <v>BEGINNER</v>
      </c>
      <c r="F960" s="1">
        <f>VLOOKUP(Table7[[#This Row],[Student_ID]],student_data[],5,0)</f>
        <v>7.33</v>
      </c>
      <c r="G960" s="1">
        <f>VLOOKUP(Table7[[#This Row],[Student_ID]],student_data[#All],6,0)</f>
        <v>1</v>
      </c>
      <c r="H960" s="1">
        <f>VLOOKUP(Table7[[#This Row],[Student_ID]],student_internships[],2,0)</f>
        <v>1</v>
      </c>
      <c r="I960" s="1">
        <f>VLOOKUP(Table7[[#This Row],[Student_ID]],Placements!A960:E1959,5,0)</f>
        <v>4.12</v>
      </c>
      <c r="J960" s="1" t="str">
        <f>IF(VLOOKUP(Table7[[#This Row],[Student_ID]],student_data[#All],5,0)&gt;8,"HIGH",IF(VLOOKUP(Table7[[#This Row],[Student_ID]],student_data[#All],5,0)&lt;6.5,"LOW","MEDIUM"))</f>
        <v>MEDIUM</v>
      </c>
    </row>
    <row r="961" spans="1:10" x14ac:dyDescent="0.2">
      <c r="A961" s="1" t="s">
        <v>970</v>
      </c>
      <c r="B961" s="1" t="str">
        <f>VLOOKUP(Table7[[#This Row],[Student_ID]],student_data[#All],2,0)</f>
        <v>Information Technology</v>
      </c>
      <c r="C961" s="1">
        <f>(VLOOKUP(Table7[[#This Row],[Student_ID]],student_data[],5,0)*5)+(VLOOKUP(Table7[[#This Row],[Student_ID]],student_data[],6,0)*3)+(VLOOKUP(Table7[[#This Row],[Student_ID]],student_skills[],6,0)*2)+(VLOOKUP(Table7[[#This Row],[Student_ID]],student_internships[],2,0)*5)</f>
        <v>58.300000000000004</v>
      </c>
      <c r="D961" s="1">
        <f>AVERAGE(VLOOKUP(Table7[[#This Row],[Student_ID]],student_skills[],3,0),VLOOKUP(Table7[[#This Row],[Student_ID]],student_skills[],4,0),VLOOKUP(Table7[[#This Row],[Student_ID]],student_skills[],5,0),VLOOKUP(Table7[[#This Row],[Student_ID]],student_skills[],6,0))</f>
        <v>6</v>
      </c>
      <c r="E961" s="1" t="str">
        <f>IF(VLOOKUP(Table7[[#This Row],[Student_ID]],student_internships[#All],2,0)&gt;1,"EXPERIENCED",IF(VLOOKUP(Table7[[#This Row],[Student_ID]],student_internships[#All],2,0)=1,"BEGINNER","NOT EXPERIENCED"))</f>
        <v>NOT EXPERIENCED</v>
      </c>
      <c r="F961" s="1">
        <f>VLOOKUP(Table7[[#This Row],[Student_ID]],student_data[],5,0)</f>
        <v>7.86</v>
      </c>
      <c r="G961" s="1">
        <f>VLOOKUP(Table7[[#This Row],[Student_ID]],student_data[#All],6,0)</f>
        <v>3</v>
      </c>
      <c r="H961" s="1">
        <f>VLOOKUP(Table7[[#This Row],[Student_ID]],student_internships[],2,0)</f>
        <v>0</v>
      </c>
      <c r="I961" s="1">
        <f>VLOOKUP(Table7[[#This Row],[Student_ID]],Placements!A961:E1960,5,0)</f>
        <v>4.3499999999999996</v>
      </c>
      <c r="J961" s="1" t="str">
        <f>IF(VLOOKUP(Table7[[#This Row],[Student_ID]],student_data[#All],5,0)&gt;8,"HIGH",IF(VLOOKUP(Table7[[#This Row],[Student_ID]],student_data[#All],5,0)&lt;6.5,"LOW","MEDIUM"))</f>
        <v>MEDIUM</v>
      </c>
    </row>
    <row r="962" spans="1:10" x14ac:dyDescent="0.2">
      <c r="A962" s="1" t="s">
        <v>971</v>
      </c>
      <c r="B962" s="1" t="str">
        <f>VLOOKUP(Table7[[#This Row],[Student_ID]],student_data[#All],2,0)</f>
        <v>Mechanical</v>
      </c>
      <c r="C962" s="1">
        <f>(VLOOKUP(Table7[[#This Row],[Student_ID]],student_data[],5,0)*5)+(VLOOKUP(Table7[[#This Row],[Student_ID]],student_data[],6,0)*3)+(VLOOKUP(Table7[[#This Row],[Student_ID]],student_skills[],6,0)*2)+(VLOOKUP(Table7[[#This Row],[Student_ID]],student_internships[],2,0)*5)</f>
        <v>51.599999999999994</v>
      </c>
      <c r="D962" s="1">
        <f>AVERAGE(VLOOKUP(Table7[[#This Row],[Student_ID]],student_skills[],3,0),VLOOKUP(Table7[[#This Row],[Student_ID]],student_skills[],4,0),VLOOKUP(Table7[[#This Row],[Student_ID]],student_skills[],5,0),VLOOKUP(Table7[[#This Row],[Student_ID]],student_skills[],6,0))</f>
        <v>4.75</v>
      </c>
      <c r="E962" s="1" t="str">
        <f>IF(VLOOKUP(Table7[[#This Row],[Student_ID]],student_internships[#All],2,0)&gt;1,"EXPERIENCED",IF(VLOOKUP(Table7[[#This Row],[Student_ID]],student_internships[#All],2,0)=1,"BEGINNER","NOT EXPERIENCED"))</f>
        <v>NOT EXPERIENCED</v>
      </c>
      <c r="F962" s="1">
        <f>VLOOKUP(Table7[[#This Row],[Student_ID]],student_data[],5,0)</f>
        <v>6.52</v>
      </c>
      <c r="G962" s="1">
        <f>VLOOKUP(Table7[[#This Row],[Student_ID]],student_data[#All],6,0)</f>
        <v>5</v>
      </c>
      <c r="H962" s="1">
        <f>VLOOKUP(Table7[[#This Row],[Student_ID]],student_internships[],2,0)</f>
        <v>0</v>
      </c>
      <c r="I962" s="1">
        <f>VLOOKUP(Table7[[#This Row],[Student_ID]],Placements!A962:E1961,5,0)</f>
        <v>4.5</v>
      </c>
      <c r="J962" s="1" t="str">
        <f>IF(VLOOKUP(Table7[[#This Row],[Student_ID]],student_data[#All],5,0)&gt;8,"HIGH",IF(VLOOKUP(Table7[[#This Row],[Student_ID]],student_data[#All],5,0)&lt;6.5,"LOW","MEDIUM"))</f>
        <v>MEDIUM</v>
      </c>
    </row>
    <row r="963" spans="1:10" x14ac:dyDescent="0.2">
      <c r="A963" s="1" t="s">
        <v>972</v>
      </c>
      <c r="B963" s="1" t="str">
        <f>VLOOKUP(Table7[[#This Row],[Student_ID]],student_data[#All],2,0)</f>
        <v>Computer Science</v>
      </c>
      <c r="C963" s="1">
        <f>(VLOOKUP(Table7[[#This Row],[Student_ID]],student_data[],5,0)*5)+(VLOOKUP(Table7[[#This Row],[Student_ID]],student_data[],6,0)*3)+(VLOOKUP(Table7[[#This Row],[Student_ID]],student_skills[],6,0)*2)+(VLOOKUP(Table7[[#This Row],[Student_ID]],student_internships[],2,0)*5)</f>
        <v>73.95</v>
      </c>
      <c r="D963" s="1">
        <f>AVERAGE(VLOOKUP(Table7[[#This Row],[Student_ID]],student_skills[],3,0),VLOOKUP(Table7[[#This Row],[Student_ID]],student_skills[],4,0),VLOOKUP(Table7[[#This Row],[Student_ID]],student_skills[],5,0),VLOOKUP(Table7[[#This Row],[Student_ID]],student_skills[],6,0))</f>
        <v>6.25</v>
      </c>
      <c r="E963" s="1" t="str">
        <f>IF(VLOOKUP(Table7[[#This Row],[Student_ID]],student_internships[#All],2,0)&gt;1,"EXPERIENCED",IF(VLOOKUP(Table7[[#This Row],[Student_ID]],student_internships[#All],2,0)=1,"BEGINNER","NOT EXPERIENCED"))</f>
        <v>EXPERIENCED</v>
      </c>
      <c r="F963" s="1">
        <f>VLOOKUP(Table7[[#This Row],[Student_ID]],student_data[],5,0)</f>
        <v>6.59</v>
      </c>
      <c r="G963" s="1">
        <f>VLOOKUP(Table7[[#This Row],[Student_ID]],student_data[#All],6,0)</f>
        <v>5</v>
      </c>
      <c r="H963" s="1">
        <f>VLOOKUP(Table7[[#This Row],[Student_ID]],student_internships[],2,0)</f>
        <v>2</v>
      </c>
      <c r="I963" s="1">
        <f>VLOOKUP(Table7[[#This Row],[Student_ID]],Placements!A963:E1962,5,0)</f>
        <v>4.1900000000000004</v>
      </c>
      <c r="J963" s="1" t="str">
        <f>IF(VLOOKUP(Table7[[#This Row],[Student_ID]],student_data[#All],5,0)&gt;8,"HIGH",IF(VLOOKUP(Table7[[#This Row],[Student_ID]],student_data[#All],5,0)&lt;6.5,"LOW","MEDIUM"))</f>
        <v>MEDIUM</v>
      </c>
    </row>
    <row r="964" spans="1:10" x14ac:dyDescent="0.2">
      <c r="A964" s="1" t="s">
        <v>973</v>
      </c>
      <c r="B964" s="1" t="str">
        <f>VLOOKUP(Table7[[#This Row],[Student_ID]],student_data[#All],2,0)</f>
        <v>Civil</v>
      </c>
      <c r="C964" s="1">
        <f>(VLOOKUP(Table7[[#This Row],[Student_ID]],student_data[],5,0)*5)+(VLOOKUP(Table7[[#This Row],[Student_ID]],student_data[],6,0)*3)+(VLOOKUP(Table7[[#This Row],[Student_ID]],student_skills[],6,0)*2)+(VLOOKUP(Table7[[#This Row],[Student_ID]],student_internships[],2,0)*5)</f>
        <v>62.050000000000004</v>
      </c>
      <c r="D964" s="1">
        <f>AVERAGE(VLOOKUP(Table7[[#This Row],[Student_ID]],student_skills[],3,0),VLOOKUP(Table7[[#This Row],[Student_ID]],student_skills[],4,0),VLOOKUP(Table7[[#This Row],[Student_ID]],student_skills[],5,0),VLOOKUP(Table7[[#This Row],[Student_ID]],student_skills[],6,0))</f>
        <v>5</v>
      </c>
      <c r="E964" s="1" t="str">
        <f>IF(VLOOKUP(Table7[[#This Row],[Student_ID]],student_internships[#All],2,0)&gt;1,"EXPERIENCED",IF(VLOOKUP(Table7[[#This Row],[Student_ID]],student_internships[#All],2,0)=1,"BEGINNER","NOT EXPERIENCED"))</f>
        <v>NOT EXPERIENCED</v>
      </c>
      <c r="F964" s="1">
        <f>VLOOKUP(Table7[[#This Row],[Student_ID]],student_data[],5,0)</f>
        <v>9.81</v>
      </c>
      <c r="G964" s="1">
        <f>VLOOKUP(Table7[[#This Row],[Student_ID]],student_data[#All],6,0)</f>
        <v>3</v>
      </c>
      <c r="H964" s="1">
        <f>VLOOKUP(Table7[[#This Row],[Student_ID]],student_internships[],2,0)</f>
        <v>0</v>
      </c>
      <c r="I964" s="1">
        <f>VLOOKUP(Table7[[#This Row],[Student_ID]],Placements!A964:E1963,5,0)</f>
        <v>4.1100000000000003</v>
      </c>
      <c r="J964" s="1" t="str">
        <f>IF(VLOOKUP(Table7[[#This Row],[Student_ID]],student_data[#All],5,0)&gt;8,"HIGH",IF(VLOOKUP(Table7[[#This Row],[Student_ID]],student_data[#All],5,0)&lt;6.5,"LOW","MEDIUM"))</f>
        <v>HIGH</v>
      </c>
    </row>
    <row r="965" spans="1:10" x14ac:dyDescent="0.2">
      <c r="A965" s="1" t="s">
        <v>974</v>
      </c>
      <c r="B965" s="1" t="str">
        <f>VLOOKUP(Table7[[#This Row],[Student_ID]],student_data[#All],2,0)</f>
        <v>Electronics</v>
      </c>
      <c r="C965" s="1">
        <f>(VLOOKUP(Table7[[#This Row],[Student_ID]],student_data[],5,0)*5)+(VLOOKUP(Table7[[#This Row],[Student_ID]],student_data[],6,0)*3)+(VLOOKUP(Table7[[#This Row],[Student_ID]],student_skills[],6,0)*2)+(VLOOKUP(Table7[[#This Row],[Student_ID]],student_internships[],2,0)*5)</f>
        <v>70.300000000000011</v>
      </c>
      <c r="D965" s="1">
        <f>AVERAGE(VLOOKUP(Table7[[#This Row],[Student_ID]],student_skills[],3,0),VLOOKUP(Table7[[#This Row],[Student_ID]],student_skills[],4,0),VLOOKUP(Table7[[#This Row],[Student_ID]],student_skills[],5,0),VLOOKUP(Table7[[#This Row],[Student_ID]],student_skills[],6,0))</f>
        <v>4.5</v>
      </c>
      <c r="E965" s="1" t="str">
        <f>IF(VLOOKUP(Table7[[#This Row],[Student_ID]],student_internships[#All],2,0)&gt;1,"EXPERIENCED",IF(VLOOKUP(Table7[[#This Row],[Student_ID]],student_internships[#All],2,0)=1,"BEGINNER","NOT EXPERIENCED"))</f>
        <v>BEGINNER</v>
      </c>
      <c r="F965" s="1">
        <f>VLOOKUP(Table7[[#This Row],[Student_ID]],student_data[],5,0)</f>
        <v>9.4600000000000009</v>
      </c>
      <c r="G965" s="1">
        <f>VLOOKUP(Table7[[#This Row],[Student_ID]],student_data[#All],6,0)</f>
        <v>4</v>
      </c>
      <c r="H965" s="1">
        <f>VLOOKUP(Table7[[#This Row],[Student_ID]],student_internships[],2,0)</f>
        <v>1</v>
      </c>
      <c r="I965" s="1">
        <f>VLOOKUP(Table7[[#This Row],[Student_ID]],Placements!A965:E1964,5,0)</f>
        <v>4.53</v>
      </c>
      <c r="J965" s="1" t="str">
        <f>IF(VLOOKUP(Table7[[#This Row],[Student_ID]],student_data[#All],5,0)&gt;8,"HIGH",IF(VLOOKUP(Table7[[#This Row],[Student_ID]],student_data[#All],5,0)&lt;6.5,"LOW","MEDIUM"))</f>
        <v>HIGH</v>
      </c>
    </row>
    <row r="966" spans="1:10" x14ac:dyDescent="0.2">
      <c r="A966" s="1" t="s">
        <v>975</v>
      </c>
      <c r="B966" s="1" t="str">
        <f>VLOOKUP(Table7[[#This Row],[Student_ID]],student_data[#All],2,0)</f>
        <v>Electronics</v>
      </c>
      <c r="C966" s="1">
        <f>(VLOOKUP(Table7[[#This Row],[Student_ID]],student_data[],5,0)*5)+(VLOOKUP(Table7[[#This Row],[Student_ID]],student_data[],6,0)*3)+(VLOOKUP(Table7[[#This Row],[Student_ID]],student_skills[],6,0)*2)+(VLOOKUP(Table7[[#This Row],[Student_ID]],student_internships[],2,0)*5)</f>
        <v>75.25</v>
      </c>
      <c r="D966" s="1">
        <f>AVERAGE(VLOOKUP(Table7[[#This Row],[Student_ID]],student_skills[],3,0),VLOOKUP(Table7[[#This Row],[Student_ID]],student_skills[],4,0),VLOOKUP(Table7[[#This Row],[Student_ID]],student_skills[],5,0),VLOOKUP(Table7[[#This Row],[Student_ID]],student_skills[],6,0))</f>
        <v>5.25</v>
      </c>
      <c r="E966" s="1" t="str">
        <f>IF(VLOOKUP(Table7[[#This Row],[Student_ID]],student_internships[#All],2,0)&gt;1,"EXPERIENCED",IF(VLOOKUP(Table7[[#This Row],[Student_ID]],student_internships[#All],2,0)=1,"BEGINNER","NOT EXPERIENCED"))</f>
        <v>NOT EXPERIENCED</v>
      </c>
      <c r="F966" s="1">
        <f>VLOOKUP(Table7[[#This Row],[Student_ID]],student_data[],5,0)</f>
        <v>9.25</v>
      </c>
      <c r="G966" s="1">
        <f>VLOOKUP(Table7[[#This Row],[Student_ID]],student_data[#All],6,0)</f>
        <v>3</v>
      </c>
      <c r="H966" s="1">
        <f>VLOOKUP(Table7[[#This Row],[Student_ID]],student_internships[],2,0)</f>
        <v>0</v>
      </c>
      <c r="I966" s="1">
        <f>VLOOKUP(Table7[[#This Row],[Student_ID]],Placements!A966:E1965,5,0)</f>
        <v>5.13</v>
      </c>
      <c r="J966" s="1" t="str">
        <f>IF(VLOOKUP(Table7[[#This Row],[Student_ID]],student_data[#All],5,0)&gt;8,"HIGH",IF(VLOOKUP(Table7[[#This Row],[Student_ID]],student_data[#All],5,0)&lt;6.5,"LOW","MEDIUM"))</f>
        <v>HIGH</v>
      </c>
    </row>
    <row r="967" spans="1:10" x14ac:dyDescent="0.2">
      <c r="A967" s="1" t="s">
        <v>976</v>
      </c>
      <c r="B967" s="1" t="str">
        <f>VLOOKUP(Table7[[#This Row],[Student_ID]],student_data[#All],2,0)</f>
        <v>Information Technology</v>
      </c>
      <c r="C967" s="1">
        <f>(VLOOKUP(Table7[[#This Row],[Student_ID]],student_data[],5,0)*5)+(VLOOKUP(Table7[[#This Row],[Student_ID]],student_data[],6,0)*3)+(VLOOKUP(Table7[[#This Row],[Student_ID]],student_skills[],6,0)*2)+(VLOOKUP(Table7[[#This Row],[Student_ID]],student_internships[],2,0)*5)</f>
        <v>57.15</v>
      </c>
      <c r="D967" s="1">
        <f>AVERAGE(VLOOKUP(Table7[[#This Row],[Student_ID]],student_skills[],3,0),VLOOKUP(Table7[[#This Row],[Student_ID]],student_skills[],4,0),VLOOKUP(Table7[[#This Row],[Student_ID]],student_skills[],5,0),VLOOKUP(Table7[[#This Row],[Student_ID]],student_skills[],6,0))</f>
        <v>3.25</v>
      </c>
      <c r="E967" s="1" t="str">
        <f>IF(VLOOKUP(Table7[[#This Row],[Student_ID]],student_internships[#All],2,0)&gt;1,"EXPERIENCED",IF(VLOOKUP(Table7[[#This Row],[Student_ID]],student_internships[#All],2,0)=1,"BEGINNER","NOT EXPERIENCED"))</f>
        <v>BEGINNER</v>
      </c>
      <c r="F967" s="1">
        <f>VLOOKUP(Table7[[#This Row],[Student_ID]],student_data[],5,0)</f>
        <v>7.03</v>
      </c>
      <c r="G967" s="1">
        <f>VLOOKUP(Table7[[#This Row],[Student_ID]],student_data[#All],6,0)</f>
        <v>5</v>
      </c>
      <c r="H967" s="1">
        <f>VLOOKUP(Table7[[#This Row],[Student_ID]],student_internships[],2,0)</f>
        <v>1</v>
      </c>
      <c r="I967" s="1">
        <f>VLOOKUP(Table7[[#This Row],[Student_ID]],Placements!A967:E1966,5,0)</f>
        <v>0</v>
      </c>
      <c r="J967" s="1" t="str">
        <f>IF(VLOOKUP(Table7[[#This Row],[Student_ID]],student_data[#All],5,0)&gt;8,"HIGH",IF(VLOOKUP(Table7[[#This Row],[Student_ID]],student_data[#All],5,0)&lt;6.5,"LOW","MEDIUM"))</f>
        <v>MEDIUM</v>
      </c>
    </row>
    <row r="968" spans="1:10" x14ac:dyDescent="0.2">
      <c r="A968" s="1" t="s">
        <v>977</v>
      </c>
      <c r="B968" s="1" t="str">
        <f>VLOOKUP(Table7[[#This Row],[Student_ID]],student_data[#All],2,0)</f>
        <v>Mechanical</v>
      </c>
      <c r="C968" s="1">
        <f>(VLOOKUP(Table7[[#This Row],[Student_ID]],student_data[],5,0)*5)+(VLOOKUP(Table7[[#This Row],[Student_ID]],student_data[],6,0)*3)+(VLOOKUP(Table7[[#This Row],[Student_ID]],student_skills[],6,0)*2)+(VLOOKUP(Table7[[#This Row],[Student_ID]],student_internships[],2,0)*5)</f>
        <v>44.35</v>
      </c>
      <c r="D968" s="1">
        <f>AVERAGE(VLOOKUP(Table7[[#This Row],[Student_ID]],student_skills[],3,0),VLOOKUP(Table7[[#This Row],[Student_ID]],student_skills[],4,0),VLOOKUP(Table7[[#This Row],[Student_ID]],student_skills[],5,0),VLOOKUP(Table7[[#This Row],[Student_ID]],student_skills[],6,0))</f>
        <v>3.75</v>
      </c>
      <c r="E968" s="1" t="str">
        <f>IF(VLOOKUP(Table7[[#This Row],[Student_ID]],student_internships[#All],2,0)&gt;1,"EXPERIENCED",IF(VLOOKUP(Table7[[#This Row],[Student_ID]],student_internships[#All],2,0)=1,"BEGINNER","NOT EXPERIENCED"))</f>
        <v>NOT EXPERIENCED</v>
      </c>
      <c r="F968" s="1">
        <f>VLOOKUP(Table7[[#This Row],[Student_ID]],student_data[],5,0)</f>
        <v>5.07</v>
      </c>
      <c r="G968" s="1">
        <f>VLOOKUP(Table7[[#This Row],[Student_ID]],student_data[#All],6,0)</f>
        <v>5</v>
      </c>
      <c r="H968" s="1">
        <f>VLOOKUP(Table7[[#This Row],[Student_ID]],student_internships[],2,0)</f>
        <v>0</v>
      </c>
      <c r="I968" s="1">
        <f>VLOOKUP(Table7[[#This Row],[Student_ID]],Placements!A968:E1967,5,0)</f>
        <v>4.5</v>
      </c>
      <c r="J968" s="1" t="str">
        <f>IF(VLOOKUP(Table7[[#This Row],[Student_ID]],student_data[#All],5,0)&gt;8,"HIGH",IF(VLOOKUP(Table7[[#This Row],[Student_ID]],student_data[#All],5,0)&lt;6.5,"LOW","MEDIUM"))</f>
        <v>LOW</v>
      </c>
    </row>
    <row r="969" spans="1:10" x14ac:dyDescent="0.2">
      <c r="A969" s="1" t="s">
        <v>978</v>
      </c>
      <c r="B969" s="1" t="str">
        <f>VLOOKUP(Table7[[#This Row],[Student_ID]],student_data[#All],2,0)</f>
        <v>Electronics</v>
      </c>
      <c r="C969" s="1">
        <f>(VLOOKUP(Table7[[#This Row],[Student_ID]],student_data[],5,0)*5)+(VLOOKUP(Table7[[#This Row],[Student_ID]],student_data[],6,0)*3)+(VLOOKUP(Table7[[#This Row],[Student_ID]],student_skills[],6,0)*2)+(VLOOKUP(Table7[[#This Row],[Student_ID]],student_internships[],2,0)*5)</f>
        <v>58</v>
      </c>
      <c r="D969" s="1">
        <f>AVERAGE(VLOOKUP(Table7[[#This Row],[Student_ID]],student_skills[],3,0),VLOOKUP(Table7[[#This Row],[Student_ID]],student_skills[],4,0),VLOOKUP(Table7[[#This Row],[Student_ID]],student_skills[],5,0),VLOOKUP(Table7[[#This Row],[Student_ID]],student_skills[],6,0))</f>
        <v>5.5</v>
      </c>
      <c r="E969" s="1" t="str">
        <f>IF(VLOOKUP(Table7[[#This Row],[Student_ID]],student_internships[#All],2,0)&gt;1,"EXPERIENCED",IF(VLOOKUP(Table7[[#This Row],[Student_ID]],student_internships[#All],2,0)=1,"BEGINNER","NOT EXPERIENCED"))</f>
        <v>BEGINNER</v>
      </c>
      <c r="F969" s="1">
        <f>VLOOKUP(Table7[[#This Row],[Student_ID]],student_data[],5,0)</f>
        <v>5.4</v>
      </c>
      <c r="G969" s="1">
        <f>VLOOKUP(Table7[[#This Row],[Student_ID]],student_data[#All],6,0)</f>
        <v>4</v>
      </c>
      <c r="H969" s="1">
        <f>VLOOKUP(Table7[[#This Row],[Student_ID]],student_internships[],2,0)</f>
        <v>1</v>
      </c>
      <c r="I969" s="1">
        <f>VLOOKUP(Table7[[#This Row],[Student_ID]],Placements!A969:E1968,5,0)</f>
        <v>4.3499999999999996</v>
      </c>
      <c r="J969" s="1" t="str">
        <f>IF(VLOOKUP(Table7[[#This Row],[Student_ID]],student_data[#All],5,0)&gt;8,"HIGH",IF(VLOOKUP(Table7[[#This Row],[Student_ID]],student_data[#All],5,0)&lt;6.5,"LOW","MEDIUM"))</f>
        <v>LOW</v>
      </c>
    </row>
    <row r="970" spans="1:10" x14ac:dyDescent="0.2">
      <c r="A970" s="1" t="s">
        <v>979</v>
      </c>
      <c r="B970" s="1" t="str">
        <f>VLOOKUP(Table7[[#This Row],[Student_ID]],student_data[#All],2,0)</f>
        <v>Computer Science</v>
      </c>
      <c r="C970" s="1">
        <f>(VLOOKUP(Table7[[#This Row],[Student_ID]],student_data[],5,0)*5)+(VLOOKUP(Table7[[#This Row],[Student_ID]],student_data[],6,0)*3)+(VLOOKUP(Table7[[#This Row],[Student_ID]],student_skills[],6,0)*2)+(VLOOKUP(Table7[[#This Row],[Student_ID]],student_internships[],2,0)*5)</f>
        <v>71.8</v>
      </c>
      <c r="D970" s="1">
        <f>AVERAGE(VLOOKUP(Table7[[#This Row],[Student_ID]],student_skills[],3,0),VLOOKUP(Table7[[#This Row],[Student_ID]],student_skills[],4,0),VLOOKUP(Table7[[#This Row],[Student_ID]],student_skills[],5,0),VLOOKUP(Table7[[#This Row],[Student_ID]],student_skills[],6,0))</f>
        <v>7</v>
      </c>
      <c r="E970" s="1" t="str">
        <f>IF(VLOOKUP(Table7[[#This Row],[Student_ID]],student_internships[#All],2,0)&gt;1,"EXPERIENCED",IF(VLOOKUP(Table7[[#This Row],[Student_ID]],student_internships[#All],2,0)=1,"BEGINNER","NOT EXPERIENCED"))</f>
        <v>EXPERIENCED</v>
      </c>
      <c r="F970" s="1">
        <f>VLOOKUP(Table7[[#This Row],[Student_ID]],student_data[],5,0)</f>
        <v>6.56</v>
      </c>
      <c r="G970" s="1">
        <f>VLOOKUP(Table7[[#This Row],[Student_ID]],student_data[#All],6,0)</f>
        <v>3</v>
      </c>
      <c r="H970" s="1">
        <f>VLOOKUP(Table7[[#This Row],[Student_ID]],student_internships[],2,0)</f>
        <v>2</v>
      </c>
      <c r="I970" s="1">
        <f>VLOOKUP(Table7[[#This Row],[Student_ID]],Placements!A970:E1969,5,0)</f>
        <v>4.1900000000000004</v>
      </c>
      <c r="J970" s="1" t="str">
        <f>IF(VLOOKUP(Table7[[#This Row],[Student_ID]],student_data[#All],5,0)&gt;8,"HIGH",IF(VLOOKUP(Table7[[#This Row],[Student_ID]],student_data[#All],5,0)&lt;6.5,"LOW","MEDIUM"))</f>
        <v>MEDIUM</v>
      </c>
    </row>
    <row r="971" spans="1:10" x14ac:dyDescent="0.2">
      <c r="A971" s="1" t="s">
        <v>980</v>
      </c>
      <c r="B971" s="1" t="str">
        <f>VLOOKUP(Table7[[#This Row],[Student_ID]],student_data[#All],2,0)</f>
        <v>Information Technology</v>
      </c>
      <c r="C971" s="1">
        <f>(VLOOKUP(Table7[[#This Row],[Student_ID]],student_data[],5,0)*5)+(VLOOKUP(Table7[[#This Row],[Student_ID]],student_data[],6,0)*3)+(VLOOKUP(Table7[[#This Row],[Student_ID]],student_skills[],6,0)*2)+(VLOOKUP(Table7[[#This Row],[Student_ID]],student_internships[],2,0)*5)</f>
        <v>29.4</v>
      </c>
      <c r="D971" s="1">
        <f>AVERAGE(VLOOKUP(Table7[[#This Row],[Student_ID]],student_skills[],3,0),VLOOKUP(Table7[[#This Row],[Student_ID]],student_skills[],4,0),VLOOKUP(Table7[[#This Row],[Student_ID]],student_skills[],5,0),VLOOKUP(Table7[[#This Row],[Student_ID]],student_skills[],6,0))</f>
        <v>3.75</v>
      </c>
      <c r="E971" s="1" t="str">
        <f>IF(VLOOKUP(Table7[[#This Row],[Student_ID]],student_internships[#All],2,0)&gt;1,"EXPERIENCED",IF(VLOOKUP(Table7[[#This Row],[Student_ID]],student_internships[#All],2,0)=1,"BEGINNER","NOT EXPERIENCED"))</f>
        <v>NOT EXPERIENCED</v>
      </c>
      <c r="F971" s="1">
        <f>VLOOKUP(Table7[[#This Row],[Student_ID]],student_data[],5,0)</f>
        <v>5.08</v>
      </c>
      <c r="G971" s="1">
        <f>VLOOKUP(Table7[[#This Row],[Student_ID]],student_data[#All],6,0)</f>
        <v>0</v>
      </c>
      <c r="H971" s="1">
        <f>VLOOKUP(Table7[[#This Row],[Student_ID]],student_internships[],2,0)</f>
        <v>0</v>
      </c>
      <c r="I971" s="1">
        <f>VLOOKUP(Table7[[#This Row],[Student_ID]],Placements!A971:E1970,5,0)</f>
        <v>5.13</v>
      </c>
      <c r="J971" s="1" t="str">
        <f>IF(VLOOKUP(Table7[[#This Row],[Student_ID]],student_data[#All],5,0)&gt;8,"HIGH",IF(VLOOKUP(Table7[[#This Row],[Student_ID]],student_data[#All],5,0)&lt;6.5,"LOW","MEDIUM"))</f>
        <v>LOW</v>
      </c>
    </row>
    <row r="972" spans="1:10" x14ac:dyDescent="0.2">
      <c r="A972" s="1" t="s">
        <v>981</v>
      </c>
      <c r="B972" s="1" t="str">
        <f>VLOOKUP(Table7[[#This Row],[Student_ID]],student_data[#All],2,0)</f>
        <v>Civil</v>
      </c>
      <c r="C972" s="1">
        <f>(VLOOKUP(Table7[[#This Row],[Student_ID]],student_data[],5,0)*5)+(VLOOKUP(Table7[[#This Row],[Student_ID]],student_data[],6,0)*3)+(VLOOKUP(Table7[[#This Row],[Student_ID]],student_skills[],6,0)*2)+(VLOOKUP(Table7[[#This Row],[Student_ID]],student_internships[],2,0)*5)</f>
        <v>42.45</v>
      </c>
      <c r="D972" s="1">
        <f>AVERAGE(VLOOKUP(Table7[[#This Row],[Student_ID]],student_skills[],3,0),VLOOKUP(Table7[[#This Row],[Student_ID]],student_skills[],4,0),VLOOKUP(Table7[[#This Row],[Student_ID]],student_skills[],5,0),VLOOKUP(Table7[[#This Row],[Student_ID]],student_skills[],6,0))</f>
        <v>6.25</v>
      </c>
      <c r="E972" s="1" t="str">
        <f>IF(VLOOKUP(Table7[[#This Row],[Student_ID]],student_internships[#All],2,0)&gt;1,"EXPERIENCED",IF(VLOOKUP(Table7[[#This Row],[Student_ID]],student_internships[#All],2,0)=1,"BEGINNER","NOT EXPERIENCED"))</f>
        <v>BEGINNER</v>
      </c>
      <c r="F972" s="1">
        <f>VLOOKUP(Table7[[#This Row],[Student_ID]],student_data[],5,0)</f>
        <v>5.09</v>
      </c>
      <c r="G972" s="1">
        <f>VLOOKUP(Table7[[#This Row],[Student_ID]],student_data[#All],6,0)</f>
        <v>0</v>
      </c>
      <c r="H972" s="1">
        <f>VLOOKUP(Table7[[#This Row],[Student_ID]],student_internships[],2,0)</f>
        <v>1</v>
      </c>
      <c r="I972" s="1">
        <f>VLOOKUP(Table7[[#This Row],[Student_ID]],Placements!A972:E1971,5,0)</f>
        <v>4.12</v>
      </c>
      <c r="J972" s="1" t="str">
        <f>IF(VLOOKUP(Table7[[#This Row],[Student_ID]],student_data[#All],5,0)&gt;8,"HIGH",IF(VLOOKUP(Table7[[#This Row],[Student_ID]],student_data[#All],5,0)&lt;6.5,"LOW","MEDIUM"))</f>
        <v>LOW</v>
      </c>
    </row>
    <row r="973" spans="1:10" x14ac:dyDescent="0.2">
      <c r="A973" s="1" t="s">
        <v>982</v>
      </c>
      <c r="B973" s="1" t="str">
        <f>VLOOKUP(Table7[[#This Row],[Student_ID]],student_data[#All],2,0)</f>
        <v>Information Technology</v>
      </c>
      <c r="C973" s="1">
        <f>(VLOOKUP(Table7[[#This Row],[Student_ID]],student_data[],5,0)*5)+(VLOOKUP(Table7[[#This Row],[Student_ID]],student_data[],6,0)*3)+(VLOOKUP(Table7[[#This Row],[Student_ID]],student_skills[],6,0)*2)+(VLOOKUP(Table7[[#This Row],[Student_ID]],student_internships[],2,0)*5)</f>
        <v>70.900000000000006</v>
      </c>
      <c r="D973" s="1">
        <f>AVERAGE(VLOOKUP(Table7[[#This Row],[Student_ID]],student_skills[],3,0),VLOOKUP(Table7[[#This Row],[Student_ID]],student_skills[],4,0),VLOOKUP(Table7[[#This Row],[Student_ID]],student_skills[],5,0),VLOOKUP(Table7[[#This Row],[Student_ID]],student_skills[],6,0))</f>
        <v>6.75</v>
      </c>
      <c r="E973" s="1" t="str">
        <f>IF(VLOOKUP(Table7[[#This Row],[Student_ID]],student_internships[#All],2,0)&gt;1,"EXPERIENCED",IF(VLOOKUP(Table7[[#This Row],[Student_ID]],student_internships[#All],2,0)=1,"BEGINNER","NOT EXPERIENCED"))</f>
        <v>BEGINNER</v>
      </c>
      <c r="F973" s="1">
        <f>VLOOKUP(Table7[[#This Row],[Student_ID]],student_data[],5,0)</f>
        <v>9.58</v>
      </c>
      <c r="G973" s="1">
        <f>VLOOKUP(Table7[[#This Row],[Student_ID]],student_data[#All],6,0)</f>
        <v>4</v>
      </c>
      <c r="H973" s="1">
        <f>VLOOKUP(Table7[[#This Row],[Student_ID]],student_internships[],2,0)</f>
        <v>1</v>
      </c>
      <c r="I973" s="1">
        <f>VLOOKUP(Table7[[#This Row],[Student_ID]],Placements!A973:E1972,5,0)</f>
        <v>4.5599999999999996</v>
      </c>
      <c r="J973" s="1" t="str">
        <f>IF(VLOOKUP(Table7[[#This Row],[Student_ID]],student_data[#All],5,0)&gt;8,"HIGH",IF(VLOOKUP(Table7[[#This Row],[Student_ID]],student_data[#All],5,0)&lt;6.5,"LOW","MEDIUM"))</f>
        <v>HIGH</v>
      </c>
    </row>
    <row r="974" spans="1:10" x14ac:dyDescent="0.2">
      <c r="A974" s="1" t="s">
        <v>983</v>
      </c>
      <c r="B974" s="1" t="str">
        <f>VLOOKUP(Table7[[#This Row],[Student_ID]],student_data[#All],2,0)</f>
        <v>Civil</v>
      </c>
      <c r="C974" s="1">
        <f>(VLOOKUP(Table7[[#This Row],[Student_ID]],student_data[],5,0)*5)+(VLOOKUP(Table7[[#This Row],[Student_ID]],student_data[],6,0)*3)+(VLOOKUP(Table7[[#This Row],[Student_ID]],student_skills[],6,0)*2)+(VLOOKUP(Table7[[#This Row],[Student_ID]],student_internships[],2,0)*5)</f>
        <v>64.650000000000006</v>
      </c>
      <c r="D974" s="1">
        <f>AVERAGE(VLOOKUP(Table7[[#This Row],[Student_ID]],student_skills[],3,0),VLOOKUP(Table7[[#This Row],[Student_ID]],student_skills[],4,0),VLOOKUP(Table7[[#This Row],[Student_ID]],student_skills[],5,0),VLOOKUP(Table7[[#This Row],[Student_ID]],student_skills[],6,0))</f>
        <v>8.25</v>
      </c>
      <c r="E974" s="1" t="str">
        <f>IF(VLOOKUP(Table7[[#This Row],[Student_ID]],student_internships[#All],2,0)&gt;1,"EXPERIENCED",IF(VLOOKUP(Table7[[#This Row],[Student_ID]],student_internships[#All],2,0)=1,"BEGINNER","NOT EXPERIENCED"))</f>
        <v>BEGINNER</v>
      </c>
      <c r="F974" s="1">
        <f>VLOOKUP(Table7[[#This Row],[Student_ID]],student_data[],5,0)</f>
        <v>8.5299999999999994</v>
      </c>
      <c r="G974" s="1">
        <f>VLOOKUP(Table7[[#This Row],[Student_ID]],student_data[#All],6,0)</f>
        <v>3</v>
      </c>
      <c r="H974" s="1">
        <f>VLOOKUP(Table7[[#This Row],[Student_ID]],student_internships[],2,0)</f>
        <v>1</v>
      </c>
      <c r="I974" s="1">
        <f>VLOOKUP(Table7[[#This Row],[Student_ID]],Placements!A974:E1973,5,0)</f>
        <v>0</v>
      </c>
      <c r="J974" s="1" t="str">
        <f>IF(VLOOKUP(Table7[[#This Row],[Student_ID]],student_data[#All],5,0)&gt;8,"HIGH",IF(VLOOKUP(Table7[[#This Row],[Student_ID]],student_data[#All],5,0)&lt;6.5,"LOW","MEDIUM"))</f>
        <v>HIGH</v>
      </c>
    </row>
    <row r="975" spans="1:10" x14ac:dyDescent="0.2">
      <c r="A975" s="1" t="s">
        <v>984</v>
      </c>
      <c r="B975" s="1" t="str">
        <f>VLOOKUP(Table7[[#This Row],[Student_ID]],student_data[#All],2,0)</f>
        <v>Information Technology</v>
      </c>
      <c r="C975" s="1">
        <f>(VLOOKUP(Table7[[#This Row],[Student_ID]],student_data[],5,0)*5)+(VLOOKUP(Table7[[#This Row],[Student_ID]],student_data[],6,0)*3)+(VLOOKUP(Table7[[#This Row],[Student_ID]],student_skills[],6,0)*2)+(VLOOKUP(Table7[[#This Row],[Student_ID]],student_internships[],2,0)*5)</f>
        <v>72.7</v>
      </c>
      <c r="D975" s="1">
        <f>AVERAGE(VLOOKUP(Table7[[#This Row],[Student_ID]],student_skills[],3,0),VLOOKUP(Table7[[#This Row],[Student_ID]],student_skills[],4,0),VLOOKUP(Table7[[#This Row],[Student_ID]],student_skills[],5,0),VLOOKUP(Table7[[#This Row],[Student_ID]],student_skills[],6,0))</f>
        <v>3.25</v>
      </c>
      <c r="E975" s="1" t="str">
        <f>IF(VLOOKUP(Table7[[#This Row],[Student_ID]],student_internships[#All],2,0)&gt;1,"EXPERIENCED",IF(VLOOKUP(Table7[[#This Row],[Student_ID]],student_internships[#All],2,0)=1,"BEGINNER","NOT EXPERIENCED"))</f>
        <v>EXPERIENCED</v>
      </c>
      <c r="F975" s="1">
        <f>VLOOKUP(Table7[[#This Row],[Student_ID]],student_data[],5,0)</f>
        <v>6.54</v>
      </c>
      <c r="G975" s="1">
        <f>VLOOKUP(Table7[[#This Row],[Student_ID]],student_data[#All],6,0)</f>
        <v>3</v>
      </c>
      <c r="H975" s="1">
        <f>VLOOKUP(Table7[[#This Row],[Student_ID]],student_internships[],2,0)</f>
        <v>3</v>
      </c>
      <c r="I975" s="1">
        <f>VLOOKUP(Table7[[#This Row],[Student_ID]],Placements!A975:E1974,5,0)</f>
        <v>5.13</v>
      </c>
      <c r="J975" s="1" t="str">
        <f>IF(VLOOKUP(Table7[[#This Row],[Student_ID]],student_data[#All],5,0)&gt;8,"HIGH",IF(VLOOKUP(Table7[[#This Row],[Student_ID]],student_data[#All],5,0)&lt;6.5,"LOW","MEDIUM"))</f>
        <v>MEDIUM</v>
      </c>
    </row>
    <row r="976" spans="1:10" x14ac:dyDescent="0.2">
      <c r="A976" s="1" t="s">
        <v>985</v>
      </c>
      <c r="B976" s="1" t="str">
        <f>VLOOKUP(Table7[[#This Row],[Student_ID]],student_data[#All],2,0)</f>
        <v>Information Technology</v>
      </c>
      <c r="C976" s="1">
        <f>(VLOOKUP(Table7[[#This Row],[Student_ID]],student_data[],5,0)*5)+(VLOOKUP(Table7[[#This Row],[Student_ID]],student_data[],6,0)*3)+(VLOOKUP(Table7[[#This Row],[Student_ID]],student_skills[],6,0)*2)+(VLOOKUP(Table7[[#This Row],[Student_ID]],student_internships[],2,0)*5)</f>
        <v>47.3</v>
      </c>
      <c r="D976" s="1">
        <f>AVERAGE(VLOOKUP(Table7[[#This Row],[Student_ID]],student_skills[],3,0),VLOOKUP(Table7[[#This Row],[Student_ID]],student_skills[],4,0),VLOOKUP(Table7[[#This Row],[Student_ID]],student_skills[],5,0),VLOOKUP(Table7[[#This Row],[Student_ID]],student_skills[],6,0))</f>
        <v>3.75</v>
      </c>
      <c r="E976" s="1" t="str">
        <f>IF(VLOOKUP(Table7[[#This Row],[Student_ID]],student_internships[#All],2,0)&gt;1,"EXPERIENCED",IF(VLOOKUP(Table7[[#This Row],[Student_ID]],student_internships[#All],2,0)=1,"BEGINNER","NOT EXPERIENCED"))</f>
        <v>EXPERIENCED</v>
      </c>
      <c r="F976" s="1">
        <f>VLOOKUP(Table7[[#This Row],[Student_ID]],student_data[],5,0)</f>
        <v>5.66</v>
      </c>
      <c r="G976" s="1">
        <f>VLOOKUP(Table7[[#This Row],[Student_ID]],student_data[#All],6,0)</f>
        <v>1</v>
      </c>
      <c r="H976" s="1">
        <f>VLOOKUP(Table7[[#This Row],[Student_ID]],student_internships[],2,0)</f>
        <v>2</v>
      </c>
      <c r="I976" s="1">
        <f>VLOOKUP(Table7[[#This Row],[Student_ID]],Placements!A976:E1975,5,0)</f>
        <v>5.19</v>
      </c>
      <c r="J976" s="1" t="str">
        <f>IF(VLOOKUP(Table7[[#This Row],[Student_ID]],student_data[#All],5,0)&gt;8,"HIGH",IF(VLOOKUP(Table7[[#This Row],[Student_ID]],student_data[#All],5,0)&lt;6.5,"LOW","MEDIUM"))</f>
        <v>LOW</v>
      </c>
    </row>
    <row r="977" spans="1:10" x14ac:dyDescent="0.2">
      <c r="A977" s="1" t="s">
        <v>986</v>
      </c>
      <c r="B977" s="1" t="str">
        <f>VLOOKUP(Table7[[#This Row],[Student_ID]],student_data[#All],2,0)</f>
        <v>Information Technology</v>
      </c>
      <c r="C977" s="1">
        <f>(VLOOKUP(Table7[[#This Row],[Student_ID]],student_data[],5,0)*5)+(VLOOKUP(Table7[[#This Row],[Student_ID]],student_data[],6,0)*3)+(VLOOKUP(Table7[[#This Row],[Student_ID]],student_skills[],6,0)*2)+(VLOOKUP(Table7[[#This Row],[Student_ID]],student_internships[],2,0)*5)</f>
        <v>72.8</v>
      </c>
      <c r="D977" s="1">
        <f>AVERAGE(VLOOKUP(Table7[[#This Row],[Student_ID]],student_skills[],3,0),VLOOKUP(Table7[[#This Row],[Student_ID]],student_skills[],4,0),VLOOKUP(Table7[[#This Row],[Student_ID]],student_skills[],5,0),VLOOKUP(Table7[[#This Row],[Student_ID]],student_skills[],6,0))</f>
        <v>7.5</v>
      </c>
      <c r="E977" s="1" t="str">
        <f>IF(VLOOKUP(Table7[[#This Row],[Student_ID]],student_internships[#All],2,0)&gt;1,"EXPERIENCED",IF(VLOOKUP(Table7[[#This Row],[Student_ID]],student_internships[#All],2,0)=1,"BEGINNER","NOT EXPERIENCED"))</f>
        <v>NOT EXPERIENCED</v>
      </c>
      <c r="F977" s="1">
        <f>VLOOKUP(Table7[[#This Row],[Student_ID]],student_data[],5,0)</f>
        <v>7.56</v>
      </c>
      <c r="G977" s="1">
        <f>VLOOKUP(Table7[[#This Row],[Student_ID]],student_data[#All],6,0)</f>
        <v>5</v>
      </c>
      <c r="H977" s="1">
        <f>VLOOKUP(Table7[[#This Row],[Student_ID]],student_internships[],2,0)</f>
        <v>0</v>
      </c>
      <c r="I977" s="1">
        <f>VLOOKUP(Table7[[#This Row],[Student_ID]],Placements!A977:E1976,5,0)</f>
        <v>4.5</v>
      </c>
      <c r="J977" s="1" t="str">
        <f>IF(VLOOKUP(Table7[[#This Row],[Student_ID]],student_data[#All],5,0)&gt;8,"HIGH",IF(VLOOKUP(Table7[[#This Row],[Student_ID]],student_data[#All],5,0)&lt;6.5,"LOW","MEDIUM"))</f>
        <v>MEDIUM</v>
      </c>
    </row>
    <row r="978" spans="1:10" x14ac:dyDescent="0.2">
      <c r="A978" s="1" t="s">
        <v>987</v>
      </c>
      <c r="B978" s="1" t="str">
        <f>VLOOKUP(Table7[[#This Row],[Student_ID]],student_data[#All],2,0)</f>
        <v>Civil</v>
      </c>
      <c r="C978" s="1">
        <f>(VLOOKUP(Table7[[#This Row],[Student_ID]],student_data[],5,0)*5)+(VLOOKUP(Table7[[#This Row],[Student_ID]],student_data[],6,0)*3)+(VLOOKUP(Table7[[#This Row],[Student_ID]],student_skills[],6,0)*2)+(VLOOKUP(Table7[[#This Row],[Student_ID]],student_internships[],2,0)*5)</f>
        <v>43.150000000000006</v>
      </c>
      <c r="D978" s="1">
        <f>AVERAGE(VLOOKUP(Table7[[#This Row],[Student_ID]],student_skills[],3,0),VLOOKUP(Table7[[#This Row],[Student_ID]],student_skills[],4,0),VLOOKUP(Table7[[#This Row],[Student_ID]],student_skills[],5,0),VLOOKUP(Table7[[#This Row],[Student_ID]],student_skills[],6,0))</f>
        <v>5.5</v>
      </c>
      <c r="E978" s="1" t="str">
        <f>IF(VLOOKUP(Table7[[#This Row],[Student_ID]],student_internships[#All],2,0)&gt;1,"EXPERIENCED",IF(VLOOKUP(Table7[[#This Row],[Student_ID]],student_internships[#All],2,0)=1,"BEGINNER","NOT EXPERIENCED"))</f>
        <v>NOT EXPERIENCED</v>
      </c>
      <c r="F978" s="1">
        <f>VLOOKUP(Table7[[#This Row],[Student_ID]],student_data[],5,0)</f>
        <v>5.03</v>
      </c>
      <c r="G978" s="1">
        <f>VLOOKUP(Table7[[#This Row],[Student_ID]],student_data[#All],6,0)</f>
        <v>2</v>
      </c>
      <c r="H978" s="1">
        <f>VLOOKUP(Table7[[#This Row],[Student_ID]],student_internships[],2,0)</f>
        <v>0</v>
      </c>
      <c r="I978" s="1">
        <f>VLOOKUP(Table7[[#This Row],[Student_ID]],Placements!A978:E1977,5,0)</f>
        <v>4.1900000000000004</v>
      </c>
      <c r="J978" s="1" t="str">
        <f>IF(VLOOKUP(Table7[[#This Row],[Student_ID]],student_data[#All],5,0)&gt;8,"HIGH",IF(VLOOKUP(Table7[[#This Row],[Student_ID]],student_data[#All],5,0)&lt;6.5,"LOW","MEDIUM"))</f>
        <v>LOW</v>
      </c>
    </row>
    <row r="979" spans="1:10" x14ac:dyDescent="0.2">
      <c r="A979" s="1" t="s">
        <v>988</v>
      </c>
      <c r="B979" s="1" t="str">
        <f>VLOOKUP(Table7[[#This Row],[Student_ID]],student_data[#All],2,0)</f>
        <v>Civil</v>
      </c>
      <c r="C979" s="1">
        <f>(VLOOKUP(Table7[[#This Row],[Student_ID]],student_data[],5,0)*5)+(VLOOKUP(Table7[[#This Row],[Student_ID]],student_data[],6,0)*3)+(VLOOKUP(Table7[[#This Row],[Student_ID]],student_skills[],6,0)*2)+(VLOOKUP(Table7[[#This Row],[Student_ID]],student_internships[],2,0)*5)</f>
        <v>62.449999999999996</v>
      </c>
      <c r="D979" s="1">
        <f>AVERAGE(VLOOKUP(Table7[[#This Row],[Student_ID]],student_skills[],3,0),VLOOKUP(Table7[[#This Row],[Student_ID]],student_skills[],4,0),VLOOKUP(Table7[[#This Row],[Student_ID]],student_skills[],5,0),VLOOKUP(Table7[[#This Row],[Student_ID]],student_skills[],6,0))</f>
        <v>3.25</v>
      </c>
      <c r="E979" s="1" t="str">
        <f>IF(VLOOKUP(Table7[[#This Row],[Student_ID]],student_internships[#All],2,0)&gt;1,"EXPERIENCED",IF(VLOOKUP(Table7[[#This Row],[Student_ID]],student_internships[#All],2,0)=1,"BEGINNER","NOT EXPERIENCED"))</f>
        <v>NOT EXPERIENCED</v>
      </c>
      <c r="F979" s="1">
        <f>VLOOKUP(Table7[[#This Row],[Student_ID]],student_data[],5,0)</f>
        <v>9.69</v>
      </c>
      <c r="G979" s="1">
        <f>VLOOKUP(Table7[[#This Row],[Student_ID]],student_data[#All],6,0)</f>
        <v>4</v>
      </c>
      <c r="H979" s="1">
        <f>VLOOKUP(Table7[[#This Row],[Student_ID]],student_internships[],2,0)</f>
        <v>0</v>
      </c>
      <c r="I979" s="1">
        <f>VLOOKUP(Table7[[#This Row],[Student_ID]],Placements!A979:E1978,5,0)</f>
        <v>4.1100000000000003</v>
      </c>
      <c r="J979" s="1" t="str">
        <f>IF(VLOOKUP(Table7[[#This Row],[Student_ID]],student_data[#All],5,0)&gt;8,"HIGH",IF(VLOOKUP(Table7[[#This Row],[Student_ID]],student_data[#All],5,0)&lt;6.5,"LOW","MEDIUM"))</f>
        <v>HIGH</v>
      </c>
    </row>
    <row r="980" spans="1:10" x14ac:dyDescent="0.2">
      <c r="A980" s="1" t="s">
        <v>989</v>
      </c>
      <c r="B980" s="1" t="str">
        <f>VLOOKUP(Table7[[#This Row],[Student_ID]],student_data[#All],2,0)</f>
        <v>Information Technology</v>
      </c>
      <c r="C980" s="1">
        <f>(VLOOKUP(Table7[[#This Row],[Student_ID]],student_data[],5,0)*5)+(VLOOKUP(Table7[[#This Row],[Student_ID]],student_data[],6,0)*3)+(VLOOKUP(Table7[[#This Row],[Student_ID]],student_skills[],6,0)*2)+(VLOOKUP(Table7[[#This Row],[Student_ID]],student_internships[],2,0)*5)</f>
        <v>60.35</v>
      </c>
      <c r="D980" s="1">
        <f>AVERAGE(VLOOKUP(Table7[[#This Row],[Student_ID]],student_skills[],3,0),VLOOKUP(Table7[[#This Row],[Student_ID]],student_skills[],4,0),VLOOKUP(Table7[[#This Row],[Student_ID]],student_skills[],5,0),VLOOKUP(Table7[[#This Row],[Student_ID]],student_skills[],6,0))</f>
        <v>6</v>
      </c>
      <c r="E980" s="1" t="str">
        <f>IF(VLOOKUP(Table7[[#This Row],[Student_ID]],student_internships[#All],2,0)&gt;1,"EXPERIENCED",IF(VLOOKUP(Table7[[#This Row],[Student_ID]],student_internships[#All],2,0)=1,"BEGINNER","NOT EXPERIENCED"))</f>
        <v>BEGINNER</v>
      </c>
      <c r="F980" s="1">
        <f>VLOOKUP(Table7[[#This Row],[Student_ID]],student_data[],5,0)</f>
        <v>7.07</v>
      </c>
      <c r="G980" s="1">
        <f>VLOOKUP(Table7[[#This Row],[Student_ID]],student_data[#All],6,0)</f>
        <v>2</v>
      </c>
      <c r="H980" s="1">
        <f>VLOOKUP(Table7[[#This Row],[Student_ID]],student_internships[],2,0)</f>
        <v>1</v>
      </c>
      <c r="I980" s="1">
        <f>VLOOKUP(Table7[[#This Row],[Student_ID]],Placements!A980:E1979,5,0)</f>
        <v>0</v>
      </c>
      <c r="J980" s="1" t="str">
        <f>IF(VLOOKUP(Table7[[#This Row],[Student_ID]],student_data[#All],5,0)&gt;8,"HIGH",IF(VLOOKUP(Table7[[#This Row],[Student_ID]],student_data[#All],5,0)&lt;6.5,"LOW","MEDIUM"))</f>
        <v>MEDIUM</v>
      </c>
    </row>
    <row r="981" spans="1:10" x14ac:dyDescent="0.2">
      <c r="A981" s="1" t="s">
        <v>990</v>
      </c>
      <c r="B981" s="1" t="str">
        <f>VLOOKUP(Table7[[#This Row],[Student_ID]],student_data[#All],2,0)</f>
        <v>Electronics</v>
      </c>
      <c r="C981" s="1">
        <f>(VLOOKUP(Table7[[#This Row],[Student_ID]],student_data[],5,0)*5)+(VLOOKUP(Table7[[#This Row],[Student_ID]],student_data[],6,0)*3)+(VLOOKUP(Table7[[#This Row],[Student_ID]],student_skills[],6,0)*2)+(VLOOKUP(Table7[[#This Row],[Student_ID]],student_internships[],2,0)*5)</f>
        <v>57.05</v>
      </c>
      <c r="D981" s="1">
        <f>AVERAGE(VLOOKUP(Table7[[#This Row],[Student_ID]],student_skills[],3,0),VLOOKUP(Table7[[#This Row],[Student_ID]],student_skills[],4,0),VLOOKUP(Table7[[#This Row],[Student_ID]],student_skills[],5,0),VLOOKUP(Table7[[#This Row],[Student_ID]],student_skills[],6,0))</f>
        <v>6.75</v>
      </c>
      <c r="E981" s="1" t="str">
        <f>IF(VLOOKUP(Table7[[#This Row],[Student_ID]],student_internships[#All],2,0)&gt;1,"EXPERIENCED",IF(VLOOKUP(Table7[[#This Row],[Student_ID]],student_internships[#All],2,0)=1,"BEGINNER","NOT EXPERIENCED"))</f>
        <v>NOT EXPERIENCED</v>
      </c>
      <c r="F981" s="1">
        <f>VLOOKUP(Table7[[#This Row],[Student_ID]],student_data[],5,0)</f>
        <v>7.01</v>
      </c>
      <c r="G981" s="1">
        <f>VLOOKUP(Table7[[#This Row],[Student_ID]],student_data[#All],6,0)</f>
        <v>2</v>
      </c>
      <c r="H981" s="1">
        <f>VLOOKUP(Table7[[#This Row],[Student_ID]],student_internships[],2,0)</f>
        <v>0</v>
      </c>
      <c r="I981" s="1">
        <f>VLOOKUP(Table7[[#This Row],[Student_ID]],Placements!A981:E1980,5,0)</f>
        <v>4.5599999999999996</v>
      </c>
      <c r="J981" s="1" t="str">
        <f>IF(VLOOKUP(Table7[[#This Row],[Student_ID]],student_data[#All],5,0)&gt;8,"HIGH",IF(VLOOKUP(Table7[[#This Row],[Student_ID]],student_data[#All],5,0)&lt;6.5,"LOW","MEDIUM"))</f>
        <v>MEDIUM</v>
      </c>
    </row>
    <row r="982" spans="1:10" x14ac:dyDescent="0.2">
      <c r="A982" s="1" t="s">
        <v>991</v>
      </c>
      <c r="B982" s="1" t="str">
        <f>VLOOKUP(Table7[[#This Row],[Student_ID]],student_data[#All],2,0)</f>
        <v>Mechanical</v>
      </c>
      <c r="C982" s="1">
        <f>(VLOOKUP(Table7[[#This Row],[Student_ID]],student_data[],5,0)*5)+(VLOOKUP(Table7[[#This Row],[Student_ID]],student_data[],6,0)*3)+(VLOOKUP(Table7[[#This Row],[Student_ID]],student_skills[],6,0)*2)+(VLOOKUP(Table7[[#This Row],[Student_ID]],student_internships[],2,0)*5)</f>
        <v>67.75</v>
      </c>
      <c r="D982" s="1">
        <f>AVERAGE(VLOOKUP(Table7[[#This Row],[Student_ID]],student_skills[],3,0),VLOOKUP(Table7[[#This Row],[Student_ID]],student_skills[],4,0),VLOOKUP(Table7[[#This Row],[Student_ID]],student_skills[],5,0),VLOOKUP(Table7[[#This Row],[Student_ID]],student_skills[],6,0))</f>
        <v>7.5</v>
      </c>
      <c r="E982" s="1" t="str">
        <f>IF(VLOOKUP(Table7[[#This Row],[Student_ID]],student_internships[#All],2,0)&gt;1,"EXPERIENCED",IF(VLOOKUP(Table7[[#This Row],[Student_ID]],student_internships[#All],2,0)=1,"BEGINNER","NOT EXPERIENCED"))</f>
        <v>BEGINNER</v>
      </c>
      <c r="F982" s="1">
        <f>VLOOKUP(Table7[[#This Row],[Student_ID]],student_data[],5,0)</f>
        <v>6.95</v>
      </c>
      <c r="G982" s="1">
        <f>VLOOKUP(Table7[[#This Row],[Student_ID]],student_data[#All],6,0)</f>
        <v>4</v>
      </c>
      <c r="H982" s="1">
        <f>VLOOKUP(Table7[[#This Row],[Student_ID]],student_internships[],2,0)</f>
        <v>1</v>
      </c>
      <c r="I982" s="1">
        <f>VLOOKUP(Table7[[#This Row],[Student_ID]],Placements!A982:E1981,5,0)</f>
        <v>5.13</v>
      </c>
      <c r="J982" s="1" t="str">
        <f>IF(VLOOKUP(Table7[[#This Row],[Student_ID]],student_data[#All],5,0)&gt;8,"HIGH",IF(VLOOKUP(Table7[[#This Row],[Student_ID]],student_data[#All],5,0)&lt;6.5,"LOW","MEDIUM"))</f>
        <v>MEDIUM</v>
      </c>
    </row>
    <row r="983" spans="1:10" x14ac:dyDescent="0.2">
      <c r="A983" s="1" t="s">
        <v>992</v>
      </c>
      <c r="B983" s="1" t="str">
        <f>VLOOKUP(Table7[[#This Row],[Student_ID]],student_data[#All],2,0)</f>
        <v>Mechanical</v>
      </c>
      <c r="C983" s="1">
        <f>(VLOOKUP(Table7[[#This Row],[Student_ID]],student_data[],5,0)*5)+(VLOOKUP(Table7[[#This Row],[Student_ID]],student_data[],6,0)*3)+(VLOOKUP(Table7[[#This Row],[Student_ID]],student_skills[],6,0)*2)+(VLOOKUP(Table7[[#This Row],[Student_ID]],student_internships[],2,0)*5)</f>
        <v>46.75</v>
      </c>
      <c r="D983" s="1">
        <f>AVERAGE(VLOOKUP(Table7[[#This Row],[Student_ID]],student_skills[],3,0),VLOOKUP(Table7[[#This Row],[Student_ID]],student_skills[],4,0),VLOOKUP(Table7[[#This Row],[Student_ID]],student_skills[],5,0),VLOOKUP(Table7[[#This Row],[Student_ID]],student_skills[],6,0))</f>
        <v>4</v>
      </c>
      <c r="E983" s="1" t="str">
        <f>IF(VLOOKUP(Table7[[#This Row],[Student_ID]],student_internships[#All],2,0)&gt;1,"EXPERIENCED",IF(VLOOKUP(Table7[[#This Row],[Student_ID]],student_internships[#All],2,0)=1,"BEGINNER","NOT EXPERIENCED"))</f>
        <v>BEGINNER</v>
      </c>
      <c r="F983" s="1">
        <f>VLOOKUP(Table7[[#This Row],[Student_ID]],student_data[],5,0)</f>
        <v>5.35</v>
      </c>
      <c r="G983" s="1">
        <f>VLOOKUP(Table7[[#This Row],[Student_ID]],student_data[#All],6,0)</f>
        <v>3</v>
      </c>
      <c r="H983" s="1">
        <f>VLOOKUP(Table7[[#This Row],[Student_ID]],student_internships[],2,0)</f>
        <v>1</v>
      </c>
      <c r="I983" s="1">
        <f>VLOOKUP(Table7[[#This Row],[Student_ID]],Placements!A983:E1982,5,0)</f>
        <v>0</v>
      </c>
      <c r="J983" s="1" t="str">
        <f>IF(VLOOKUP(Table7[[#This Row],[Student_ID]],student_data[#All],5,0)&gt;8,"HIGH",IF(VLOOKUP(Table7[[#This Row],[Student_ID]],student_data[#All],5,0)&lt;6.5,"LOW","MEDIUM"))</f>
        <v>LOW</v>
      </c>
    </row>
    <row r="984" spans="1:10" x14ac:dyDescent="0.2">
      <c r="A984" s="1" t="s">
        <v>993</v>
      </c>
      <c r="B984" s="1" t="str">
        <f>VLOOKUP(Table7[[#This Row],[Student_ID]],student_data[#All],2,0)</f>
        <v>Mechanical</v>
      </c>
      <c r="C984" s="1">
        <f>(VLOOKUP(Table7[[#This Row],[Student_ID]],student_data[],5,0)*5)+(VLOOKUP(Table7[[#This Row],[Student_ID]],student_data[],6,0)*3)+(VLOOKUP(Table7[[#This Row],[Student_ID]],student_skills[],6,0)*2)+(VLOOKUP(Table7[[#This Row],[Student_ID]],student_internships[],2,0)*5)</f>
        <v>77.949999999999989</v>
      </c>
      <c r="D984" s="1">
        <f>AVERAGE(VLOOKUP(Table7[[#This Row],[Student_ID]],student_skills[],3,0),VLOOKUP(Table7[[#This Row],[Student_ID]],student_skills[],4,0),VLOOKUP(Table7[[#This Row],[Student_ID]],student_skills[],5,0),VLOOKUP(Table7[[#This Row],[Student_ID]],student_skills[],6,0))</f>
        <v>5</v>
      </c>
      <c r="E984" s="1" t="str">
        <f>IF(VLOOKUP(Table7[[#This Row],[Student_ID]],student_internships[#All],2,0)&gt;1,"EXPERIENCED",IF(VLOOKUP(Table7[[#This Row],[Student_ID]],student_internships[#All],2,0)=1,"BEGINNER","NOT EXPERIENCED"))</f>
        <v>BEGINNER</v>
      </c>
      <c r="F984" s="1">
        <f>VLOOKUP(Table7[[#This Row],[Student_ID]],student_data[],5,0)</f>
        <v>8.19</v>
      </c>
      <c r="G984" s="1">
        <f>VLOOKUP(Table7[[#This Row],[Student_ID]],student_data[#All],6,0)</f>
        <v>4</v>
      </c>
      <c r="H984" s="1">
        <f>VLOOKUP(Table7[[#This Row],[Student_ID]],student_internships[],2,0)</f>
        <v>1</v>
      </c>
      <c r="I984" s="1">
        <f>VLOOKUP(Table7[[#This Row],[Student_ID]],Placements!A984:E1983,5,0)</f>
        <v>4.12</v>
      </c>
      <c r="J984" s="1" t="str">
        <f>IF(VLOOKUP(Table7[[#This Row],[Student_ID]],student_data[#All],5,0)&gt;8,"HIGH",IF(VLOOKUP(Table7[[#This Row],[Student_ID]],student_data[#All],5,0)&lt;6.5,"LOW","MEDIUM"))</f>
        <v>HIGH</v>
      </c>
    </row>
    <row r="985" spans="1:10" x14ac:dyDescent="0.2">
      <c r="A985" s="1" t="s">
        <v>994</v>
      </c>
      <c r="B985" s="1" t="str">
        <f>VLOOKUP(Table7[[#This Row],[Student_ID]],student_data[#All],2,0)</f>
        <v>Civil</v>
      </c>
      <c r="C985" s="1">
        <f>(VLOOKUP(Table7[[#This Row],[Student_ID]],student_data[],5,0)*5)+(VLOOKUP(Table7[[#This Row],[Student_ID]],student_data[],6,0)*3)+(VLOOKUP(Table7[[#This Row],[Student_ID]],student_skills[],6,0)*2)+(VLOOKUP(Table7[[#This Row],[Student_ID]],student_internships[],2,0)*5)</f>
        <v>61.35</v>
      </c>
      <c r="D985" s="1">
        <f>AVERAGE(VLOOKUP(Table7[[#This Row],[Student_ID]],student_skills[],3,0),VLOOKUP(Table7[[#This Row],[Student_ID]],student_skills[],4,0),VLOOKUP(Table7[[#This Row],[Student_ID]],student_skills[],5,0),VLOOKUP(Table7[[#This Row],[Student_ID]],student_skills[],6,0))</f>
        <v>2.25</v>
      </c>
      <c r="E985" s="1" t="str">
        <f>IF(VLOOKUP(Table7[[#This Row],[Student_ID]],student_internships[#All],2,0)&gt;1,"EXPERIENCED",IF(VLOOKUP(Table7[[#This Row],[Student_ID]],student_internships[#All],2,0)=1,"BEGINNER","NOT EXPERIENCED"))</f>
        <v>EXPERIENCED</v>
      </c>
      <c r="F985" s="1">
        <f>VLOOKUP(Table7[[#This Row],[Student_ID]],student_data[],5,0)</f>
        <v>8.67</v>
      </c>
      <c r="G985" s="1">
        <f>VLOOKUP(Table7[[#This Row],[Student_ID]],student_data[#All],6,0)</f>
        <v>2</v>
      </c>
      <c r="H985" s="1">
        <f>VLOOKUP(Table7[[#This Row],[Student_ID]],student_internships[],2,0)</f>
        <v>2</v>
      </c>
      <c r="I985" s="1">
        <f>VLOOKUP(Table7[[#This Row],[Student_ID]],Placements!A985:E1984,5,0)</f>
        <v>4.3499999999999996</v>
      </c>
      <c r="J985" s="1" t="str">
        <f>IF(VLOOKUP(Table7[[#This Row],[Student_ID]],student_data[#All],5,0)&gt;8,"HIGH",IF(VLOOKUP(Table7[[#This Row],[Student_ID]],student_data[#All],5,0)&lt;6.5,"LOW","MEDIUM"))</f>
        <v>HIGH</v>
      </c>
    </row>
    <row r="986" spans="1:10" x14ac:dyDescent="0.2">
      <c r="A986" s="1" t="s">
        <v>995</v>
      </c>
      <c r="B986" s="1" t="str">
        <f>VLOOKUP(Table7[[#This Row],[Student_ID]],student_data[#All],2,0)</f>
        <v>Civil</v>
      </c>
      <c r="C986" s="1">
        <f>(VLOOKUP(Table7[[#This Row],[Student_ID]],student_data[],5,0)*5)+(VLOOKUP(Table7[[#This Row],[Student_ID]],student_data[],6,0)*3)+(VLOOKUP(Table7[[#This Row],[Student_ID]],student_skills[],6,0)*2)+(VLOOKUP(Table7[[#This Row],[Student_ID]],student_internships[],2,0)*5)</f>
        <v>74.900000000000006</v>
      </c>
      <c r="D986" s="1">
        <f>AVERAGE(VLOOKUP(Table7[[#This Row],[Student_ID]],student_skills[],3,0),VLOOKUP(Table7[[#This Row],[Student_ID]],student_skills[],4,0),VLOOKUP(Table7[[#This Row],[Student_ID]],student_skills[],5,0),VLOOKUP(Table7[[#This Row],[Student_ID]],student_skills[],6,0))</f>
        <v>4.75</v>
      </c>
      <c r="E986" s="1" t="str">
        <f>IF(VLOOKUP(Table7[[#This Row],[Student_ID]],student_internships[#All],2,0)&gt;1,"EXPERIENCED",IF(VLOOKUP(Table7[[#This Row],[Student_ID]],student_internships[#All],2,0)=1,"BEGINNER","NOT EXPERIENCED"))</f>
        <v>NOT EXPERIENCED</v>
      </c>
      <c r="F986" s="1">
        <f>VLOOKUP(Table7[[#This Row],[Student_ID]],student_data[],5,0)</f>
        <v>8.3800000000000008</v>
      </c>
      <c r="G986" s="1">
        <f>VLOOKUP(Table7[[#This Row],[Student_ID]],student_data[#All],6,0)</f>
        <v>5</v>
      </c>
      <c r="H986" s="1">
        <f>VLOOKUP(Table7[[#This Row],[Student_ID]],student_internships[],2,0)</f>
        <v>0</v>
      </c>
      <c r="I986" s="1">
        <f>VLOOKUP(Table7[[#This Row],[Student_ID]],Placements!A986:E1985,5,0)</f>
        <v>4.5</v>
      </c>
      <c r="J986" s="1" t="str">
        <f>IF(VLOOKUP(Table7[[#This Row],[Student_ID]],student_data[#All],5,0)&gt;8,"HIGH",IF(VLOOKUP(Table7[[#This Row],[Student_ID]],student_data[#All],5,0)&lt;6.5,"LOW","MEDIUM"))</f>
        <v>HIGH</v>
      </c>
    </row>
    <row r="987" spans="1:10" x14ac:dyDescent="0.2">
      <c r="A987" s="1" t="s">
        <v>996</v>
      </c>
      <c r="B987" s="1" t="str">
        <f>VLOOKUP(Table7[[#This Row],[Student_ID]],student_data[#All],2,0)</f>
        <v>Electronics</v>
      </c>
      <c r="C987" s="1">
        <f>(VLOOKUP(Table7[[#This Row],[Student_ID]],student_data[],5,0)*5)+(VLOOKUP(Table7[[#This Row],[Student_ID]],student_data[],6,0)*3)+(VLOOKUP(Table7[[#This Row],[Student_ID]],student_skills[],6,0)*2)+(VLOOKUP(Table7[[#This Row],[Student_ID]],student_internships[],2,0)*5)</f>
        <v>55.45</v>
      </c>
      <c r="D987" s="1">
        <f>AVERAGE(VLOOKUP(Table7[[#This Row],[Student_ID]],student_skills[],3,0),VLOOKUP(Table7[[#This Row],[Student_ID]],student_skills[],4,0),VLOOKUP(Table7[[#This Row],[Student_ID]],student_skills[],5,0),VLOOKUP(Table7[[#This Row],[Student_ID]],student_skills[],6,0))</f>
        <v>5.25</v>
      </c>
      <c r="E987" s="1" t="str">
        <f>IF(VLOOKUP(Table7[[#This Row],[Student_ID]],student_internships[#All],2,0)&gt;1,"EXPERIENCED",IF(VLOOKUP(Table7[[#This Row],[Student_ID]],student_internships[#All],2,0)=1,"BEGINNER","NOT EXPERIENCED"))</f>
        <v>NOT EXPERIENCED</v>
      </c>
      <c r="F987" s="1">
        <f>VLOOKUP(Table7[[#This Row],[Student_ID]],student_data[],5,0)</f>
        <v>5.69</v>
      </c>
      <c r="G987" s="1">
        <f>VLOOKUP(Table7[[#This Row],[Student_ID]],student_data[#All],6,0)</f>
        <v>5</v>
      </c>
      <c r="H987" s="1">
        <f>VLOOKUP(Table7[[#This Row],[Student_ID]],student_internships[],2,0)</f>
        <v>0</v>
      </c>
      <c r="I987" s="1">
        <f>VLOOKUP(Table7[[#This Row],[Student_ID]],Placements!A987:E1986,5,0)</f>
        <v>4.1900000000000004</v>
      </c>
      <c r="J987" s="1" t="str">
        <f>IF(VLOOKUP(Table7[[#This Row],[Student_ID]],student_data[#All],5,0)&gt;8,"HIGH",IF(VLOOKUP(Table7[[#This Row],[Student_ID]],student_data[#All],5,0)&lt;6.5,"LOW","MEDIUM"))</f>
        <v>LOW</v>
      </c>
    </row>
    <row r="988" spans="1:10" x14ac:dyDescent="0.2">
      <c r="A988" s="1" t="s">
        <v>997</v>
      </c>
      <c r="B988" s="1" t="str">
        <f>VLOOKUP(Table7[[#This Row],[Student_ID]],student_data[#All],2,0)</f>
        <v>Mechanical</v>
      </c>
      <c r="C988" s="1">
        <f>(VLOOKUP(Table7[[#This Row],[Student_ID]],student_data[],5,0)*5)+(VLOOKUP(Table7[[#This Row],[Student_ID]],student_data[],6,0)*3)+(VLOOKUP(Table7[[#This Row],[Student_ID]],student_skills[],6,0)*2)+(VLOOKUP(Table7[[#This Row],[Student_ID]],student_internships[],2,0)*5)</f>
        <v>82.449999999999989</v>
      </c>
      <c r="D988" s="1">
        <f>AVERAGE(VLOOKUP(Table7[[#This Row],[Student_ID]],student_skills[],3,0),VLOOKUP(Table7[[#This Row],[Student_ID]],student_skills[],4,0),VLOOKUP(Table7[[#This Row],[Student_ID]],student_skills[],5,0),VLOOKUP(Table7[[#This Row],[Student_ID]],student_skills[],6,0))</f>
        <v>5</v>
      </c>
      <c r="E988" s="1" t="str">
        <f>IF(VLOOKUP(Table7[[#This Row],[Student_ID]],student_internships[#All],2,0)&gt;1,"EXPERIENCED",IF(VLOOKUP(Table7[[#This Row],[Student_ID]],student_internships[#All],2,0)=1,"BEGINNER","NOT EXPERIENCED"))</f>
        <v>EXPERIENCED</v>
      </c>
      <c r="F988" s="1">
        <f>VLOOKUP(Table7[[#This Row],[Student_ID]],student_data[],5,0)</f>
        <v>7.89</v>
      </c>
      <c r="G988" s="1">
        <f>VLOOKUP(Table7[[#This Row],[Student_ID]],student_data[#All],6,0)</f>
        <v>5</v>
      </c>
      <c r="H988" s="1">
        <f>VLOOKUP(Table7[[#This Row],[Student_ID]],student_internships[],2,0)</f>
        <v>2</v>
      </c>
      <c r="I988" s="1">
        <f>VLOOKUP(Table7[[#This Row],[Student_ID]],Placements!A988:E1987,5,0)</f>
        <v>4.1100000000000003</v>
      </c>
      <c r="J988" s="1" t="str">
        <f>IF(VLOOKUP(Table7[[#This Row],[Student_ID]],student_data[#All],5,0)&gt;8,"HIGH",IF(VLOOKUP(Table7[[#This Row],[Student_ID]],student_data[#All],5,0)&lt;6.5,"LOW","MEDIUM"))</f>
        <v>MEDIUM</v>
      </c>
    </row>
    <row r="989" spans="1:10" x14ac:dyDescent="0.2">
      <c r="A989" s="1" t="s">
        <v>998</v>
      </c>
      <c r="B989" s="1" t="str">
        <f>VLOOKUP(Table7[[#This Row],[Student_ID]],student_data[#All],2,0)</f>
        <v>Mechanical</v>
      </c>
      <c r="C989" s="1">
        <f>(VLOOKUP(Table7[[#This Row],[Student_ID]],student_data[],5,0)*5)+(VLOOKUP(Table7[[#This Row],[Student_ID]],student_data[],6,0)*3)+(VLOOKUP(Table7[[#This Row],[Student_ID]],student_skills[],6,0)*2)+(VLOOKUP(Table7[[#This Row],[Student_ID]],student_internships[],2,0)*5)</f>
        <v>67.25</v>
      </c>
      <c r="D989" s="1">
        <f>AVERAGE(VLOOKUP(Table7[[#This Row],[Student_ID]],student_skills[],3,0),VLOOKUP(Table7[[#This Row],[Student_ID]],student_skills[],4,0),VLOOKUP(Table7[[#This Row],[Student_ID]],student_skills[],5,0),VLOOKUP(Table7[[#This Row],[Student_ID]],student_skills[],6,0))</f>
        <v>4.5</v>
      </c>
      <c r="E989" s="1" t="str">
        <f>IF(VLOOKUP(Table7[[#This Row],[Student_ID]],student_internships[#All],2,0)&gt;1,"EXPERIENCED",IF(VLOOKUP(Table7[[#This Row],[Student_ID]],student_internships[#All],2,0)=1,"BEGINNER","NOT EXPERIENCED"))</f>
        <v>BEGINNER</v>
      </c>
      <c r="F989" s="1">
        <f>VLOOKUP(Table7[[#This Row],[Student_ID]],student_data[],5,0)</f>
        <v>7.85</v>
      </c>
      <c r="G989" s="1">
        <f>VLOOKUP(Table7[[#This Row],[Student_ID]],student_data[#All],6,0)</f>
        <v>3</v>
      </c>
      <c r="H989" s="1">
        <f>VLOOKUP(Table7[[#This Row],[Student_ID]],student_internships[],2,0)</f>
        <v>1</v>
      </c>
      <c r="I989" s="1">
        <f>VLOOKUP(Table7[[#This Row],[Student_ID]],Placements!A989:E1988,5,0)</f>
        <v>4.53</v>
      </c>
      <c r="J989" s="1" t="str">
        <f>IF(VLOOKUP(Table7[[#This Row],[Student_ID]],student_data[#All],5,0)&gt;8,"HIGH",IF(VLOOKUP(Table7[[#This Row],[Student_ID]],student_data[#All],5,0)&lt;6.5,"LOW","MEDIUM"))</f>
        <v>MEDIUM</v>
      </c>
    </row>
    <row r="990" spans="1:10" x14ac:dyDescent="0.2">
      <c r="A990" s="1" t="s">
        <v>999</v>
      </c>
      <c r="B990" s="1" t="str">
        <f>VLOOKUP(Table7[[#This Row],[Student_ID]],student_data[#All],2,0)</f>
        <v>Information Technology</v>
      </c>
      <c r="C990" s="1">
        <f>(VLOOKUP(Table7[[#This Row],[Student_ID]],student_data[],5,0)*5)+(VLOOKUP(Table7[[#This Row],[Student_ID]],student_data[],6,0)*3)+(VLOOKUP(Table7[[#This Row],[Student_ID]],student_skills[],6,0)*2)+(VLOOKUP(Table7[[#This Row],[Student_ID]],student_internships[],2,0)*5)</f>
        <v>53.7</v>
      </c>
      <c r="D990" s="1">
        <f>AVERAGE(VLOOKUP(Table7[[#This Row],[Student_ID]],student_skills[],3,0),VLOOKUP(Table7[[#This Row],[Student_ID]],student_skills[],4,0),VLOOKUP(Table7[[#This Row],[Student_ID]],student_skills[],5,0),VLOOKUP(Table7[[#This Row],[Student_ID]],student_skills[],6,0))</f>
        <v>5</v>
      </c>
      <c r="E990" s="1" t="str">
        <f>IF(VLOOKUP(Table7[[#This Row],[Student_ID]],student_internships[#All],2,0)&gt;1,"EXPERIENCED",IF(VLOOKUP(Table7[[#This Row],[Student_ID]],student_internships[#All],2,0)=1,"BEGINNER","NOT EXPERIENCED"))</f>
        <v>BEGINNER</v>
      </c>
      <c r="F990" s="1">
        <f>VLOOKUP(Table7[[#This Row],[Student_ID]],student_data[],5,0)</f>
        <v>9.34</v>
      </c>
      <c r="G990" s="1">
        <f>VLOOKUP(Table7[[#This Row],[Student_ID]],student_data[#All],6,0)</f>
        <v>0</v>
      </c>
      <c r="H990" s="1">
        <f>VLOOKUP(Table7[[#This Row],[Student_ID]],student_internships[],2,0)</f>
        <v>1</v>
      </c>
      <c r="I990" s="1">
        <f>VLOOKUP(Table7[[#This Row],[Student_ID]],Placements!A990:E1989,5,0)</f>
        <v>5.13</v>
      </c>
      <c r="J990" s="1" t="str">
        <f>IF(VLOOKUP(Table7[[#This Row],[Student_ID]],student_data[#All],5,0)&gt;8,"HIGH",IF(VLOOKUP(Table7[[#This Row],[Student_ID]],student_data[#All],5,0)&lt;6.5,"LOW","MEDIUM"))</f>
        <v>HIGH</v>
      </c>
    </row>
    <row r="991" spans="1:10" x14ac:dyDescent="0.2">
      <c r="A991" s="1" t="s">
        <v>1000</v>
      </c>
      <c r="B991" s="1" t="str">
        <f>VLOOKUP(Table7[[#This Row],[Student_ID]],student_data[#All],2,0)</f>
        <v>Civil</v>
      </c>
      <c r="C991" s="1">
        <f>(VLOOKUP(Table7[[#This Row],[Student_ID]],student_data[],5,0)*5)+(VLOOKUP(Table7[[#This Row],[Student_ID]],student_data[],6,0)*3)+(VLOOKUP(Table7[[#This Row],[Student_ID]],student_skills[],6,0)*2)+(VLOOKUP(Table7[[#This Row],[Student_ID]],student_internships[],2,0)*5)</f>
        <v>53.5</v>
      </c>
      <c r="D991" s="1">
        <f>AVERAGE(VLOOKUP(Table7[[#This Row],[Student_ID]],student_skills[],3,0),VLOOKUP(Table7[[#This Row],[Student_ID]],student_skills[],4,0),VLOOKUP(Table7[[#This Row],[Student_ID]],student_skills[],5,0),VLOOKUP(Table7[[#This Row],[Student_ID]],student_skills[],6,0))</f>
        <v>4.75</v>
      </c>
      <c r="E991" s="1" t="str">
        <f>IF(VLOOKUP(Table7[[#This Row],[Student_ID]],student_internships[#All],2,0)&gt;1,"EXPERIENCED",IF(VLOOKUP(Table7[[#This Row],[Student_ID]],student_internships[#All],2,0)=1,"BEGINNER","NOT EXPERIENCED"))</f>
        <v>BEGINNER</v>
      </c>
      <c r="F991" s="1">
        <f>VLOOKUP(Table7[[#This Row],[Student_ID]],student_data[],5,0)</f>
        <v>6.9</v>
      </c>
      <c r="G991" s="1">
        <f>VLOOKUP(Table7[[#This Row],[Student_ID]],student_data[#All],6,0)</f>
        <v>4</v>
      </c>
      <c r="H991" s="1">
        <f>VLOOKUP(Table7[[#This Row],[Student_ID]],student_internships[],2,0)</f>
        <v>1</v>
      </c>
      <c r="I991" s="1">
        <f>VLOOKUP(Table7[[#This Row],[Student_ID]],Placements!A991:E1990,5,0)</f>
        <v>0</v>
      </c>
      <c r="J991" s="1" t="str">
        <f>IF(VLOOKUP(Table7[[#This Row],[Student_ID]],student_data[#All],5,0)&gt;8,"HIGH",IF(VLOOKUP(Table7[[#This Row],[Student_ID]],student_data[#All],5,0)&lt;6.5,"LOW","MEDIUM"))</f>
        <v>MEDIUM</v>
      </c>
    </row>
    <row r="992" spans="1:10" x14ac:dyDescent="0.2">
      <c r="A992" s="1" t="s">
        <v>1001</v>
      </c>
      <c r="B992" s="1" t="str">
        <f>VLOOKUP(Table7[[#This Row],[Student_ID]],student_data[#All],2,0)</f>
        <v>Mechanical</v>
      </c>
      <c r="C992" s="1">
        <f>(VLOOKUP(Table7[[#This Row],[Student_ID]],student_data[],5,0)*5)+(VLOOKUP(Table7[[#This Row],[Student_ID]],student_data[],6,0)*3)+(VLOOKUP(Table7[[#This Row],[Student_ID]],student_skills[],6,0)*2)+(VLOOKUP(Table7[[#This Row],[Student_ID]],student_internships[],2,0)*5)</f>
        <v>61.300000000000004</v>
      </c>
      <c r="D992" s="1">
        <f>AVERAGE(VLOOKUP(Table7[[#This Row],[Student_ID]],student_skills[],3,0),VLOOKUP(Table7[[#This Row],[Student_ID]],student_skills[],4,0),VLOOKUP(Table7[[#This Row],[Student_ID]],student_skills[],5,0),VLOOKUP(Table7[[#This Row],[Student_ID]],student_skills[],6,0))</f>
        <v>3.75</v>
      </c>
      <c r="E992" s="1" t="str">
        <f>IF(VLOOKUP(Table7[[#This Row],[Student_ID]],student_internships[#All],2,0)&gt;1,"EXPERIENCED",IF(VLOOKUP(Table7[[#This Row],[Student_ID]],student_internships[#All],2,0)=1,"BEGINNER","NOT EXPERIENCED"))</f>
        <v>NOT EXPERIENCED</v>
      </c>
      <c r="F992" s="1">
        <f>VLOOKUP(Table7[[#This Row],[Student_ID]],student_data[],5,0)</f>
        <v>6.86</v>
      </c>
      <c r="G992" s="1">
        <f>VLOOKUP(Table7[[#This Row],[Student_ID]],student_data[#All],6,0)</f>
        <v>5</v>
      </c>
      <c r="H992" s="1">
        <f>VLOOKUP(Table7[[#This Row],[Student_ID]],student_internships[],2,0)</f>
        <v>0</v>
      </c>
      <c r="I992" s="1">
        <f>VLOOKUP(Table7[[#This Row],[Student_ID]],Placements!A992:E1991,5,0)</f>
        <v>4.5</v>
      </c>
      <c r="J992" s="1" t="str">
        <f>IF(VLOOKUP(Table7[[#This Row],[Student_ID]],student_data[#All],5,0)&gt;8,"HIGH",IF(VLOOKUP(Table7[[#This Row],[Student_ID]],student_data[#All],5,0)&lt;6.5,"LOW","MEDIUM"))</f>
        <v>MEDIUM</v>
      </c>
    </row>
    <row r="993" spans="1:10" x14ac:dyDescent="0.2">
      <c r="A993" s="1" t="s">
        <v>1002</v>
      </c>
      <c r="B993" s="1" t="str">
        <f>VLOOKUP(Table7[[#This Row],[Student_ID]],student_data[#All],2,0)</f>
        <v>Electronics</v>
      </c>
      <c r="C993" s="1">
        <f>(VLOOKUP(Table7[[#This Row],[Student_ID]],student_data[],5,0)*5)+(VLOOKUP(Table7[[#This Row],[Student_ID]],student_data[],6,0)*3)+(VLOOKUP(Table7[[#This Row],[Student_ID]],student_skills[],6,0)*2)+(VLOOKUP(Table7[[#This Row],[Student_ID]],student_internships[],2,0)*5)</f>
        <v>72.45</v>
      </c>
      <c r="D993" s="1">
        <f>AVERAGE(VLOOKUP(Table7[[#This Row],[Student_ID]],student_skills[],3,0),VLOOKUP(Table7[[#This Row],[Student_ID]],student_skills[],4,0),VLOOKUP(Table7[[#This Row],[Student_ID]],student_skills[],5,0),VLOOKUP(Table7[[#This Row],[Student_ID]],student_skills[],6,0))</f>
        <v>5.75</v>
      </c>
      <c r="E993" s="1" t="str">
        <f>IF(VLOOKUP(Table7[[#This Row],[Student_ID]],student_internships[#All],2,0)&gt;1,"EXPERIENCED",IF(VLOOKUP(Table7[[#This Row],[Student_ID]],student_internships[#All],2,0)=1,"BEGINNER","NOT EXPERIENCED"))</f>
        <v>EXPERIENCED</v>
      </c>
      <c r="F993" s="1">
        <f>VLOOKUP(Table7[[#This Row],[Student_ID]],student_data[],5,0)</f>
        <v>8.09</v>
      </c>
      <c r="G993" s="1">
        <f>VLOOKUP(Table7[[#This Row],[Student_ID]],student_data[#All],6,0)</f>
        <v>4</v>
      </c>
      <c r="H993" s="1">
        <f>VLOOKUP(Table7[[#This Row],[Student_ID]],student_internships[],2,0)</f>
        <v>2</v>
      </c>
      <c r="I993" s="1">
        <f>VLOOKUP(Table7[[#This Row],[Student_ID]],Placements!A993:E1992,5,0)</f>
        <v>4.3499999999999996</v>
      </c>
      <c r="J993" s="1" t="str">
        <f>IF(VLOOKUP(Table7[[#This Row],[Student_ID]],student_data[#All],5,0)&gt;8,"HIGH",IF(VLOOKUP(Table7[[#This Row],[Student_ID]],student_data[#All],5,0)&lt;6.5,"LOW","MEDIUM"))</f>
        <v>HIGH</v>
      </c>
    </row>
    <row r="994" spans="1:10" x14ac:dyDescent="0.2">
      <c r="A994" s="1" t="s">
        <v>1003</v>
      </c>
      <c r="B994" s="1" t="str">
        <f>VLOOKUP(Table7[[#This Row],[Student_ID]],student_data[#All],2,0)</f>
        <v>Electronics</v>
      </c>
      <c r="C994" s="1">
        <f>(VLOOKUP(Table7[[#This Row],[Student_ID]],student_data[],5,0)*5)+(VLOOKUP(Table7[[#This Row],[Student_ID]],student_data[],6,0)*3)+(VLOOKUP(Table7[[#This Row],[Student_ID]],student_skills[],6,0)*2)+(VLOOKUP(Table7[[#This Row],[Student_ID]],student_internships[],2,0)*5)</f>
        <v>83.85</v>
      </c>
      <c r="D994" s="1">
        <f>AVERAGE(VLOOKUP(Table7[[#This Row],[Student_ID]],student_skills[],3,0),VLOOKUP(Table7[[#This Row],[Student_ID]],student_skills[],4,0),VLOOKUP(Table7[[#This Row],[Student_ID]],student_skills[],5,0),VLOOKUP(Table7[[#This Row],[Student_ID]],student_skills[],6,0))</f>
        <v>9</v>
      </c>
      <c r="E994" s="1" t="str">
        <f>IF(VLOOKUP(Table7[[#This Row],[Student_ID]],student_internships[#All],2,0)&gt;1,"EXPERIENCED",IF(VLOOKUP(Table7[[#This Row],[Student_ID]],student_internships[#All],2,0)=1,"BEGINNER","NOT EXPERIENCED"))</f>
        <v>EXPERIENCED</v>
      </c>
      <c r="F994" s="1">
        <f>VLOOKUP(Table7[[#This Row],[Student_ID]],student_data[],5,0)</f>
        <v>8.17</v>
      </c>
      <c r="G994" s="1">
        <f>VLOOKUP(Table7[[#This Row],[Student_ID]],student_data[#All],6,0)</f>
        <v>5</v>
      </c>
      <c r="H994" s="1">
        <f>VLOOKUP(Table7[[#This Row],[Student_ID]],student_internships[],2,0)</f>
        <v>2</v>
      </c>
      <c r="I994" s="1">
        <f>VLOOKUP(Table7[[#This Row],[Student_ID]],Placements!A994:E1993,5,0)</f>
        <v>4.1900000000000004</v>
      </c>
      <c r="J994" s="1" t="str">
        <f>IF(VLOOKUP(Table7[[#This Row],[Student_ID]],student_data[#All],5,0)&gt;8,"HIGH",IF(VLOOKUP(Table7[[#This Row],[Student_ID]],student_data[#All],5,0)&lt;6.5,"LOW","MEDIUM"))</f>
        <v>HIGH</v>
      </c>
    </row>
    <row r="995" spans="1:10" x14ac:dyDescent="0.2">
      <c r="A995" s="1" t="s">
        <v>1004</v>
      </c>
      <c r="B995" s="1" t="str">
        <f>VLOOKUP(Table7[[#This Row],[Student_ID]],student_data[#All],2,0)</f>
        <v>Mechanical</v>
      </c>
      <c r="C995" s="1">
        <f>(VLOOKUP(Table7[[#This Row],[Student_ID]],student_data[],5,0)*5)+(VLOOKUP(Table7[[#This Row],[Student_ID]],student_data[],6,0)*3)+(VLOOKUP(Table7[[#This Row],[Student_ID]],student_skills[],6,0)*2)+(VLOOKUP(Table7[[#This Row],[Student_ID]],student_internships[],2,0)*5)</f>
        <v>54.75</v>
      </c>
      <c r="D995" s="1">
        <f>AVERAGE(VLOOKUP(Table7[[#This Row],[Student_ID]],student_skills[],3,0),VLOOKUP(Table7[[#This Row],[Student_ID]],student_skills[],4,0),VLOOKUP(Table7[[#This Row],[Student_ID]],student_skills[],5,0),VLOOKUP(Table7[[#This Row],[Student_ID]],student_skills[],6,0))</f>
        <v>5</v>
      </c>
      <c r="E995" s="1" t="str">
        <f>IF(VLOOKUP(Table7[[#This Row],[Student_ID]],student_internships[#All],2,0)&gt;1,"EXPERIENCED",IF(VLOOKUP(Table7[[#This Row],[Student_ID]],student_internships[#All],2,0)=1,"BEGINNER","NOT EXPERIENCED"))</f>
        <v>BEGINNER</v>
      </c>
      <c r="F995" s="1">
        <f>VLOOKUP(Table7[[#This Row],[Student_ID]],student_data[],5,0)</f>
        <v>7.35</v>
      </c>
      <c r="G995" s="1">
        <f>VLOOKUP(Table7[[#This Row],[Student_ID]],student_data[#All],6,0)</f>
        <v>3</v>
      </c>
      <c r="H995" s="1">
        <f>VLOOKUP(Table7[[#This Row],[Student_ID]],student_internships[],2,0)</f>
        <v>1</v>
      </c>
      <c r="I995" s="1">
        <f>VLOOKUP(Table7[[#This Row],[Student_ID]],Placements!A995:E1994,5,0)</f>
        <v>5.13</v>
      </c>
      <c r="J995" s="1" t="str">
        <f>IF(VLOOKUP(Table7[[#This Row],[Student_ID]],student_data[#All],5,0)&gt;8,"HIGH",IF(VLOOKUP(Table7[[#This Row],[Student_ID]],student_data[#All],5,0)&lt;6.5,"LOW","MEDIUM"))</f>
        <v>MEDIUM</v>
      </c>
    </row>
    <row r="996" spans="1:10" x14ac:dyDescent="0.2">
      <c r="A996" s="1" t="s">
        <v>1005</v>
      </c>
      <c r="B996" s="1" t="str">
        <f>VLOOKUP(Table7[[#This Row],[Student_ID]],student_data[#All],2,0)</f>
        <v>Civil</v>
      </c>
      <c r="C996" s="1">
        <f>(VLOOKUP(Table7[[#This Row],[Student_ID]],student_data[],5,0)*5)+(VLOOKUP(Table7[[#This Row],[Student_ID]],student_data[],6,0)*3)+(VLOOKUP(Table7[[#This Row],[Student_ID]],student_skills[],6,0)*2)+(VLOOKUP(Table7[[#This Row],[Student_ID]],student_internships[],2,0)*5)</f>
        <v>52.1</v>
      </c>
      <c r="D996" s="1">
        <f>AVERAGE(VLOOKUP(Table7[[#This Row],[Student_ID]],student_skills[],3,0),VLOOKUP(Table7[[#This Row],[Student_ID]],student_skills[],4,0),VLOOKUP(Table7[[#This Row],[Student_ID]],student_skills[],5,0),VLOOKUP(Table7[[#This Row],[Student_ID]],student_skills[],6,0))</f>
        <v>6</v>
      </c>
      <c r="E996" s="1" t="str">
        <f>IF(VLOOKUP(Table7[[#This Row],[Student_ID]],student_internships[#All],2,0)&gt;1,"EXPERIENCED",IF(VLOOKUP(Table7[[#This Row],[Student_ID]],student_internships[#All],2,0)=1,"BEGINNER","NOT EXPERIENCED"))</f>
        <v>NOT EXPERIENCED</v>
      </c>
      <c r="F996" s="1">
        <f>VLOOKUP(Table7[[#This Row],[Student_ID]],student_data[],5,0)</f>
        <v>7.22</v>
      </c>
      <c r="G996" s="1">
        <f>VLOOKUP(Table7[[#This Row],[Student_ID]],student_data[#All],6,0)</f>
        <v>0</v>
      </c>
      <c r="H996" s="1">
        <f>VLOOKUP(Table7[[#This Row],[Student_ID]],student_internships[],2,0)</f>
        <v>0</v>
      </c>
      <c r="I996" s="1">
        <f>VLOOKUP(Table7[[#This Row],[Student_ID]],Placements!A996:E1995,5,0)</f>
        <v>4.12</v>
      </c>
      <c r="J996" s="1" t="str">
        <f>IF(VLOOKUP(Table7[[#This Row],[Student_ID]],student_data[#All],5,0)&gt;8,"HIGH",IF(VLOOKUP(Table7[[#This Row],[Student_ID]],student_data[#All],5,0)&lt;6.5,"LOW","MEDIUM"))</f>
        <v>MEDIUM</v>
      </c>
    </row>
    <row r="997" spans="1:10" x14ac:dyDescent="0.2">
      <c r="A997" s="1" t="s">
        <v>1006</v>
      </c>
      <c r="B997" s="1" t="str">
        <f>VLOOKUP(Table7[[#This Row],[Student_ID]],student_data[#All],2,0)</f>
        <v>Electronics</v>
      </c>
      <c r="C997" s="1">
        <f>(VLOOKUP(Table7[[#This Row],[Student_ID]],student_data[],5,0)*5)+(VLOOKUP(Table7[[#This Row],[Student_ID]],student_data[],6,0)*3)+(VLOOKUP(Table7[[#This Row],[Student_ID]],student_skills[],6,0)*2)+(VLOOKUP(Table7[[#This Row],[Student_ID]],student_internships[],2,0)*5)</f>
        <v>52.35</v>
      </c>
      <c r="D997" s="1">
        <f>AVERAGE(VLOOKUP(Table7[[#This Row],[Student_ID]],student_skills[],3,0),VLOOKUP(Table7[[#This Row],[Student_ID]],student_skills[],4,0),VLOOKUP(Table7[[#This Row],[Student_ID]],student_skills[],5,0),VLOOKUP(Table7[[#This Row],[Student_ID]],student_skills[],6,0))</f>
        <v>7.25</v>
      </c>
      <c r="E997" s="1" t="str">
        <f>IF(VLOOKUP(Table7[[#This Row],[Student_ID]],student_internships[#All],2,0)&gt;1,"EXPERIENCED",IF(VLOOKUP(Table7[[#This Row],[Student_ID]],student_internships[#All],2,0)=1,"BEGINNER","NOT EXPERIENCED"))</f>
        <v>BEGINNER</v>
      </c>
      <c r="F997" s="1">
        <f>VLOOKUP(Table7[[#This Row],[Student_ID]],student_data[],5,0)</f>
        <v>7.47</v>
      </c>
      <c r="G997" s="1">
        <f>VLOOKUP(Table7[[#This Row],[Student_ID]],student_data[#All],6,0)</f>
        <v>0</v>
      </c>
      <c r="H997" s="1">
        <f>VLOOKUP(Table7[[#This Row],[Student_ID]],student_internships[],2,0)</f>
        <v>1</v>
      </c>
      <c r="I997" s="1">
        <f>VLOOKUP(Table7[[#This Row],[Student_ID]],Placements!A997:E1996,5,0)</f>
        <v>4.5599999999999996</v>
      </c>
      <c r="J997" s="1" t="str">
        <f>IF(VLOOKUP(Table7[[#This Row],[Student_ID]],student_data[#All],5,0)&gt;8,"HIGH",IF(VLOOKUP(Table7[[#This Row],[Student_ID]],student_data[#All],5,0)&lt;6.5,"LOW","MEDIUM"))</f>
        <v>MEDIUM</v>
      </c>
    </row>
    <row r="998" spans="1:10" x14ac:dyDescent="0.2">
      <c r="A998" s="1" t="s">
        <v>1007</v>
      </c>
      <c r="B998" s="1" t="str">
        <f>VLOOKUP(Table7[[#This Row],[Student_ID]],student_data[#All],2,0)</f>
        <v>Information Technology</v>
      </c>
      <c r="C998" s="1">
        <f>(VLOOKUP(Table7[[#This Row],[Student_ID]],student_data[],5,0)*5)+(VLOOKUP(Table7[[#This Row],[Student_ID]],student_data[],6,0)*3)+(VLOOKUP(Table7[[#This Row],[Student_ID]],student_skills[],6,0)*2)+(VLOOKUP(Table7[[#This Row],[Student_ID]],student_internships[],2,0)*5)</f>
        <v>70.550000000000011</v>
      </c>
      <c r="D998" s="1">
        <f>AVERAGE(VLOOKUP(Table7[[#This Row],[Student_ID]],student_skills[],3,0),VLOOKUP(Table7[[#This Row],[Student_ID]],student_skills[],4,0),VLOOKUP(Table7[[#This Row],[Student_ID]],student_skills[],5,0),VLOOKUP(Table7[[#This Row],[Student_ID]],student_skills[],6,0))</f>
        <v>5.25</v>
      </c>
      <c r="E998" s="1" t="str">
        <f>IF(VLOOKUP(Table7[[#This Row],[Student_ID]],student_internships[#All],2,0)&gt;1,"EXPERIENCED",IF(VLOOKUP(Table7[[#This Row],[Student_ID]],student_internships[#All],2,0)=1,"BEGINNER","NOT EXPERIENCED"))</f>
        <v>BEGINNER</v>
      </c>
      <c r="F998" s="1">
        <f>VLOOKUP(Table7[[#This Row],[Student_ID]],student_data[],5,0)</f>
        <v>9.31</v>
      </c>
      <c r="G998" s="1">
        <f>VLOOKUP(Table7[[#This Row],[Student_ID]],student_data[#All],6,0)</f>
        <v>5</v>
      </c>
      <c r="H998" s="1">
        <f>VLOOKUP(Table7[[#This Row],[Student_ID]],student_internships[],2,0)</f>
        <v>1</v>
      </c>
      <c r="I998" s="1">
        <f>VLOOKUP(Table7[[#This Row],[Student_ID]],Placements!A998:E1997,5,0)</f>
        <v>0</v>
      </c>
      <c r="J998" s="1" t="str">
        <f>IF(VLOOKUP(Table7[[#This Row],[Student_ID]],student_data[#All],5,0)&gt;8,"HIGH",IF(VLOOKUP(Table7[[#This Row],[Student_ID]],student_data[#All],5,0)&lt;6.5,"LOW","MEDIUM"))</f>
        <v>HIGH</v>
      </c>
    </row>
    <row r="999" spans="1:10" x14ac:dyDescent="0.2">
      <c r="A999" s="1" t="s">
        <v>1008</v>
      </c>
      <c r="B999" s="1" t="str">
        <f>VLOOKUP(Table7[[#This Row],[Student_ID]],student_data[#All],2,0)</f>
        <v>Electronics</v>
      </c>
      <c r="C999" s="1">
        <f>(VLOOKUP(Table7[[#This Row],[Student_ID]],student_data[],5,0)*5)+(VLOOKUP(Table7[[#This Row],[Student_ID]],student_data[],6,0)*3)+(VLOOKUP(Table7[[#This Row],[Student_ID]],student_skills[],6,0)*2)+(VLOOKUP(Table7[[#This Row],[Student_ID]],student_internships[],2,0)*5)</f>
        <v>65.55</v>
      </c>
      <c r="D999" s="1">
        <f>AVERAGE(VLOOKUP(Table7[[#This Row],[Student_ID]],student_skills[],3,0),VLOOKUP(Table7[[#This Row],[Student_ID]],student_skills[],4,0),VLOOKUP(Table7[[#This Row],[Student_ID]],student_skills[],5,0),VLOOKUP(Table7[[#This Row],[Student_ID]],student_skills[],6,0))</f>
        <v>7</v>
      </c>
      <c r="E999" s="1" t="str">
        <f>IF(VLOOKUP(Table7[[#This Row],[Student_ID]],student_internships[#All],2,0)&gt;1,"EXPERIENCED",IF(VLOOKUP(Table7[[#This Row],[Student_ID]],student_internships[#All],2,0)=1,"BEGINNER","NOT EXPERIENCED"))</f>
        <v>NOT EXPERIENCED</v>
      </c>
      <c r="F999" s="1">
        <f>VLOOKUP(Table7[[#This Row],[Student_ID]],student_data[],5,0)</f>
        <v>7.31</v>
      </c>
      <c r="G999" s="1">
        <f>VLOOKUP(Table7[[#This Row],[Student_ID]],student_data[#All],6,0)</f>
        <v>3</v>
      </c>
      <c r="H999" s="1">
        <f>VLOOKUP(Table7[[#This Row],[Student_ID]],student_internships[],2,0)</f>
        <v>0</v>
      </c>
      <c r="I999" s="1">
        <f>VLOOKUP(Table7[[#This Row],[Student_ID]],Placements!A999:E1998,5,0)</f>
        <v>5.13</v>
      </c>
      <c r="J999" s="1" t="str">
        <f>IF(VLOOKUP(Table7[[#This Row],[Student_ID]],student_data[#All],5,0)&gt;8,"HIGH",IF(VLOOKUP(Table7[[#This Row],[Student_ID]],student_data[#All],5,0)&lt;6.5,"LOW","MEDIUM"))</f>
        <v>MEDIUM</v>
      </c>
    </row>
    <row r="1000" spans="1:10" x14ac:dyDescent="0.2">
      <c r="A1000" s="1" t="s">
        <v>1009</v>
      </c>
      <c r="B1000" s="1" t="str">
        <f>VLOOKUP(Table7[[#This Row],[Student_ID]],student_data[#All],2,0)</f>
        <v>Computer Science</v>
      </c>
      <c r="C1000" s="1">
        <f>(VLOOKUP(Table7[[#This Row],[Student_ID]],student_data[],5,0)*5)+(VLOOKUP(Table7[[#This Row],[Student_ID]],student_data[],6,0)*3)+(VLOOKUP(Table7[[#This Row],[Student_ID]],student_skills[],6,0)*2)+(VLOOKUP(Table7[[#This Row],[Student_ID]],student_internships[],2,0)*5)</f>
        <v>78.5</v>
      </c>
      <c r="D1000" s="1">
        <f>AVERAGE(VLOOKUP(Table7[[#This Row],[Student_ID]],student_skills[],3,0),VLOOKUP(Table7[[#This Row],[Student_ID]],student_skills[],4,0),VLOOKUP(Table7[[#This Row],[Student_ID]],student_skills[],5,0),VLOOKUP(Table7[[#This Row],[Student_ID]],student_skills[],6,0))</f>
        <v>7</v>
      </c>
      <c r="E1000" s="1" t="str">
        <f>IF(VLOOKUP(Table7[[#This Row],[Student_ID]],student_internships[#All],2,0)&gt;1,"EXPERIENCED",IF(VLOOKUP(Table7[[#This Row],[Student_ID]],student_internships[#All],2,0)=1,"BEGINNER","NOT EXPERIENCED"))</f>
        <v>EXPERIENCED</v>
      </c>
      <c r="F1000" s="1">
        <f>VLOOKUP(Table7[[#This Row],[Student_ID]],student_data[],5,0)</f>
        <v>9.6999999999999993</v>
      </c>
      <c r="G1000" s="1">
        <f>VLOOKUP(Table7[[#This Row],[Student_ID]],student_data[#All],6,0)</f>
        <v>1</v>
      </c>
      <c r="H1000" s="1">
        <f>VLOOKUP(Table7[[#This Row],[Student_ID]],student_internships[],2,0)</f>
        <v>3</v>
      </c>
      <c r="I1000" s="1">
        <f>VLOOKUP(Table7[[#This Row],[Student_ID]],Placements!A1000:E1999,5,0)</f>
        <v>5.19</v>
      </c>
      <c r="J1000" s="1" t="str">
        <f>IF(VLOOKUP(Table7[[#This Row],[Student_ID]],student_data[#All],5,0)&gt;8,"HIGH",IF(VLOOKUP(Table7[[#This Row],[Student_ID]],student_data[#All],5,0)&lt;6.5,"LOW","MEDIUM"))</f>
        <v>HIGH</v>
      </c>
    </row>
    <row r="1001" spans="1:10" x14ac:dyDescent="0.2">
      <c r="A1001" s="1" t="s">
        <v>1010</v>
      </c>
      <c r="B1001" s="1" t="str">
        <f>VLOOKUP(Table7[[#This Row],[Student_ID]],student_data[#All],2,0)</f>
        <v>Computer Science</v>
      </c>
      <c r="C1001" s="1">
        <f>(VLOOKUP(Table7[[#This Row],[Student_ID]],student_data[],5,0)*5)+(VLOOKUP(Table7[[#This Row],[Student_ID]],student_data[],6,0)*3)+(VLOOKUP(Table7[[#This Row],[Student_ID]],student_skills[],6,0)*2)+(VLOOKUP(Table7[[#This Row],[Student_ID]],student_internships[],2,0)*5)</f>
        <v>69.599999999999994</v>
      </c>
      <c r="D1001" s="1">
        <f>AVERAGE(VLOOKUP(Table7[[#This Row],[Student_ID]],student_skills[],3,0),VLOOKUP(Table7[[#This Row],[Student_ID]],student_skills[],4,0),VLOOKUP(Table7[[#This Row],[Student_ID]],student_skills[],5,0),VLOOKUP(Table7[[#This Row],[Student_ID]],student_skills[],6,0))</f>
        <v>6</v>
      </c>
      <c r="E1001" s="1" t="str">
        <f>IF(VLOOKUP(Table7[[#This Row],[Student_ID]],student_internships[#All],2,0)&gt;1,"EXPERIENCED",IF(VLOOKUP(Table7[[#This Row],[Student_ID]],student_internships[#All],2,0)=1,"BEGINNER","NOT EXPERIENCED"))</f>
        <v>NOT EXPERIENCED</v>
      </c>
      <c r="F1001" s="1">
        <f>VLOOKUP(Table7[[#This Row],[Student_ID]],student_data[],5,0)</f>
        <v>7.52</v>
      </c>
      <c r="G1001" s="1">
        <f>VLOOKUP(Table7[[#This Row],[Student_ID]],student_data[#All],6,0)</f>
        <v>4</v>
      </c>
      <c r="H1001" s="1">
        <f>VLOOKUP(Table7[[#This Row],[Student_ID]],student_internships[],2,0)</f>
        <v>0</v>
      </c>
      <c r="I1001" s="1">
        <f>VLOOKUP(Table7[[#This Row],[Student_ID]],Placements!A1001:E2000,5,0)</f>
        <v>4.5</v>
      </c>
      <c r="J1001" s="1" t="str">
        <f>IF(VLOOKUP(Table7[[#This Row],[Student_ID]],student_data[#All],5,0)&gt;8,"HIGH",IF(VLOOKUP(Table7[[#This Row],[Student_ID]],student_data[#All],5,0)&lt;6.5,"LOW","MEDIUM"))</f>
        <v>MEDIUM</v>
      </c>
    </row>
    <row r="1002" spans="1:10" x14ac:dyDescent="0.2">
      <c r="A1002" s="1" t="s">
        <v>1011</v>
      </c>
      <c r="B1002" s="1" t="str">
        <f>VLOOKUP(Table7[[#This Row],[Student_ID]],student_data[#All],2,0)</f>
        <v>Civil</v>
      </c>
      <c r="C1002" s="1">
        <f>(VLOOKUP(Table7[[#This Row],[Student_ID]],student_data[],5,0)*5)+(VLOOKUP(Table7[[#This Row],[Student_ID]],student_data[],6,0)*3)+(VLOOKUP(Table7[[#This Row],[Student_ID]],student_skills[],6,0)*2)+(VLOOKUP(Table7[[#This Row],[Student_ID]],student_internships[],2,0)*5)</f>
        <v>91.75</v>
      </c>
      <c r="D1002" s="1">
        <f>AVERAGE(VLOOKUP(Table7[[#This Row],[Student_ID]],student_skills[],3,0),VLOOKUP(Table7[[#This Row],[Student_ID]],student_skills[],4,0),VLOOKUP(Table7[[#This Row],[Student_ID]],student_skills[],5,0),VLOOKUP(Table7[[#This Row],[Student_ID]],student_skills[],6,0))</f>
        <v>5.25</v>
      </c>
      <c r="E1002" s="1" t="str">
        <f>IF(VLOOKUP(Table7[[#This Row],[Student_ID]],student_internships[#All],2,0)&gt;1,"EXPERIENCED",IF(VLOOKUP(Table7[[#This Row],[Student_ID]],student_internships[#All],2,0)=1,"BEGINNER","NOT EXPERIENCED"))</f>
        <v>EXPERIENCED</v>
      </c>
      <c r="F1002" s="1">
        <f>VLOOKUP(Table7[[#This Row],[Student_ID]],student_data[],5,0)</f>
        <v>9.75</v>
      </c>
      <c r="G1002" s="1">
        <f>VLOOKUP(Table7[[#This Row],[Student_ID]],student_data[#All],6,0)</f>
        <v>4</v>
      </c>
      <c r="H1002" s="1">
        <f>VLOOKUP(Table7[[#This Row],[Student_ID]],student_internships[],2,0)</f>
        <v>3</v>
      </c>
      <c r="I1002" s="1">
        <f>VLOOKUP(Table7[[#This Row],[Student_ID]],Placements!A1002:E2001,5,0)</f>
        <v>4.1900000000000004</v>
      </c>
      <c r="J1002" s="1" t="str">
        <f>IF(VLOOKUP(Table7[[#This Row],[Student_ID]],student_data[#All],5,0)&gt;8,"HIGH",IF(VLOOKUP(Table7[[#This Row],[Student_ID]],student_data[#All],5,0)&lt;6.5,"LOW","MEDIUM"))</f>
        <v>HIGH</v>
      </c>
    </row>
    <row r="1003" spans="1:10" x14ac:dyDescent="0.2">
      <c r="A1003" s="1" t="s">
        <v>1012</v>
      </c>
      <c r="B1003" s="1" t="str">
        <f>VLOOKUP(Table7[[#This Row],[Student_ID]],student_data[#All],2,0)</f>
        <v>Mechanical</v>
      </c>
      <c r="C1003" s="1">
        <f>(VLOOKUP(Table7[[#This Row],[Student_ID]],student_data[],5,0)*5)+(VLOOKUP(Table7[[#This Row],[Student_ID]],student_data[],6,0)*3)+(VLOOKUP(Table7[[#This Row],[Student_ID]],student_skills[],6,0)*2)+(VLOOKUP(Table7[[#This Row],[Student_ID]],student_internships[],2,0)*5)</f>
        <v>64.8</v>
      </c>
      <c r="D1003" s="1">
        <f>AVERAGE(VLOOKUP(Table7[[#This Row],[Student_ID]],student_skills[],3,0),VLOOKUP(Table7[[#This Row],[Student_ID]],student_skills[],4,0),VLOOKUP(Table7[[#This Row],[Student_ID]],student_skills[],5,0),VLOOKUP(Table7[[#This Row],[Student_ID]],student_skills[],6,0))</f>
        <v>5.75</v>
      </c>
      <c r="E1003" s="1" t="str">
        <f>IF(VLOOKUP(Table7[[#This Row],[Student_ID]],student_internships[#All],2,0)&gt;1,"EXPERIENCED",IF(VLOOKUP(Table7[[#This Row],[Student_ID]],student_internships[#All],2,0)=1,"BEGINNER","NOT EXPERIENCED"))</f>
        <v>BEGINNER</v>
      </c>
      <c r="F1003" s="1">
        <f>VLOOKUP(Table7[[#This Row],[Student_ID]],student_data[],5,0)</f>
        <v>9.16</v>
      </c>
      <c r="G1003" s="1">
        <f>VLOOKUP(Table7[[#This Row],[Student_ID]],student_data[#All],6,0)</f>
        <v>2</v>
      </c>
      <c r="H1003" s="1">
        <f>VLOOKUP(Table7[[#This Row],[Student_ID]],student_internships[],2,0)</f>
        <v>1</v>
      </c>
      <c r="I1003" s="1">
        <f>VLOOKUP(Table7[[#This Row],[Student_ID]],Placements!A1003:E2002,5,0)</f>
        <v>4.1100000000000003</v>
      </c>
      <c r="J1003" s="1" t="str">
        <f>IF(VLOOKUP(Table7[[#This Row],[Student_ID]],student_data[#All],5,0)&gt;8,"HIGH",IF(VLOOKUP(Table7[[#This Row],[Student_ID]],student_data[#All],5,0)&lt;6.5,"LOW","MEDIUM"))</f>
        <v>HIGH</v>
      </c>
    </row>
  </sheetData>
  <mergeCells count="1">
    <mergeCell ref="A1:J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DCD7-7D9C-D040-9090-DEB05922D581}">
  <dimension ref="A3:I65"/>
  <sheetViews>
    <sheetView workbookViewId="0">
      <selection activeCell="F25" sqref="F25"/>
    </sheetView>
  </sheetViews>
  <sheetFormatPr baseColWidth="10" defaultRowHeight="16" x14ac:dyDescent="0.2"/>
  <cols>
    <col min="1" max="1" width="20" bestFit="1" customWidth="1"/>
    <col min="2" max="2" width="17.6640625" bestFit="1" customWidth="1"/>
    <col min="3" max="3" width="26" bestFit="1" customWidth="1"/>
    <col min="4" max="4" width="19.83203125" bestFit="1" customWidth="1"/>
    <col min="5" max="5" width="21.83203125" bestFit="1" customWidth="1"/>
    <col min="6" max="7" width="20" bestFit="1" customWidth="1"/>
    <col min="8" max="8" width="21" bestFit="1" customWidth="1"/>
    <col min="9" max="9" width="19.83203125" bestFit="1" customWidth="1"/>
    <col min="10" max="10" width="21" bestFit="1" customWidth="1"/>
    <col min="11" max="11" width="15.1640625" bestFit="1" customWidth="1"/>
    <col min="12" max="12" width="21.83203125" bestFit="1" customWidth="1"/>
    <col min="13" max="13" width="23.33203125" bestFit="1" customWidth="1"/>
  </cols>
  <sheetData>
    <row r="3" spans="1:9" x14ac:dyDescent="0.2">
      <c r="A3" s="4" t="s">
        <v>1053</v>
      </c>
      <c r="B3" t="s">
        <v>1052</v>
      </c>
      <c r="C3" t="s">
        <v>1055</v>
      </c>
      <c r="D3" t="s">
        <v>1072</v>
      </c>
    </row>
    <row r="4" spans="1:9" x14ac:dyDescent="0.2">
      <c r="A4" s="5" t="s">
        <v>7</v>
      </c>
      <c r="B4">
        <v>206</v>
      </c>
      <c r="C4">
        <v>7.8144660194174786</v>
      </c>
      <c r="D4">
        <v>2.563106796116505</v>
      </c>
      <c r="H4" t="s">
        <v>1059</v>
      </c>
      <c r="I4">
        <f>SUM(B4:B8)</f>
        <v>1000</v>
      </c>
    </row>
    <row r="5" spans="1:9" x14ac:dyDescent="0.2">
      <c r="A5" s="5" t="s">
        <v>31</v>
      </c>
      <c r="B5">
        <v>210</v>
      </c>
      <c r="C5">
        <v>7.5794761904761865</v>
      </c>
      <c r="D5">
        <v>2.480952380952381</v>
      </c>
      <c r="H5" t="s">
        <v>1060</v>
      </c>
      <c r="I5">
        <f>COUNT(B4:B8)</f>
        <v>5</v>
      </c>
    </row>
    <row r="6" spans="1:9" x14ac:dyDescent="0.2">
      <c r="A6" s="5" t="s">
        <v>16</v>
      </c>
      <c r="B6">
        <v>190</v>
      </c>
      <c r="C6">
        <v>7.4174210526315809</v>
      </c>
      <c r="D6">
        <v>2.6210526315789475</v>
      </c>
      <c r="H6" t="s">
        <v>1061</v>
      </c>
      <c r="I6" s="8">
        <f>AVERAGE(C4:C8)</f>
        <v>7.5897398351675873</v>
      </c>
    </row>
    <row r="7" spans="1:9" x14ac:dyDescent="0.2">
      <c r="A7" s="5" t="s">
        <v>10</v>
      </c>
      <c r="B7">
        <v>204</v>
      </c>
      <c r="C7">
        <v>7.6554411764705863</v>
      </c>
      <c r="D7">
        <v>2.5441176470588234</v>
      </c>
      <c r="H7" t="s">
        <v>1062</v>
      </c>
      <c r="I7" s="8">
        <f>AVERAGE(D4:D8)</f>
        <v>2.5744774700886999</v>
      </c>
    </row>
    <row r="8" spans="1:9" x14ac:dyDescent="0.2">
      <c r="A8" s="5" t="s">
        <v>12</v>
      </c>
      <c r="B8">
        <v>190</v>
      </c>
      <c r="C8">
        <v>7.4818947368421016</v>
      </c>
      <c r="D8">
        <v>2.6631578947368419</v>
      </c>
      <c r="H8" t="s">
        <v>1063</v>
      </c>
      <c r="I8" s="8">
        <f>AVERAGE(D23:D27)</f>
        <v>5.4529221325730095</v>
      </c>
    </row>
    <row r="9" spans="1:9" x14ac:dyDescent="0.2">
      <c r="H9" t="s">
        <v>1064</v>
      </c>
      <c r="I9">
        <f>SUM(C31:C35)</f>
        <v>1069</v>
      </c>
    </row>
    <row r="10" spans="1:9" x14ac:dyDescent="0.2">
      <c r="H10" t="s">
        <v>1065</v>
      </c>
      <c r="I10">
        <f>F40</f>
        <v>779</v>
      </c>
    </row>
    <row r="11" spans="1:9" x14ac:dyDescent="0.2">
      <c r="H11" t="s">
        <v>1066</v>
      </c>
      <c r="I11" s="8">
        <f>AVERAGE(C40:C44)</f>
        <v>4.2942795429464597</v>
      </c>
    </row>
    <row r="12" spans="1:9" x14ac:dyDescent="0.2">
      <c r="H12" t="s">
        <v>1067</v>
      </c>
      <c r="I12">
        <f>MAX(D40:D44)</f>
        <v>39.06</v>
      </c>
    </row>
    <row r="13" spans="1:9" x14ac:dyDescent="0.2">
      <c r="H13" t="s">
        <v>1068</v>
      </c>
      <c r="I13" s="8">
        <f>AVERAGE(C23:C27)</f>
        <v>61.840158349185344</v>
      </c>
    </row>
    <row r="14" spans="1:9" x14ac:dyDescent="0.2">
      <c r="H14" t="s">
        <v>1069</v>
      </c>
      <c r="I14" s="7">
        <f>I10/I4</f>
        <v>0.77900000000000003</v>
      </c>
    </row>
    <row r="22" spans="1:4" x14ac:dyDescent="0.2">
      <c r="A22" s="4" t="s">
        <v>1053</v>
      </c>
      <c r="B22" t="s">
        <v>1052</v>
      </c>
      <c r="C22" t="s">
        <v>1056</v>
      </c>
      <c r="D22" t="s">
        <v>1057</v>
      </c>
    </row>
    <row r="23" spans="1:4" x14ac:dyDescent="0.2">
      <c r="A23" s="5" t="s">
        <v>7</v>
      </c>
      <c r="B23">
        <v>206</v>
      </c>
      <c r="C23">
        <v>62.489805825242705</v>
      </c>
      <c r="D23">
        <v>5.3980582524271847</v>
      </c>
    </row>
    <row r="24" spans="1:4" x14ac:dyDescent="0.2">
      <c r="A24" s="5" t="s">
        <v>31</v>
      </c>
      <c r="B24">
        <v>210</v>
      </c>
      <c r="C24">
        <v>61.425952380952403</v>
      </c>
      <c r="D24">
        <v>5.2214285714285715</v>
      </c>
    </row>
    <row r="25" spans="1:4" x14ac:dyDescent="0.2">
      <c r="A25" s="5" t="s">
        <v>16</v>
      </c>
      <c r="B25">
        <v>190</v>
      </c>
      <c r="C25">
        <v>61.508157894736819</v>
      </c>
      <c r="D25">
        <v>5.685526315789474</v>
      </c>
    </row>
    <row r="26" spans="1:4" x14ac:dyDescent="0.2">
      <c r="A26" s="5" t="s">
        <v>10</v>
      </c>
      <c r="B26">
        <v>204</v>
      </c>
      <c r="C26">
        <v>62.767401960784312</v>
      </c>
      <c r="D26">
        <v>5.4411764705882355</v>
      </c>
    </row>
    <row r="27" spans="1:4" x14ac:dyDescent="0.2">
      <c r="A27" s="5" t="s">
        <v>12</v>
      </c>
      <c r="B27">
        <v>190</v>
      </c>
      <c r="C27">
        <v>61.009473684210512</v>
      </c>
      <c r="D27">
        <v>5.5184210526315791</v>
      </c>
    </row>
    <row r="30" spans="1:4" x14ac:dyDescent="0.2">
      <c r="A30" s="4" t="s">
        <v>1053</v>
      </c>
      <c r="B30" t="s">
        <v>1052</v>
      </c>
      <c r="C30" t="s">
        <v>1073</v>
      </c>
    </row>
    <row r="31" spans="1:4" x14ac:dyDescent="0.2">
      <c r="A31" s="5" t="s">
        <v>7</v>
      </c>
      <c r="B31">
        <v>206</v>
      </c>
      <c r="C31">
        <v>198</v>
      </c>
    </row>
    <row r="32" spans="1:4" x14ac:dyDescent="0.2">
      <c r="A32" s="5" t="s">
        <v>31</v>
      </c>
      <c r="B32">
        <v>210</v>
      </c>
      <c r="C32">
        <v>240</v>
      </c>
    </row>
    <row r="33" spans="1:7" x14ac:dyDescent="0.2">
      <c r="A33" s="5" t="s">
        <v>16</v>
      </c>
      <c r="B33">
        <v>190</v>
      </c>
      <c r="C33">
        <v>198</v>
      </c>
    </row>
    <row r="34" spans="1:7" x14ac:dyDescent="0.2">
      <c r="A34" s="5" t="s">
        <v>10</v>
      </c>
      <c r="B34">
        <v>204</v>
      </c>
      <c r="C34">
        <v>243</v>
      </c>
    </row>
    <row r="35" spans="1:7" x14ac:dyDescent="0.2">
      <c r="A35" s="5" t="s">
        <v>12</v>
      </c>
      <c r="B35">
        <v>190</v>
      </c>
      <c r="C35">
        <v>190</v>
      </c>
    </row>
    <row r="37" spans="1:7" x14ac:dyDescent="0.2">
      <c r="F37" s="4" t="s">
        <v>1028</v>
      </c>
      <c r="G37" t="s">
        <v>1031</v>
      </c>
    </row>
    <row r="39" spans="1:7" x14ac:dyDescent="0.2">
      <c r="A39" s="4" t="s">
        <v>1053</v>
      </c>
      <c r="B39" t="s">
        <v>1052</v>
      </c>
      <c r="C39" t="s">
        <v>1058</v>
      </c>
      <c r="D39" t="s">
        <v>1074</v>
      </c>
      <c r="F39" t="s">
        <v>1052</v>
      </c>
    </row>
    <row r="40" spans="1:7" x14ac:dyDescent="0.2">
      <c r="A40" s="5" t="s">
        <v>7</v>
      </c>
      <c r="B40">
        <v>206</v>
      </c>
      <c r="C40">
        <v>4.2715533980582538</v>
      </c>
      <c r="D40">
        <v>39.06</v>
      </c>
      <c r="F40">
        <v>779</v>
      </c>
    </row>
    <row r="41" spans="1:7" x14ac:dyDescent="0.2">
      <c r="A41" s="5" t="s">
        <v>31</v>
      </c>
      <c r="B41">
        <v>210</v>
      </c>
      <c r="C41">
        <v>3.9413809523809546</v>
      </c>
      <c r="D41">
        <v>14.61</v>
      </c>
    </row>
    <row r="42" spans="1:7" x14ac:dyDescent="0.2">
      <c r="A42" s="5" t="s">
        <v>16</v>
      </c>
      <c r="B42">
        <v>190</v>
      </c>
      <c r="C42">
        <v>4.7614736842105287</v>
      </c>
      <c r="D42">
        <v>36.56</v>
      </c>
    </row>
    <row r="43" spans="1:7" x14ac:dyDescent="0.2">
      <c r="A43" s="5" t="s">
        <v>10</v>
      </c>
      <c r="B43">
        <v>204</v>
      </c>
      <c r="C43">
        <v>4.0915686274509806</v>
      </c>
      <c r="D43">
        <v>34.450000000000003</v>
      </c>
    </row>
    <row r="44" spans="1:7" x14ac:dyDescent="0.2">
      <c r="A44" s="5" t="s">
        <v>12</v>
      </c>
      <c r="B44">
        <v>190</v>
      </c>
      <c r="C44">
        <v>4.4054210526315805</v>
      </c>
      <c r="D44">
        <v>25.43</v>
      </c>
    </row>
    <row r="49" spans="1:8" x14ac:dyDescent="0.2">
      <c r="A49" s="4" t="s">
        <v>1053</v>
      </c>
      <c r="B49" t="s">
        <v>1055</v>
      </c>
      <c r="D49" s="4" t="s">
        <v>1053</v>
      </c>
      <c r="E49" t="s">
        <v>1072</v>
      </c>
      <c r="G49" s="4" t="s">
        <v>1053</v>
      </c>
      <c r="H49" t="s">
        <v>1073</v>
      </c>
    </row>
    <row r="50" spans="1:8" x14ac:dyDescent="0.2">
      <c r="A50" s="5" t="s">
        <v>7</v>
      </c>
      <c r="B50">
        <v>7.8144660194174786</v>
      </c>
      <c r="D50" s="5" t="s">
        <v>7</v>
      </c>
      <c r="E50">
        <v>2.563106796116505</v>
      </c>
      <c r="G50" s="5" t="s">
        <v>7</v>
      </c>
      <c r="H50">
        <v>198</v>
      </c>
    </row>
    <row r="51" spans="1:8" x14ac:dyDescent="0.2">
      <c r="A51" s="5" t="s">
        <v>31</v>
      </c>
      <c r="B51">
        <v>7.5794761904761865</v>
      </c>
      <c r="D51" s="5" t="s">
        <v>31</v>
      </c>
      <c r="E51">
        <v>2.480952380952381</v>
      </c>
      <c r="G51" s="5" t="s">
        <v>31</v>
      </c>
      <c r="H51">
        <v>240</v>
      </c>
    </row>
    <row r="52" spans="1:8" x14ac:dyDescent="0.2">
      <c r="A52" s="5" t="s">
        <v>16</v>
      </c>
      <c r="B52">
        <v>7.4174210526315809</v>
      </c>
      <c r="D52" s="5" t="s">
        <v>16</v>
      </c>
      <c r="E52">
        <v>2.6210526315789475</v>
      </c>
      <c r="G52" s="5" t="s">
        <v>16</v>
      </c>
      <c r="H52">
        <v>198</v>
      </c>
    </row>
    <row r="53" spans="1:8" x14ac:dyDescent="0.2">
      <c r="A53" s="5" t="s">
        <v>10</v>
      </c>
      <c r="B53">
        <v>7.6554411764705863</v>
      </c>
      <c r="D53" s="5" t="s">
        <v>10</v>
      </c>
      <c r="E53">
        <v>2.5441176470588234</v>
      </c>
      <c r="G53" s="5" t="s">
        <v>10</v>
      </c>
      <c r="H53">
        <v>243</v>
      </c>
    </row>
    <row r="54" spans="1:8" x14ac:dyDescent="0.2">
      <c r="A54" s="5" t="s">
        <v>12</v>
      </c>
      <c r="B54">
        <v>7.4818947368421016</v>
      </c>
      <c r="D54" s="5" t="s">
        <v>12</v>
      </c>
      <c r="E54">
        <v>2.6631578947368419</v>
      </c>
      <c r="G54" s="5" t="s">
        <v>12</v>
      </c>
      <c r="H54">
        <v>190</v>
      </c>
    </row>
    <row r="55" spans="1:8" x14ac:dyDescent="0.2">
      <c r="A55" s="5" t="s">
        <v>1054</v>
      </c>
      <c r="B55">
        <v>7.5940499999999949</v>
      </c>
      <c r="D55" s="5" t="s">
        <v>1054</v>
      </c>
      <c r="E55">
        <v>2.5720000000000001</v>
      </c>
      <c r="G55" s="5" t="s">
        <v>1054</v>
      </c>
      <c r="H55">
        <v>1069</v>
      </c>
    </row>
    <row r="59" spans="1:8" x14ac:dyDescent="0.2">
      <c r="A59" s="4" t="s">
        <v>1053</v>
      </c>
      <c r="B59" t="s">
        <v>1058</v>
      </c>
    </row>
    <row r="60" spans="1:8" x14ac:dyDescent="0.2">
      <c r="A60" s="5" t="s">
        <v>7</v>
      </c>
      <c r="B60">
        <v>4.2715533980582538</v>
      </c>
    </row>
    <row r="61" spans="1:8" x14ac:dyDescent="0.2">
      <c r="A61" s="5" t="s">
        <v>31</v>
      </c>
      <c r="B61">
        <v>3.9413809523809546</v>
      </c>
    </row>
    <row r="62" spans="1:8" x14ac:dyDescent="0.2">
      <c r="A62" s="5" t="s">
        <v>16</v>
      </c>
      <c r="B62">
        <v>4.7614736842105287</v>
      </c>
    </row>
    <row r="63" spans="1:8" x14ac:dyDescent="0.2">
      <c r="A63" s="5" t="s">
        <v>10</v>
      </c>
      <c r="B63">
        <v>4.0915686274509806</v>
      </c>
    </row>
    <row r="64" spans="1:8" x14ac:dyDescent="0.2">
      <c r="A64" s="5" t="s">
        <v>12</v>
      </c>
      <c r="B64">
        <v>4.4054210526315805</v>
      </c>
    </row>
    <row r="65" spans="1:2" x14ac:dyDescent="0.2">
      <c r="A65" s="5" t="s">
        <v>1054</v>
      </c>
      <c r="B65">
        <v>4.2840199999999955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86553-CA81-E24C-9486-0628C81D88BC}">
  <dimension ref="F3:X51"/>
  <sheetViews>
    <sheetView topLeftCell="A2" zoomScale="75" zoomScaleNormal="84" workbookViewId="0">
      <selection activeCell="AA18" sqref="AA18"/>
    </sheetView>
  </sheetViews>
  <sheetFormatPr baseColWidth="10" defaultRowHeight="16" x14ac:dyDescent="0.2"/>
  <sheetData>
    <row r="3" spans="6:24" x14ac:dyDescent="0.2">
      <c r="F3" s="9"/>
      <c r="G3" s="9"/>
      <c r="H3" s="9"/>
      <c r="I3" s="9"/>
      <c r="J3" s="9"/>
      <c r="K3" s="9"/>
      <c r="L3" s="9"/>
      <c r="M3" s="9"/>
      <c r="N3" s="9"/>
      <c r="O3" s="9"/>
      <c r="P3" s="9"/>
      <c r="Q3" s="9"/>
      <c r="R3" s="9"/>
      <c r="S3" s="9"/>
      <c r="T3" s="9"/>
      <c r="U3" s="9"/>
      <c r="V3" s="9"/>
      <c r="W3" s="9"/>
      <c r="X3" s="9"/>
    </row>
    <row r="4" spans="6:24" x14ac:dyDescent="0.2">
      <c r="F4" s="9"/>
      <c r="G4" s="9"/>
      <c r="H4" s="9"/>
      <c r="I4" s="9"/>
      <c r="J4" s="9"/>
      <c r="K4" s="9"/>
      <c r="L4" s="9"/>
      <c r="M4" s="9"/>
      <c r="N4" s="9"/>
      <c r="O4" s="9"/>
      <c r="P4" s="9"/>
      <c r="Q4" s="9"/>
      <c r="R4" s="9"/>
      <c r="S4" s="9"/>
      <c r="T4" s="9"/>
      <c r="U4" s="9"/>
      <c r="V4" s="9"/>
      <c r="W4" s="9"/>
      <c r="X4" s="9"/>
    </row>
    <row r="5" spans="6:24" x14ac:dyDescent="0.2">
      <c r="F5" s="9"/>
      <c r="G5" s="9"/>
      <c r="H5" s="9"/>
      <c r="I5" s="9"/>
      <c r="J5" s="9"/>
      <c r="K5" s="9"/>
      <c r="L5" s="9"/>
      <c r="M5" s="9"/>
      <c r="N5" s="9"/>
      <c r="O5" s="9"/>
      <c r="P5" s="9"/>
      <c r="Q5" s="9"/>
      <c r="R5" s="9"/>
      <c r="S5" s="9"/>
      <c r="T5" s="9"/>
      <c r="U5" s="9"/>
      <c r="V5" s="9"/>
      <c r="W5" s="9"/>
      <c r="X5" s="9"/>
    </row>
    <row r="6" spans="6:24" x14ac:dyDescent="0.2">
      <c r="F6" s="9"/>
      <c r="G6" s="9"/>
      <c r="H6" s="9"/>
      <c r="I6" s="9"/>
      <c r="J6" s="9"/>
      <c r="K6" s="9"/>
      <c r="L6" s="9"/>
      <c r="M6" s="9"/>
      <c r="N6" s="9"/>
      <c r="O6" s="9"/>
      <c r="P6" s="9"/>
      <c r="Q6" s="9"/>
      <c r="R6" s="9"/>
      <c r="S6" s="9"/>
      <c r="T6" s="9"/>
      <c r="U6" s="9"/>
      <c r="V6" s="9"/>
      <c r="W6" s="9"/>
      <c r="X6" s="9"/>
    </row>
    <row r="7" spans="6:24" x14ac:dyDescent="0.2">
      <c r="F7" s="9"/>
      <c r="G7" s="9"/>
      <c r="H7" s="9"/>
      <c r="I7" s="9"/>
      <c r="J7" s="9"/>
      <c r="K7" s="9"/>
      <c r="L7" s="9"/>
      <c r="M7" s="9"/>
      <c r="N7" s="9"/>
      <c r="O7" s="9"/>
      <c r="P7" s="9"/>
      <c r="Q7" s="9"/>
      <c r="R7" s="9"/>
      <c r="S7" s="9"/>
      <c r="T7" s="9"/>
      <c r="U7" s="9"/>
      <c r="V7" s="9"/>
      <c r="W7" s="9"/>
      <c r="X7" s="9"/>
    </row>
    <row r="8" spans="6:24" x14ac:dyDescent="0.2">
      <c r="F8" s="9"/>
      <c r="G8" s="9"/>
      <c r="H8" s="9"/>
      <c r="I8" s="9"/>
      <c r="J8" s="9"/>
      <c r="K8" s="9"/>
      <c r="L8" s="9"/>
      <c r="M8" s="9"/>
      <c r="N8" s="9"/>
      <c r="O8" s="9"/>
      <c r="P8" s="9"/>
      <c r="Q8" s="9"/>
      <c r="R8" s="9"/>
      <c r="S8" s="9"/>
      <c r="T8" s="9"/>
      <c r="U8" s="9"/>
      <c r="V8" s="9"/>
      <c r="W8" s="9"/>
      <c r="X8" s="9"/>
    </row>
    <row r="9" spans="6:24" x14ac:dyDescent="0.2">
      <c r="F9" s="9"/>
      <c r="G9" s="9"/>
      <c r="H9" s="9"/>
      <c r="I9" s="9"/>
      <c r="J9" s="9"/>
      <c r="K9" s="9"/>
      <c r="L9" s="9"/>
      <c r="M9" s="9"/>
      <c r="N9" s="9"/>
      <c r="O9" s="9"/>
      <c r="P9" s="9"/>
      <c r="Q9" s="9"/>
      <c r="R9" s="9"/>
      <c r="S9" s="9"/>
      <c r="T9" s="9"/>
      <c r="U9" s="9"/>
      <c r="V9" s="9"/>
      <c r="W9" s="9"/>
      <c r="X9" s="9"/>
    </row>
    <row r="10" spans="6:24" x14ac:dyDescent="0.2">
      <c r="F10" s="9"/>
      <c r="G10" s="9"/>
      <c r="H10" s="9"/>
      <c r="I10" s="9"/>
      <c r="J10" s="9"/>
      <c r="K10" s="9"/>
      <c r="L10" s="9"/>
      <c r="M10" s="9"/>
      <c r="N10" s="9"/>
      <c r="O10" s="9"/>
      <c r="P10" s="9"/>
      <c r="Q10" s="9"/>
      <c r="R10" s="9"/>
      <c r="S10" s="9"/>
      <c r="T10" s="9"/>
      <c r="U10" s="9"/>
      <c r="V10" s="9"/>
      <c r="W10" s="9"/>
      <c r="X10" s="9"/>
    </row>
    <row r="11" spans="6:24" x14ac:dyDescent="0.2">
      <c r="F11" s="9"/>
      <c r="G11" s="9"/>
      <c r="H11" s="9"/>
      <c r="I11" s="9"/>
      <c r="J11" s="9"/>
      <c r="K11" s="9"/>
      <c r="L11" s="9"/>
      <c r="M11" s="9"/>
      <c r="N11" s="9"/>
      <c r="O11" s="9"/>
      <c r="P11" s="9"/>
      <c r="Q11" s="9"/>
      <c r="R11" s="9"/>
      <c r="S11" s="9"/>
      <c r="T11" s="9"/>
      <c r="U11" s="9"/>
      <c r="V11" s="9"/>
      <c r="W11" s="9"/>
      <c r="X11" s="9"/>
    </row>
    <row r="12" spans="6:24" x14ac:dyDescent="0.2">
      <c r="F12" s="9"/>
      <c r="G12" s="9"/>
      <c r="H12" s="9"/>
      <c r="I12" s="9"/>
      <c r="J12" s="9"/>
      <c r="K12" s="9"/>
      <c r="L12" s="9"/>
      <c r="M12" s="9"/>
      <c r="N12" s="9"/>
      <c r="O12" s="9"/>
      <c r="P12" s="9"/>
      <c r="Q12" s="9"/>
      <c r="R12" s="9"/>
      <c r="S12" s="9"/>
      <c r="T12" s="9"/>
      <c r="U12" s="9"/>
      <c r="V12" s="9"/>
      <c r="W12" s="9"/>
      <c r="X12" s="9"/>
    </row>
    <row r="13" spans="6:24" x14ac:dyDescent="0.2">
      <c r="F13" s="9"/>
      <c r="G13" s="9"/>
      <c r="H13" s="9"/>
      <c r="I13" s="9"/>
      <c r="J13" s="9"/>
      <c r="K13" s="9"/>
      <c r="L13" s="9"/>
      <c r="M13" s="9"/>
      <c r="N13" s="9"/>
      <c r="O13" s="9"/>
      <c r="P13" s="9"/>
      <c r="Q13" s="9"/>
      <c r="R13" s="9"/>
      <c r="S13" s="9"/>
      <c r="T13" s="9"/>
      <c r="U13" s="9"/>
      <c r="V13" s="9"/>
      <c r="W13" s="9"/>
      <c r="X13" s="9"/>
    </row>
    <row r="14" spans="6:24" x14ac:dyDescent="0.2">
      <c r="F14" s="9"/>
      <c r="G14" s="9"/>
      <c r="H14" s="9"/>
      <c r="I14" s="9"/>
      <c r="J14" s="9"/>
      <c r="K14" s="9"/>
      <c r="L14" s="9"/>
      <c r="M14" s="9"/>
      <c r="N14" s="9"/>
      <c r="O14" s="9"/>
      <c r="P14" s="9"/>
      <c r="Q14" s="9"/>
      <c r="R14" s="9"/>
      <c r="S14" s="9"/>
      <c r="T14" s="9"/>
      <c r="U14" s="9"/>
      <c r="V14" s="9"/>
      <c r="W14" s="9"/>
      <c r="X14" s="9"/>
    </row>
    <row r="15" spans="6:24" x14ac:dyDescent="0.2">
      <c r="F15" s="9"/>
      <c r="G15" s="9"/>
      <c r="H15" s="9"/>
      <c r="I15" s="9"/>
      <c r="J15" s="9"/>
      <c r="K15" s="9"/>
      <c r="L15" s="9"/>
      <c r="M15" s="9"/>
      <c r="N15" s="9"/>
      <c r="O15" s="9"/>
      <c r="P15" s="9"/>
      <c r="Q15" s="9"/>
      <c r="R15" s="9"/>
      <c r="S15" s="9"/>
      <c r="T15" s="9"/>
      <c r="U15" s="9"/>
      <c r="V15" s="9"/>
      <c r="W15" s="9"/>
      <c r="X15" s="9"/>
    </row>
    <row r="16" spans="6:24" x14ac:dyDescent="0.2">
      <c r="F16" s="9"/>
      <c r="G16" s="9"/>
      <c r="H16" s="9"/>
      <c r="I16" s="9"/>
      <c r="J16" s="9"/>
      <c r="K16" s="9"/>
      <c r="L16" s="9"/>
      <c r="M16" s="9"/>
      <c r="N16" s="9"/>
      <c r="O16" s="9"/>
      <c r="P16" s="9"/>
      <c r="Q16" s="9"/>
      <c r="R16" s="9"/>
      <c r="S16" s="9"/>
      <c r="T16" s="9"/>
      <c r="U16" s="9"/>
      <c r="V16" s="9"/>
      <c r="W16" s="9"/>
      <c r="X16" s="9"/>
    </row>
    <row r="17" spans="6:24" x14ac:dyDescent="0.2">
      <c r="F17" s="9"/>
      <c r="G17" s="9"/>
      <c r="H17" s="9"/>
      <c r="I17" s="9"/>
      <c r="J17" s="9"/>
      <c r="K17" s="9"/>
      <c r="L17" s="9"/>
      <c r="M17" s="9"/>
      <c r="N17" s="9"/>
      <c r="O17" s="9"/>
      <c r="P17" s="9"/>
      <c r="Q17" s="9"/>
      <c r="R17" s="9"/>
      <c r="S17" s="9"/>
      <c r="T17" s="9"/>
      <c r="U17" s="9"/>
      <c r="V17" s="9"/>
      <c r="W17" s="9"/>
      <c r="X17" s="9"/>
    </row>
    <row r="18" spans="6:24" x14ac:dyDescent="0.2">
      <c r="F18" s="9"/>
      <c r="G18" s="9"/>
      <c r="H18" s="9"/>
      <c r="I18" s="9"/>
      <c r="J18" s="9"/>
      <c r="K18" s="9"/>
      <c r="L18" s="9"/>
      <c r="M18" s="9"/>
      <c r="N18" s="9"/>
      <c r="O18" s="9"/>
      <c r="P18" s="9"/>
      <c r="Q18" s="9"/>
      <c r="R18" s="9"/>
      <c r="S18" s="9"/>
      <c r="T18" s="9"/>
      <c r="U18" s="9"/>
      <c r="V18" s="9"/>
      <c r="W18" s="9"/>
      <c r="X18" s="9"/>
    </row>
    <row r="19" spans="6:24" x14ac:dyDescent="0.2">
      <c r="F19" s="9"/>
      <c r="G19" s="9"/>
      <c r="H19" s="9"/>
      <c r="I19" s="9"/>
      <c r="J19" s="9"/>
      <c r="K19" s="9"/>
      <c r="L19" s="9"/>
      <c r="M19" s="9"/>
      <c r="N19" s="9"/>
      <c r="O19" s="9"/>
      <c r="P19" s="9"/>
      <c r="Q19" s="9"/>
      <c r="R19" s="9"/>
      <c r="S19" s="9"/>
      <c r="T19" s="9"/>
      <c r="U19" s="9"/>
      <c r="V19" s="9"/>
      <c r="W19" s="9"/>
      <c r="X19" s="9"/>
    </row>
    <row r="20" spans="6:24" x14ac:dyDescent="0.2">
      <c r="F20" s="9"/>
      <c r="G20" s="9"/>
      <c r="H20" s="9"/>
      <c r="I20" s="9"/>
      <c r="J20" s="9"/>
      <c r="K20" s="9"/>
      <c r="L20" s="9"/>
      <c r="M20" s="9"/>
      <c r="N20" s="9"/>
      <c r="O20" s="9"/>
      <c r="P20" s="9"/>
      <c r="Q20" s="9"/>
      <c r="R20" s="9"/>
      <c r="S20" s="9"/>
      <c r="T20" s="9"/>
      <c r="U20" s="9"/>
      <c r="V20" s="9"/>
      <c r="W20" s="9"/>
      <c r="X20" s="9"/>
    </row>
    <row r="21" spans="6:24" x14ac:dyDescent="0.2">
      <c r="F21" s="9"/>
      <c r="G21" s="9"/>
      <c r="H21" s="9"/>
      <c r="I21" s="9"/>
      <c r="J21" s="9"/>
      <c r="K21" s="9"/>
      <c r="L21" s="9"/>
      <c r="M21" s="9"/>
      <c r="N21" s="9"/>
      <c r="O21" s="9"/>
      <c r="P21" s="9"/>
      <c r="Q21" s="9"/>
      <c r="R21" s="9"/>
      <c r="S21" s="9"/>
      <c r="T21" s="9"/>
      <c r="U21" s="9"/>
      <c r="V21" s="9"/>
      <c r="W21" s="9"/>
      <c r="X21" s="9"/>
    </row>
    <row r="22" spans="6:24" x14ac:dyDescent="0.2">
      <c r="F22" s="9"/>
      <c r="G22" s="9"/>
      <c r="H22" s="9"/>
      <c r="I22" s="9"/>
      <c r="J22" s="9"/>
      <c r="K22" s="9"/>
      <c r="L22" s="9"/>
      <c r="M22" s="9"/>
      <c r="N22" s="9"/>
      <c r="O22" s="9"/>
      <c r="P22" s="9"/>
      <c r="Q22" s="9"/>
      <c r="R22" s="9"/>
      <c r="S22" s="9"/>
      <c r="T22" s="9"/>
      <c r="U22" s="9"/>
      <c r="V22" s="9"/>
      <c r="W22" s="9"/>
      <c r="X22" s="9"/>
    </row>
    <row r="23" spans="6:24" x14ac:dyDescent="0.2">
      <c r="F23" s="9"/>
      <c r="G23" s="9"/>
      <c r="H23" s="9"/>
      <c r="I23" s="9"/>
      <c r="J23" s="9"/>
      <c r="K23" s="9"/>
      <c r="L23" s="9"/>
      <c r="M23" s="9"/>
      <c r="N23" s="9"/>
      <c r="O23" s="9"/>
      <c r="P23" s="9"/>
      <c r="Q23" s="9"/>
      <c r="R23" s="9"/>
      <c r="S23" s="9"/>
      <c r="T23" s="9"/>
      <c r="U23" s="9"/>
      <c r="V23" s="9"/>
      <c r="W23" s="9"/>
      <c r="X23" s="9"/>
    </row>
    <row r="24" spans="6:24" x14ac:dyDescent="0.2">
      <c r="F24" s="9"/>
      <c r="G24" s="9"/>
      <c r="H24" s="9"/>
      <c r="I24" s="9"/>
      <c r="J24" s="9"/>
      <c r="K24" s="9"/>
      <c r="L24" s="9"/>
      <c r="M24" s="9"/>
      <c r="N24" s="9"/>
      <c r="O24" s="9"/>
      <c r="P24" s="9"/>
      <c r="Q24" s="9"/>
      <c r="R24" s="9"/>
      <c r="S24" s="9"/>
      <c r="T24" s="9"/>
      <c r="U24" s="9"/>
      <c r="V24" s="9"/>
      <c r="W24" s="9"/>
      <c r="X24" s="9"/>
    </row>
    <row r="25" spans="6:24" x14ac:dyDescent="0.2">
      <c r="F25" s="9"/>
      <c r="G25" s="9"/>
      <c r="H25" s="9"/>
      <c r="I25" s="9"/>
      <c r="J25" s="9"/>
      <c r="K25" s="9"/>
      <c r="L25" s="9"/>
      <c r="M25" s="9"/>
      <c r="N25" s="9"/>
      <c r="O25" s="9"/>
      <c r="P25" s="9"/>
      <c r="Q25" s="9"/>
      <c r="R25" s="9"/>
      <c r="S25" s="9"/>
      <c r="T25" s="9"/>
      <c r="U25" s="9"/>
      <c r="V25" s="9"/>
      <c r="W25" s="9"/>
      <c r="X25" s="9"/>
    </row>
    <row r="26" spans="6:24" x14ac:dyDescent="0.2">
      <c r="F26" s="9"/>
      <c r="G26" s="9"/>
      <c r="H26" s="9"/>
      <c r="I26" s="9"/>
      <c r="J26" s="9"/>
      <c r="K26" s="9"/>
      <c r="L26" s="9"/>
      <c r="M26" s="9"/>
      <c r="N26" s="9"/>
      <c r="O26" s="9"/>
      <c r="P26" s="9"/>
      <c r="Q26" s="9"/>
      <c r="R26" s="9"/>
      <c r="S26" s="9"/>
      <c r="T26" s="9"/>
      <c r="U26" s="9"/>
      <c r="V26" s="9"/>
      <c r="W26" s="9"/>
      <c r="X26" s="9"/>
    </row>
    <row r="27" spans="6:24" x14ac:dyDescent="0.2">
      <c r="F27" s="9"/>
      <c r="G27" s="9"/>
      <c r="H27" s="9"/>
      <c r="I27" s="9"/>
      <c r="J27" s="9"/>
      <c r="K27" s="9"/>
      <c r="L27" s="9"/>
      <c r="M27" s="9"/>
      <c r="N27" s="9"/>
      <c r="O27" s="9"/>
      <c r="P27" s="9"/>
      <c r="Q27" s="9"/>
      <c r="R27" s="9"/>
      <c r="S27" s="9"/>
      <c r="T27" s="9"/>
      <c r="U27" s="9"/>
      <c r="V27" s="9"/>
      <c r="W27" s="9"/>
      <c r="X27" s="9"/>
    </row>
    <row r="28" spans="6:24" x14ac:dyDescent="0.2">
      <c r="F28" s="9"/>
      <c r="G28" s="9"/>
      <c r="H28" s="9"/>
      <c r="I28" s="9"/>
      <c r="J28" s="9"/>
      <c r="K28" s="9"/>
      <c r="L28" s="9"/>
      <c r="M28" s="9"/>
      <c r="N28" s="9"/>
      <c r="O28" s="9"/>
      <c r="P28" s="9"/>
      <c r="Q28" s="9"/>
      <c r="R28" s="9"/>
      <c r="S28" s="9"/>
      <c r="T28" s="9"/>
      <c r="U28" s="9"/>
      <c r="V28" s="9"/>
      <c r="W28" s="9"/>
      <c r="X28" s="9"/>
    </row>
    <row r="29" spans="6:24" x14ac:dyDescent="0.2">
      <c r="F29" s="9"/>
      <c r="G29" s="9"/>
      <c r="H29" s="9"/>
      <c r="I29" s="9"/>
      <c r="J29" s="9"/>
      <c r="K29" s="9"/>
      <c r="L29" s="9"/>
      <c r="M29" s="9"/>
      <c r="N29" s="9"/>
      <c r="O29" s="9"/>
      <c r="P29" s="9"/>
      <c r="Q29" s="9"/>
      <c r="R29" s="9"/>
      <c r="S29" s="9"/>
      <c r="T29" s="9"/>
      <c r="U29" s="9"/>
      <c r="V29" s="9"/>
      <c r="W29" s="9"/>
      <c r="X29" s="9"/>
    </row>
    <row r="30" spans="6:24" x14ac:dyDescent="0.2">
      <c r="F30" s="9"/>
      <c r="G30" s="9"/>
      <c r="H30" s="9"/>
      <c r="I30" s="9"/>
      <c r="J30" s="9"/>
      <c r="K30" s="9"/>
      <c r="L30" s="9"/>
      <c r="M30" s="9"/>
      <c r="N30" s="9"/>
      <c r="O30" s="9"/>
      <c r="P30" s="9"/>
      <c r="Q30" s="9"/>
      <c r="R30" s="9"/>
      <c r="S30" s="9"/>
      <c r="T30" s="9"/>
      <c r="U30" s="9"/>
      <c r="V30" s="9"/>
      <c r="W30" s="9"/>
      <c r="X30" s="9"/>
    </row>
    <row r="31" spans="6:24" x14ac:dyDescent="0.2">
      <c r="F31" s="9"/>
      <c r="G31" s="9"/>
      <c r="H31" s="9"/>
      <c r="I31" s="9"/>
      <c r="J31" s="9"/>
      <c r="K31" s="9"/>
      <c r="L31" s="9"/>
      <c r="M31" s="9"/>
      <c r="N31" s="9"/>
      <c r="O31" s="9"/>
      <c r="P31" s="9"/>
      <c r="Q31" s="9"/>
      <c r="R31" s="9"/>
      <c r="S31" s="9"/>
      <c r="T31" s="9"/>
      <c r="U31" s="9"/>
      <c r="V31" s="9"/>
      <c r="W31" s="9"/>
      <c r="X31" s="9"/>
    </row>
    <row r="32" spans="6:24" x14ac:dyDescent="0.2">
      <c r="F32" s="9"/>
      <c r="G32" s="9"/>
      <c r="H32" s="9"/>
      <c r="I32" s="9"/>
      <c r="J32" s="9"/>
      <c r="K32" s="9"/>
      <c r="L32" s="9"/>
      <c r="M32" s="9"/>
      <c r="N32" s="9"/>
      <c r="O32" s="9"/>
      <c r="P32" s="9"/>
      <c r="Q32" s="9"/>
      <c r="R32" s="9"/>
      <c r="S32" s="9"/>
      <c r="T32" s="9"/>
      <c r="U32" s="9"/>
      <c r="V32" s="9"/>
      <c r="W32" s="9"/>
      <c r="X32" s="9"/>
    </row>
    <row r="33" spans="6:24" x14ac:dyDescent="0.2">
      <c r="F33" s="9"/>
      <c r="G33" s="9"/>
      <c r="H33" s="9"/>
      <c r="I33" s="9"/>
      <c r="J33" s="9"/>
      <c r="K33" s="9"/>
      <c r="L33" s="9"/>
      <c r="M33" s="9"/>
      <c r="N33" s="9"/>
      <c r="O33" s="9"/>
      <c r="P33" s="9"/>
      <c r="Q33" s="9"/>
      <c r="R33" s="9"/>
      <c r="S33" s="9"/>
      <c r="T33" s="9"/>
      <c r="U33" s="9"/>
      <c r="V33" s="9"/>
      <c r="W33" s="9"/>
      <c r="X33" s="9"/>
    </row>
    <row r="34" spans="6:24" x14ac:dyDescent="0.2">
      <c r="F34" s="9"/>
      <c r="G34" s="9"/>
      <c r="H34" s="9"/>
      <c r="I34" s="9"/>
      <c r="J34" s="9"/>
      <c r="K34" s="9"/>
      <c r="L34" s="9"/>
      <c r="M34" s="9"/>
      <c r="N34" s="9"/>
      <c r="O34" s="9"/>
      <c r="P34" s="9"/>
      <c r="Q34" s="9"/>
      <c r="R34" s="9"/>
      <c r="S34" s="9"/>
      <c r="T34" s="9"/>
      <c r="U34" s="9"/>
      <c r="V34" s="9"/>
      <c r="W34" s="9"/>
      <c r="X34" s="9"/>
    </row>
    <row r="35" spans="6:24" x14ac:dyDescent="0.2">
      <c r="F35" s="9"/>
      <c r="G35" s="9"/>
      <c r="H35" s="9"/>
      <c r="I35" s="9"/>
      <c r="J35" s="9"/>
      <c r="K35" s="9"/>
      <c r="L35" s="9"/>
      <c r="M35" s="9"/>
      <c r="N35" s="9"/>
      <c r="O35" s="9"/>
      <c r="P35" s="9"/>
      <c r="Q35" s="9"/>
      <c r="R35" s="9"/>
      <c r="S35" s="9"/>
      <c r="T35" s="9"/>
      <c r="U35" s="9"/>
      <c r="V35" s="9"/>
      <c r="W35" s="9"/>
      <c r="X35" s="9"/>
    </row>
    <row r="36" spans="6:24" x14ac:dyDescent="0.2">
      <c r="F36" s="9"/>
      <c r="G36" s="9"/>
      <c r="H36" s="9"/>
      <c r="I36" s="9"/>
      <c r="J36" s="9"/>
      <c r="K36" s="9"/>
      <c r="L36" s="9"/>
      <c r="M36" s="9"/>
      <c r="N36" s="9"/>
      <c r="O36" s="9"/>
      <c r="P36" s="9"/>
      <c r="Q36" s="9"/>
      <c r="R36" s="9"/>
      <c r="S36" s="9"/>
      <c r="T36" s="9"/>
      <c r="U36" s="9"/>
      <c r="V36" s="9"/>
      <c r="W36" s="9"/>
      <c r="X36" s="9"/>
    </row>
    <row r="37" spans="6:24" x14ac:dyDescent="0.2">
      <c r="F37" s="9"/>
      <c r="G37" s="9"/>
      <c r="H37" s="9"/>
      <c r="I37" s="9"/>
      <c r="J37" s="9"/>
      <c r="K37" s="9"/>
      <c r="L37" s="9"/>
      <c r="M37" s="9"/>
      <c r="N37" s="9"/>
      <c r="O37" s="9"/>
      <c r="P37" s="9"/>
      <c r="Q37" s="9"/>
      <c r="R37" s="9"/>
      <c r="S37" s="9"/>
      <c r="T37" s="9"/>
      <c r="U37" s="9"/>
      <c r="V37" s="9"/>
      <c r="W37" s="9"/>
      <c r="X37" s="9"/>
    </row>
    <row r="38" spans="6:24" x14ac:dyDescent="0.2">
      <c r="F38" s="9"/>
      <c r="G38" s="9"/>
      <c r="H38" s="9"/>
      <c r="I38" s="9"/>
      <c r="J38" s="9"/>
      <c r="K38" s="9"/>
      <c r="L38" s="9"/>
      <c r="M38" s="9"/>
      <c r="N38" s="9"/>
      <c r="O38" s="9"/>
      <c r="P38" s="9"/>
      <c r="Q38" s="9"/>
      <c r="R38" s="9"/>
      <c r="S38" s="9"/>
      <c r="T38" s="9"/>
      <c r="U38" s="9"/>
      <c r="V38" s="9"/>
      <c r="W38" s="9"/>
      <c r="X38" s="9"/>
    </row>
    <row r="39" spans="6:24" x14ac:dyDescent="0.2">
      <c r="F39" s="9"/>
      <c r="G39" s="9"/>
      <c r="H39" s="9"/>
      <c r="I39" s="9"/>
      <c r="J39" s="9"/>
      <c r="K39" s="9"/>
      <c r="L39" s="9"/>
      <c r="M39" s="9"/>
      <c r="N39" s="9"/>
      <c r="O39" s="9"/>
      <c r="P39" s="9"/>
      <c r="Q39" s="9"/>
      <c r="R39" s="9"/>
      <c r="S39" s="9"/>
      <c r="T39" s="9"/>
      <c r="U39" s="9"/>
      <c r="V39" s="9"/>
      <c r="W39" s="9"/>
      <c r="X39" s="9"/>
    </row>
    <row r="40" spans="6:24" x14ac:dyDescent="0.2">
      <c r="F40" s="9"/>
      <c r="G40" s="9"/>
      <c r="H40" s="9"/>
      <c r="I40" s="9"/>
      <c r="J40" s="9"/>
      <c r="K40" s="9"/>
      <c r="L40" s="9"/>
      <c r="M40" s="9"/>
      <c r="N40" s="9"/>
      <c r="O40" s="9"/>
      <c r="P40" s="9"/>
      <c r="Q40" s="9"/>
      <c r="R40" s="9"/>
      <c r="S40" s="9"/>
      <c r="T40" s="9"/>
      <c r="U40" s="9"/>
      <c r="V40" s="9"/>
      <c r="W40" s="9"/>
      <c r="X40" s="9"/>
    </row>
    <row r="41" spans="6:24" x14ac:dyDescent="0.2">
      <c r="F41" s="9"/>
      <c r="G41" s="9"/>
      <c r="H41" s="9"/>
      <c r="I41" s="9"/>
      <c r="J41" s="9"/>
      <c r="K41" s="9"/>
      <c r="L41" s="9"/>
      <c r="M41" s="9"/>
      <c r="N41" s="9"/>
      <c r="O41" s="9"/>
      <c r="P41" s="9"/>
      <c r="Q41" s="9"/>
      <c r="R41" s="9"/>
      <c r="S41" s="9"/>
      <c r="T41" s="9"/>
      <c r="U41" s="9"/>
      <c r="V41" s="9"/>
      <c r="W41" s="9"/>
      <c r="X41" s="9"/>
    </row>
    <row r="42" spans="6:24" x14ac:dyDescent="0.2">
      <c r="F42" s="9"/>
      <c r="G42" s="9"/>
      <c r="H42" s="9"/>
      <c r="I42" s="9"/>
      <c r="J42" s="9"/>
      <c r="K42" s="9"/>
      <c r="L42" s="9"/>
      <c r="M42" s="9"/>
      <c r="N42" s="9"/>
      <c r="O42" s="9"/>
      <c r="P42" s="9"/>
      <c r="Q42" s="9"/>
      <c r="R42" s="9"/>
      <c r="S42" s="9"/>
      <c r="T42" s="9"/>
      <c r="U42" s="9"/>
      <c r="V42" s="9"/>
      <c r="W42" s="9"/>
      <c r="X42" s="9"/>
    </row>
    <row r="43" spans="6:24" x14ac:dyDescent="0.2">
      <c r="F43" s="9"/>
      <c r="G43" s="9"/>
      <c r="H43" s="9"/>
      <c r="I43" s="9"/>
      <c r="J43" s="9"/>
      <c r="K43" s="9"/>
      <c r="L43" s="9"/>
      <c r="M43" s="9"/>
      <c r="N43" s="9"/>
      <c r="O43" s="9"/>
      <c r="P43" s="9"/>
      <c r="Q43" s="9"/>
      <c r="R43" s="9"/>
      <c r="S43" s="9"/>
      <c r="T43" s="9"/>
      <c r="U43" s="9"/>
      <c r="V43" s="9"/>
      <c r="W43" s="9"/>
      <c r="X43" s="9"/>
    </row>
    <row r="44" spans="6:24" x14ac:dyDescent="0.2">
      <c r="F44" s="9"/>
      <c r="G44" s="9"/>
      <c r="H44" s="9"/>
      <c r="I44" s="9"/>
      <c r="J44" s="9"/>
      <c r="K44" s="9"/>
      <c r="L44" s="9"/>
      <c r="M44" s="9"/>
      <c r="N44" s="9"/>
      <c r="O44" s="9"/>
      <c r="P44" s="9"/>
      <c r="Q44" s="9"/>
      <c r="R44" s="9"/>
      <c r="S44" s="9"/>
      <c r="T44" s="9"/>
      <c r="U44" s="9"/>
      <c r="V44" s="9"/>
      <c r="W44" s="9"/>
      <c r="X44" s="9"/>
    </row>
    <row r="45" spans="6:24" x14ac:dyDescent="0.2">
      <c r="F45" s="9"/>
      <c r="G45" s="9"/>
      <c r="H45" s="9"/>
      <c r="I45" s="9"/>
      <c r="J45" s="9"/>
      <c r="K45" s="9"/>
      <c r="L45" s="9"/>
      <c r="M45" s="9"/>
      <c r="N45" s="9"/>
      <c r="O45" s="9"/>
      <c r="P45" s="9"/>
      <c r="Q45" s="9"/>
      <c r="R45" s="9"/>
      <c r="S45" s="9"/>
      <c r="T45" s="9"/>
      <c r="U45" s="9"/>
      <c r="V45" s="9"/>
      <c r="W45" s="9"/>
      <c r="X45" s="9"/>
    </row>
    <row r="46" spans="6:24" x14ac:dyDescent="0.2">
      <c r="F46" s="9"/>
      <c r="G46" s="9"/>
      <c r="H46" s="9"/>
      <c r="I46" s="9"/>
      <c r="J46" s="9"/>
      <c r="K46" s="9"/>
      <c r="L46" s="9"/>
      <c r="M46" s="9"/>
      <c r="N46" s="9"/>
      <c r="O46" s="9"/>
      <c r="P46" s="9"/>
      <c r="Q46" s="9"/>
      <c r="R46" s="9"/>
      <c r="S46" s="9"/>
      <c r="T46" s="9"/>
      <c r="U46" s="9"/>
      <c r="V46" s="9"/>
      <c r="W46" s="9"/>
      <c r="X46" s="9"/>
    </row>
    <row r="47" spans="6:24" x14ac:dyDescent="0.2">
      <c r="F47" s="9"/>
      <c r="G47" s="9"/>
      <c r="H47" s="9"/>
      <c r="I47" s="9"/>
      <c r="J47" s="9"/>
      <c r="K47" s="9"/>
      <c r="L47" s="9"/>
      <c r="M47" s="9"/>
      <c r="N47" s="9"/>
      <c r="O47" s="9"/>
      <c r="P47" s="9"/>
      <c r="Q47" s="9"/>
      <c r="R47" s="9"/>
      <c r="S47" s="9"/>
      <c r="T47" s="9"/>
      <c r="U47" s="9"/>
      <c r="V47" s="9"/>
      <c r="W47" s="9"/>
      <c r="X47" s="9"/>
    </row>
    <row r="48" spans="6:24" x14ac:dyDescent="0.2">
      <c r="F48" s="9"/>
      <c r="G48" s="9"/>
      <c r="H48" s="9"/>
      <c r="I48" s="9"/>
      <c r="J48" s="9"/>
      <c r="K48" s="9"/>
      <c r="L48" s="9"/>
      <c r="M48" s="9"/>
      <c r="N48" s="9"/>
      <c r="O48" s="9"/>
      <c r="P48" s="9"/>
      <c r="Q48" s="9"/>
      <c r="R48" s="9"/>
      <c r="S48" s="9"/>
      <c r="T48" s="9"/>
      <c r="U48" s="9"/>
      <c r="V48" s="9"/>
      <c r="W48" s="9"/>
      <c r="X48" s="9"/>
    </row>
    <row r="49" spans="6:24" x14ac:dyDescent="0.2">
      <c r="F49" s="9"/>
      <c r="G49" s="9"/>
      <c r="H49" s="9"/>
      <c r="I49" s="9"/>
      <c r="J49" s="9"/>
      <c r="K49" s="9"/>
      <c r="L49" s="9"/>
      <c r="M49" s="9"/>
      <c r="N49" s="9"/>
      <c r="O49" s="9"/>
      <c r="P49" s="9"/>
      <c r="Q49" s="9"/>
      <c r="R49" s="9"/>
      <c r="S49" s="9"/>
      <c r="T49" s="9"/>
      <c r="U49" s="9"/>
      <c r="V49" s="9"/>
      <c r="W49" s="9"/>
      <c r="X49" s="9"/>
    </row>
    <row r="50" spans="6:24" x14ac:dyDescent="0.2">
      <c r="F50" s="9"/>
      <c r="G50" s="9"/>
      <c r="H50" s="9"/>
      <c r="I50" s="9"/>
      <c r="J50" s="9"/>
      <c r="K50" s="9"/>
      <c r="L50" s="9"/>
      <c r="M50" s="9"/>
      <c r="N50" s="9"/>
      <c r="O50" s="9"/>
      <c r="P50" s="9"/>
      <c r="Q50" s="9"/>
      <c r="R50" s="9"/>
      <c r="S50" s="9"/>
      <c r="T50" s="9"/>
      <c r="U50" s="9"/>
      <c r="V50" s="9"/>
      <c r="W50" s="9"/>
      <c r="X50" s="9"/>
    </row>
    <row r="51" spans="6:24" x14ac:dyDescent="0.2">
      <c r="F51" s="9"/>
      <c r="G51" s="9"/>
      <c r="H51" s="9"/>
      <c r="I51" s="9"/>
      <c r="J51" s="9"/>
      <c r="K51" s="9"/>
      <c r="L51" s="9"/>
      <c r="M51" s="9"/>
      <c r="N51" s="9"/>
      <c r="O51" s="9"/>
      <c r="P51" s="9"/>
      <c r="Q51" s="9"/>
      <c r="R51" s="9"/>
      <c r="S51" s="9"/>
      <c r="T51" s="9"/>
      <c r="U51" s="9"/>
      <c r="V51" s="9"/>
      <c r="W51" s="9"/>
      <c r="X51" s="9"/>
    </row>
  </sheetData>
  <mergeCells count="1">
    <mergeCell ref="F3:X5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E9ECC9-F22C-EE48-BA13-FBE04C14AE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Students</vt:lpstr>
      <vt:lpstr>Skills</vt:lpstr>
      <vt:lpstr>Internships</vt:lpstr>
      <vt:lpstr>Placements</vt:lpstr>
      <vt:lpstr>Analysis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karve</dc:creator>
  <cp:lastModifiedBy>om karve</cp:lastModifiedBy>
  <dcterms:created xsi:type="dcterms:W3CDTF">2026-06-14T05:49:43Z</dcterms:created>
  <dcterms:modified xsi:type="dcterms:W3CDTF">2026-06-14T10:09:31Z</dcterms:modified>
</cp:coreProperties>
</file>